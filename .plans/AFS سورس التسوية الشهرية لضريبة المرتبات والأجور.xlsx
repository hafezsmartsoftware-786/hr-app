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كسب العمل\كسب عمل 2025\سورس\"/>
    </mc:Choice>
  </mc:AlternateContent>
  <xr:revisionPtr revIDLastSave="0" documentId="8_{F675DB2B-26C0-AD4C-BDA7-C898AF1FE77E}" xr6:coauthVersionLast="47" xr6:coauthVersionMax="47" xr10:uidLastSave="{00000000-0000-0000-0000-000000000000}"/>
  <bookViews>
    <workbookView xWindow="0" yWindow="0" windowWidth="21600" windowHeight="9408" tabRatio="820" firstSheet="1" activeTab="1" xr2:uid="{878A5793-7827-4863-A40F-CFA4BB185ADE}"/>
  </bookViews>
  <sheets>
    <sheet name="Data source" sheetId="19" state="hidden" r:id="rId1"/>
    <sheet name="سورس" sheetId="20" r:id="rId2"/>
  </sheets>
  <definedNames>
    <definedName name="_xlnm._FilterDatabase" localSheetId="1" hidden="1">سورس!$A$3:$AE$1382</definedName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20" l="1"/>
  <c r="O5" i="20"/>
  <c r="S5" i="20"/>
  <c r="T5" i="20"/>
  <c r="U5" i="20"/>
  <c r="V5" i="20"/>
  <c r="W5" i="20"/>
  <c r="X5" i="20"/>
  <c r="Y5" i="20"/>
  <c r="AC5" i="20"/>
  <c r="M6" i="20"/>
  <c r="O6" i="20"/>
  <c r="S6" i="20"/>
  <c r="T6" i="20"/>
  <c r="U6" i="20"/>
  <c r="V6" i="20"/>
  <c r="W6" i="20"/>
  <c r="X6" i="20"/>
  <c r="Y6" i="20"/>
  <c r="AC6" i="20"/>
  <c r="M7" i="20"/>
  <c r="O7" i="20"/>
  <c r="S7" i="20"/>
  <c r="T7" i="20"/>
  <c r="U7" i="20"/>
  <c r="V7" i="20"/>
  <c r="W7" i="20"/>
  <c r="X7" i="20"/>
  <c r="Y7" i="20"/>
  <c r="AC7" i="20"/>
  <c r="M8" i="20"/>
  <c r="O8" i="20"/>
  <c r="S8" i="20"/>
  <c r="T8" i="20"/>
  <c r="U8" i="20"/>
  <c r="V8" i="20"/>
  <c r="W8" i="20"/>
  <c r="X8" i="20"/>
  <c r="Y8" i="20"/>
  <c r="AC8" i="20"/>
  <c r="M9" i="20"/>
  <c r="O9" i="20"/>
  <c r="S9" i="20"/>
  <c r="T9" i="20"/>
  <c r="U9" i="20"/>
  <c r="V9" i="20"/>
  <c r="W9" i="20"/>
  <c r="X9" i="20"/>
  <c r="Y9" i="20"/>
  <c r="AC9" i="20"/>
  <c r="M10" i="20"/>
  <c r="O10" i="20"/>
  <c r="S10" i="20"/>
  <c r="T10" i="20"/>
  <c r="U10" i="20"/>
  <c r="V10" i="20"/>
  <c r="W10" i="20"/>
  <c r="X10" i="20"/>
  <c r="Y10" i="20"/>
  <c r="AC10" i="20"/>
  <c r="M11" i="20"/>
  <c r="O11" i="20"/>
  <c r="S11" i="20"/>
  <c r="T11" i="20"/>
  <c r="U11" i="20"/>
  <c r="V11" i="20"/>
  <c r="W11" i="20"/>
  <c r="X11" i="20"/>
  <c r="Y11" i="20"/>
  <c r="AC11" i="20"/>
  <c r="M12" i="20"/>
  <c r="O12" i="20"/>
  <c r="S12" i="20"/>
  <c r="T12" i="20"/>
  <c r="U12" i="20"/>
  <c r="V12" i="20"/>
  <c r="W12" i="20"/>
  <c r="X12" i="20"/>
  <c r="Y12" i="20"/>
  <c r="AC12" i="20"/>
  <c r="M13" i="20"/>
  <c r="O13" i="20"/>
  <c r="S13" i="20"/>
  <c r="T13" i="20"/>
  <c r="U13" i="20"/>
  <c r="V13" i="20"/>
  <c r="W13" i="20"/>
  <c r="X13" i="20"/>
  <c r="Y13" i="20"/>
  <c r="AC13" i="20"/>
  <c r="M14" i="20"/>
  <c r="O14" i="20"/>
  <c r="S14" i="20"/>
  <c r="T14" i="20"/>
  <c r="U14" i="20"/>
  <c r="V14" i="20"/>
  <c r="W14" i="20"/>
  <c r="X14" i="20"/>
  <c r="Y14" i="20"/>
  <c r="AC14" i="20"/>
  <c r="M15" i="20"/>
  <c r="O15" i="20"/>
  <c r="S15" i="20"/>
  <c r="T15" i="20"/>
  <c r="U15" i="20"/>
  <c r="V15" i="20"/>
  <c r="W15" i="20"/>
  <c r="X15" i="20"/>
  <c r="Y15" i="20"/>
  <c r="AC15" i="20"/>
  <c r="M16" i="20"/>
  <c r="O16" i="20"/>
  <c r="S16" i="20"/>
  <c r="T16" i="20"/>
  <c r="U16" i="20"/>
  <c r="V16" i="20"/>
  <c r="W16" i="20"/>
  <c r="X16" i="20"/>
  <c r="Y16" i="20"/>
  <c r="AC16" i="20"/>
  <c r="M17" i="20"/>
  <c r="O17" i="20"/>
  <c r="S17" i="20"/>
  <c r="T17" i="20"/>
  <c r="U17" i="20"/>
  <c r="V17" i="20"/>
  <c r="W17" i="20"/>
  <c r="X17" i="20"/>
  <c r="Y17" i="20"/>
  <c r="AC17" i="20"/>
  <c r="M18" i="20"/>
  <c r="O18" i="20"/>
  <c r="S18" i="20"/>
  <c r="T18" i="20"/>
  <c r="U18" i="20"/>
  <c r="V18" i="20"/>
  <c r="W18" i="20"/>
  <c r="X18" i="20"/>
  <c r="Y18" i="20"/>
  <c r="AC18" i="20"/>
  <c r="M19" i="20"/>
  <c r="O19" i="20"/>
  <c r="S19" i="20"/>
  <c r="T19" i="20"/>
  <c r="U19" i="20"/>
  <c r="V19" i="20"/>
  <c r="W19" i="20"/>
  <c r="X19" i="20"/>
  <c r="Y19" i="20"/>
  <c r="AC19" i="20"/>
  <c r="M20" i="20"/>
  <c r="O20" i="20"/>
  <c r="S20" i="20"/>
  <c r="T20" i="20"/>
  <c r="U20" i="20"/>
  <c r="V20" i="20"/>
  <c r="W20" i="20"/>
  <c r="X20" i="20"/>
  <c r="Y20" i="20"/>
  <c r="AC20" i="20"/>
  <c r="M21" i="20"/>
  <c r="O21" i="20"/>
  <c r="S21" i="20"/>
  <c r="T21" i="20"/>
  <c r="U21" i="20"/>
  <c r="V21" i="20"/>
  <c r="W21" i="20"/>
  <c r="X21" i="20"/>
  <c r="Y21" i="20"/>
  <c r="AC21" i="20"/>
  <c r="M22" i="20"/>
  <c r="O22" i="20"/>
  <c r="S22" i="20"/>
  <c r="T22" i="20"/>
  <c r="U22" i="20"/>
  <c r="V22" i="20"/>
  <c r="W22" i="20"/>
  <c r="X22" i="20"/>
  <c r="Y22" i="20"/>
  <c r="AC22" i="20"/>
  <c r="M23" i="20"/>
  <c r="O23" i="20"/>
  <c r="S23" i="20"/>
  <c r="T23" i="20"/>
  <c r="U23" i="20"/>
  <c r="V23" i="20"/>
  <c r="W23" i="20"/>
  <c r="X23" i="20"/>
  <c r="Y23" i="20"/>
  <c r="AC23" i="20"/>
  <c r="M24" i="20"/>
  <c r="O24" i="20"/>
  <c r="S24" i="20"/>
  <c r="T24" i="20"/>
  <c r="U24" i="20"/>
  <c r="V24" i="20"/>
  <c r="W24" i="20"/>
  <c r="X24" i="20"/>
  <c r="Y24" i="20"/>
  <c r="AC24" i="20"/>
  <c r="M25" i="20"/>
  <c r="O25" i="20"/>
  <c r="S25" i="20"/>
  <c r="T25" i="20"/>
  <c r="U25" i="20"/>
  <c r="V25" i="20"/>
  <c r="W25" i="20"/>
  <c r="X25" i="20"/>
  <c r="Y25" i="20"/>
  <c r="AC25" i="20"/>
  <c r="M26" i="20"/>
  <c r="O26" i="20"/>
  <c r="S26" i="20"/>
  <c r="T26" i="20"/>
  <c r="U26" i="20"/>
  <c r="V26" i="20"/>
  <c r="W26" i="20"/>
  <c r="X26" i="20"/>
  <c r="Y26" i="20"/>
  <c r="AC26" i="20"/>
  <c r="M27" i="20"/>
  <c r="O27" i="20"/>
  <c r="S27" i="20"/>
  <c r="T27" i="20"/>
  <c r="U27" i="20"/>
  <c r="V27" i="20"/>
  <c r="W27" i="20"/>
  <c r="X27" i="20"/>
  <c r="Y27" i="20"/>
  <c r="AC27" i="20"/>
  <c r="M28" i="20"/>
  <c r="O28" i="20"/>
  <c r="S28" i="20"/>
  <c r="T28" i="20"/>
  <c r="U28" i="20"/>
  <c r="V28" i="20"/>
  <c r="W28" i="20"/>
  <c r="X28" i="20"/>
  <c r="Y28" i="20"/>
  <c r="AC28" i="20"/>
  <c r="M29" i="20"/>
  <c r="O29" i="20"/>
  <c r="S29" i="20"/>
  <c r="T29" i="20"/>
  <c r="U29" i="20"/>
  <c r="V29" i="20"/>
  <c r="W29" i="20"/>
  <c r="X29" i="20"/>
  <c r="Y29" i="20"/>
  <c r="AC29" i="20"/>
  <c r="M30" i="20"/>
  <c r="O30" i="20"/>
  <c r="S30" i="20"/>
  <c r="T30" i="20"/>
  <c r="U30" i="20"/>
  <c r="V30" i="20"/>
  <c r="W30" i="20"/>
  <c r="X30" i="20"/>
  <c r="Y30" i="20"/>
  <c r="AC30" i="20"/>
  <c r="M31" i="20"/>
  <c r="O31" i="20"/>
  <c r="S31" i="20"/>
  <c r="T31" i="20"/>
  <c r="U31" i="20"/>
  <c r="V31" i="20"/>
  <c r="W31" i="20"/>
  <c r="X31" i="20"/>
  <c r="Y31" i="20"/>
  <c r="AC31" i="20"/>
  <c r="M32" i="20"/>
  <c r="O32" i="20"/>
  <c r="S32" i="20"/>
  <c r="T32" i="20"/>
  <c r="U32" i="20"/>
  <c r="V32" i="20"/>
  <c r="W32" i="20"/>
  <c r="X32" i="20"/>
  <c r="Y32" i="20"/>
  <c r="AC32" i="20"/>
  <c r="M33" i="20"/>
  <c r="O33" i="20"/>
  <c r="S33" i="20"/>
  <c r="T33" i="20"/>
  <c r="U33" i="20"/>
  <c r="V33" i="20"/>
  <c r="W33" i="20"/>
  <c r="X33" i="20"/>
  <c r="Y33" i="20"/>
  <c r="AC33" i="20"/>
  <c r="M34" i="20"/>
  <c r="O34" i="20"/>
  <c r="S34" i="20"/>
  <c r="T34" i="20"/>
  <c r="U34" i="20"/>
  <c r="V34" i="20"/>
  <c r="W34" i="20"/>
  <c r="X34" i="20"/>
  <c r="Y34" i="20"/>
  <c r="AC34" i="20"/>
  <c r="M35" i="20"/>
  <c r="O35" i="20"/>
  <c r="S35" i="20"/>
  <c r="T35" i="20"/>
  <c r="U35" i="20"/>
  <c r="V35" i="20"/>
  <c r="W35" i="20"/>
  <c r="X35" i="20"/>
  <c r="Y35" i="20"/>
  <c r="AC35" i="20"/>
  <c r="M36" i="20"/>
  <c r="O36" i="20"/>
  <c r="S36" i="20"/>
  <c r="T36" i="20"/>
  <c r="U36" i="20"/>
  <c r="V36" i="20"/>
  <c r="W36" i="20"/>
  <c r="X36" i="20"/>
  <c r="Y36" i="20"/>
  <c r="AC36" i="20"/>
  <c r="M37" i="20"/>
  <c r="O37" i="20"/>
  <c r="S37" i="20"/>
  <c r="T37" i="20"/>
  <c r="U37" i="20"/>
  <c r="V37" i="20"/>
  <c r="W37" i="20"/>
  <c r="X37" i="20"/>
  <c r="Y37" i="20"/>
  <c r="AC37" i="20"/>
  <c r="M38" i="20"/>
  <c r="O38" i="20"/>
  <c r="S38" i="20"/>
  <c r="T38" i="20"/>
  <c r="U38" i="20"/>
  <c r="V38" i="20"/>
  <c r="W38" i="20"/>
  <c r="X38" i="20"/>
  <c r="Y38" i="20"/>
  <c r="AC38" i="20"/>
  <c r="M39" i="20"/>
  <c r="O39" i="20"/>
  <c r="S39" i="20"/>
  <c r="T39" i="20"/>
  <c r="U39" i="20"/>
  <c r="V39" i="20"/>
  <c r="W39" i="20"/>
  <c r="X39" i="20"/>
  <c r="Y39" i="20"/>
  <c r="AC39" i="20"/>
  <c r="M40" i="20"/>
  <c r="O40" i="20"/>
  <c r="S40" i="20"/>
  <c r="T40" i="20"/>
  <c r="U40" i="20"/>
  <c r="V40" i="20"/>
  <c r="W40" i="20"/>
  <c r="X40" i="20"/>
  <c r="Y40" i="20"/>
  <c r="AC40" i="20"/>
  <c r="M41" i="20"/>
  <c r="O41" i="20"/>
  <c r="S41" i="20"/>
  <c r="T41" i="20"/>
  <c r="U41" i="20"/>
  <c r="V41" i="20"/>
  <c r="W41" i="20"/>
  <c r="X41" i="20"/>
  <c r="Y41" i="20"/>
  <c r="AC41" i="20"/>
  <c r="M42" i="20"/>
  <c r="O42" i="20"/>
  <c r="S42" i="20"/>
  <c r="T42" i="20"/>
  <c r="U42" i="20"/>
  <c r="V42" i="20"/>
  <c r="W42" i="20"/>
  <c r="X42" i="20"/>
  <c r="Y42" i="20"/>
  <c r="AC42" i="20"/>
  <c r="M43" i="20"/>
  <c r="O43" i="20"/>
  <c r="S43" i="20"/>
  <c r="T43" i="20"/>
  <c r="U43" i="20"/>
  <c r="V43" i="20"/>
  <c r="W43" i="20"/>
  <c r="X43" i="20"/>
  <c r="Y43" i="20"/>
  <c r="AC43" i="20"/>
  <c r="M44" i="20"/>
  <c r="O44" i="20"/>
  <c r="S44" i="20"/>
  <c r="T44" i="20"/>
  <c r="U44" i="20"/>
  <c r="V44" i="20"/>
  <c r="W44" i="20"/>
  <c r="X44" i="20"/>
  <c r="Y44" i="20"/>
  <c r="AC44" i="20"/>
  <c r="M45" i="20"/>
  <c r="O45" i="20"/>
  <c r="S45" i="20"/>
  <c r="T45" i="20"/>
  <c r="U45" i="20"/>
  <c r="V45" i="20"/>
  <c r="W45" i="20"/>
  <c r="X45" i="20"/>
  <c r="Y45" i="20"/>
  <c r="AC45" i="20"/>
  <c r="M46" i="20"/>
  <c r="O46" i="20"/>
  <c r="S46" i="20"/>
  <c r="T46" i="20"/>
  <c r="U46" i="20"/>
  <c r="V46" i="20"/>
  <c r="W46" i="20"/>
  <c r="X46" i="20"/>
  <c r="Y46" i="20"/>
  <c r="AC46" i="20"/>
  <c r="M47" i="20"/>
  <c r="O47" i="20"/>
  <c r="S47" i="20"/>
  <c r="T47" i="20"/>
  <c r="U47" i="20"/>
  <c r="V47" i="20"/>
  <c r="W47" i="20"/>
  <c r="X47" i="20"/>
  <c r="Y47" i="20"/>
  <c r="AC47" i="20"/>
  <c r="M48" i="20"/>
  <c r="O48" i="20"/>
  <c r="S48" i="20"/>
  <c r="T48" i="20"/>
  <c r="U48" i="20"/>
  <c r="V48" i="20"/>
  <c r="W48" i="20"/>
  <c r="X48" i="20"/>
  <c r="Y48" i="20"/>
  <c r="AC48" i="20"/>
  <c r="M49" i="20"/>
  <c r="O49" i="20"/>
  <c r="S49" i="20"/>
  <c r="T49" i="20"/>
  <c r="U49" i="20"/>
  <c r="V49" i="20"/>
  <c r="W49" i="20"/>
  <c r="X49" i="20"/>
  <c r="Y49" i="20"/>
  <c r="AC49" i="20"/>
  <c r="M50" i="20"/>
  <c r="O50" i="20"/>
  <c r="S50" i="20"/>
  <c r="T50" i="20"/>
  <c r="U50" i="20"/>
  <c r="V50" i="20"/>
  <c r="W50" i="20"/>
  <c r="X50" i="20"/>
  <c r="Y50" i="20"/>
  <c r="AC50" i="20"/>
  <c r="M51" i="20"/>
  <c r="O51" i="20"/>
  <c r="S51" i="20"/>
  <c r="T51" i="20"/>
  <c r="U51" i="20"/>
  <c r="V51" i="20"/>
  <c r="W51" i="20"/>
  <c r="X51" i="20"/>
  <c r="Y51" i="20"/>
  <c r="AC51" i="20"/>
  <c r="M52" i="20"/>
  <c r="O52" i="20"/>
  <c r="S52" i="20"/>
  <c r="T52" i="20"/>
  <c r="U52" i="20"/>
  <c r="V52" i="20"/>
  <c r="W52" i="20"/>
  <c r="X52" i="20"/>
  <c r="Y52" i="20"/>
  <c r="AC52" i="20"/>
  <c r="M53" i="20"/>
  <c r="O53" i="20"/>
  <c r="S53" i="20"/>
  <c r="T53" i="20"/>
  <c r="U53" i="20"/>
  <c r="V53" i="20"/>
  <c r="W53" i="20"/>
  <c r="X53" i="20"/>
  <c r="Y53" i="20"/>
  <c r="AC53" i="20"/>
  <c r="M54" i="20"/>
  <c r="O54" i="20"/>
  <c r="S54" i="20"/>
  <c r="T54" i="20"/>
  <c r="U54" i="20"/>
  <c r="V54" i="20"/>
  <c r="W54" i="20"/>
  <c r="X54" i="20"/>
  <c r="Y54" i="20"/>
  <c r="AC54" i="20"/>
  <c r="M55" i="20"/>
  <c r="O55" i="20"/>
  <c r="S55" i="20"/>
  <c r="T55" i="20"/>
  <c r="U55" i="20"/>
  <c r="V55" i="20"/>
  <c r="W55" i="20"/>
  <c r="X55" i="20"/>
  <c r="Y55" i="20"/>
  <c r="AC55" i="20"/>
  <c r="M56" i="20"/>
  <c r="O56" i="20"/>
  <c r="S56" i="20"/>
  <c r="T56" i="20"/>
  <c r="U56" i="20"/>
  <c r="V56" i="20"/>
  <c r="W56" i="20"/>
  <c r="X56" i="20"/>
  <c r="Y56" i="20"/>
  <c r="AC56" i="20"/>
  <c r="M57" i="20"/>
  <c r="O57" i="20"/>
  <c r="S57" i="20"/>
  <c r="T57" i="20"/>
  <c r="U57" i="20"/>
  <c r="V57" i="20"/>
  <c r="W57" i="20"/>
  <c r="X57" i="20"/>
  <c r="Y57" i="20"/>
  <c r="AC57" i="20"/>
  <c r="M58" i="20"/>
  <c r="O58" i="20"/>
  <c r="S58" i="20"/>
  <c r="T58" i="20"/>
  <c r="U58" i="20"/>
  <c r="V58" i="20"/>
  <c r="W58" i="20"/>
  <c r="X58" i="20"/>
  <c r="Y58" i="20"/>
  <c r="AC58" i="20"/>
  <c r="M59" i="20"/>
  <c r="O59" i="20"/>
  <c r="S59" i="20"/>
  <c r="T59" i="20"/>
  <c r="U59" i="20"/>
  <c r="V59" i="20"/>
  <c r="W59" i="20"/>
  <c r="X59" i="20"/>
  <c r="Y59" i="20"/>
  <c r="AC59" i="20"/>
  <c r="M60" i="20"/>
  <c r="O60" i="20"/>
  <c r="S60" i="20"/>
  <c r="T60" i="20"/>
  <c r="U60" i="20"/>
  <c r="V60" i="20"/>
  <c r="W60" i="20"/>
  <c r="X60" i="20"/>
  <c r="Y60" i="20"/>
  <c r="AC60" i="20"/>
  <c r="M61" i="20"/>
  <c r="O61" i="20"/>
  <c r="S61" i="20"/>
  <c r="T61" i="20"/>
  <c r="U61" i="20"/>
  <c r="V61" i="20"/>
  <c r="W61" i="20"/>
  <c r="X61" i="20"/>
  <c r="Y61" i="20"/>
  <c r="AC61" i="20"/>
  <c r="M62" i="20"/>
  <c r="O62" i="20"/>
  <c r="S62" i="20"/>
  <c r="T62" i="20"/>
  <c r="U62" i="20"/>
  <c r="V62" i="20"/>
  <c r="W62" i="20"/>
  <c r="X62" i="20"/>
  <c r="Y62" i="20"/>
  <c r="AC62" i="20"/>
  <c r="M63" i="20"/>
  <c r="O63" i="20"/>
  <c r="S63" i="20"/>
  <c r="T63" i="20"/>
  <c r="U63" i="20"/>
  <c r="V63" i="20"/>
  <c r="W63" i="20"/>
  <c r="X63" i="20"/>
  <c r="Y63" i="20"/>
  <c r="AC63" i="20"/>
  <c r="M64" i="20"/>
  <c r="O64" i="20"/>
  <c r="S64" i="20"/>
  <c r="T64" i="20"/>
  <c r="U64" i="20"/>
  <c r="V64" i="20"/>
  <c r="W64" i="20"/>
  <c r="X64" i="20"/>
  <c r="Y64" i="20"/>
  <c r="AC64" i="20"/>
  <c r="M65" i="20"/>
  <c r="O65" i="20"/>
  <c r="S65" i="20"/>
  <c r="T65" i="20"/>
  <c r="U65" i="20"/>
  <c r="V65" i="20"/>
  <c r="W65" i="20"/>
  <c r="X65" i="20"/>
  <c r="Y65" i="20"/>
  <c r="AC65" i="20"/>
  <c r="M66" i="20"/>
  <c r="O66" i="20"/>
  <c r="S66" i="20"/>
  <c r="T66" i="20"/>
  <c r="U66" i="20"/>
  <c r="V66" i="20"/>
  <c r="W66" i="20"/>
  <c r="X66" i="20"/>
  <c r="Y66" i="20"/>
  <c r="AC66" i="20"/>
  <c r="M67" i="20"/>
  <c r="O67" i="20"/>
  <c r="S67" i="20"/>
  <c r="T67" i="20"/>
  <c r="U67" i="20"/>
  <c r="V67" i="20"/>
  <c r="W67" i="20"/>
  <c r="X67" i="20"/>
  <c r="Y67" i="20"/>
  <c r="AC67" i="20"/>
  <c r="M68" i="20"/>
  <c r="O68" i="20"/>
  <c r="S68" i="20"/>
  <c r="T68" i="20"/>
  <c r="U68" i="20"/>
  <c r="V68" i="20"/>
  <c r="W68" i="20"/>
  <c r="X68" i="20"/>
  <c r="Y68" i="20"/>
  <c r="AC68" i="20"/>
  <c r="M69" i="20"/>
  <c r="O69" i="20"/>
  <c r="S69" i="20"/>
  <c r="T69" i="20"/>
  <c r="U69" i="20"/>
  <c r="V69" i="20"/>
  <c r="W69" i="20"/>
  <c r="X69" i="20"/>
  <c r="Y69" i="20"/>
  <c r="AC69" i="20"/>
  <c r="M70" i="20"/>
  <c r="O70" i="20"/>
  <c r="S70" i="20"/>
  <c r="T70" i="20"/>
  <c r="U70" i="20"/>
  <c r="V70" i="20"/>
  <c r="W70" i="20"/>
  <c r="X70" i="20"/>
  <c r="Y70" i="20"/>
  <c r="AC70" i="20"/>
  <c r="M71" i="20"/>
  <c r="O71" i="20"/>
  <c r="S71" i="20"/>
  <c r="T71" i="20"/>
  <c r="U71" i="20"/>
  <c r="V71" i="20"/>
  <c r="W71" i="20"/>
  <c r="X71" i="20"/>
  <c r="Y71" i="20"/>
  <c r="AC71" i="20"/>
  <c r="M72" i="20"/>
  <c r="O72" i="20"/>
  <c r="S72" i="20"/>
  <c r="T72" i="20"/>
  <c r="U72" i="20"/>
  <c r="V72" i="20"/>
  <c r="W72" i="20"/>
  <c r="X72" i="20"/>
  <c r="Y72" i="20"/>
  <c r="AC72" i="20"/>
  <c r="M73" i="20"/>
  <c r="O73" i="20"/>
  <c r="S73" i="20"/>
  <c r="T73" i="20"/>
  <c r="U73" i="20"/>
  <c r="V73" i="20"/>
  <c r="W73" i="20"/>
  <c r="X73" i="20"/>
  <c r="Y73" i="20"/>
  <c r="AC73" i="20"/>
  <c r="M74" i="20"/>
  <c r="O74" i="20"/>
  <c r="S74" i="20"/>
  <c r="T74" i="20"/>
  <c r="U74" i="20"/>
  <c r="V74" i="20"/>
  <c r="W74" i="20"/>
  <c r="X74" i="20"/>
  <c r="Y74" i="20"/>
  <c r="AC74" i="20"/>
  <c r="M75" i="20"/>
  <c r="O75" i="20"/>
  <c r="S75" i="20"/>
  <c r="T75" i="20"/>
  <c r="U75" i="20"/>
  <c r="V75" i="20"/>
  <c r="W75" i="20"/>
  <c r="X75" i="20"/>
  <c r="Y75" i="20"/>
  <c r="AC75" i="20"/>
  <c r="M76" i="20"/>
  <c r="O76" i="20"/>
  <c r="S76" i="20"/>
  <c r="T76" i="20"/>
  <c r="U76" i="20"/>
  <c r="V76" i="20"/>
  <c r="W76" i="20"/>
  <c r="X76" i="20"/>
  <c r="Y76" i="20"/>
  <c r="AC76" i="20"/>
  <c r="M77" i="20"/>
  <c r="O77" i="20"/>
  <c r="S77" i="20"/>
  <c r="T77" i="20"/>
  <c r="U77" i="20"/>
  <c r="V77" i="20"/>
  <c r="W77" i="20"/>
  <c r="X77" i="20"/>
  <c r="Y77" i="20"/>
  <c r="AC77" i="20"/>
  <c r="M78" i="20"/>
  <c r="O78" i="20"/>
  <c r="S78" i="20"/>
  <c r="T78" i="20"/>
  <c r="U78" i="20"/>
  <c r="V78" i="20"/>
  <c r="W78" i="20"/>
  <c r="X78" i="20"/>
  <c r="Y78" i="20"/>
  <c r="AC78" i="20"/>
  <c r="M79" i="20"/>
  <c r="O79" i="20"/>
  <c r="S79" i="20"/>
  <c r="T79" i="20"/>
  <c r="U79" i="20"/>
  <c r="V79" i="20"/>
  <c r="W79" i="20"/>
  <c r="X79" i="20"/>
  <c r="Y79" i="20"/>
  <c r="AC79" i="20"/>
  <c r="M80" i="20"/>
  <c r="O80" i="20"/>
  <c r="S80" i="20"/>
  <c r="T80" i="20"/>
  <c r="U80" i="20"/>
  <c r="V80" i="20"/>
  <c r="W80" i="20"/>
  <c r="X80" i="20"/>
  <c r="Y80" i="20"/>
  <c r="AC80" i="20"/>
  <c r="M81" i="20"/>
  <c r="O81" i="20"/>
  <c r="S81" i="20"/>
  <c r="T81" i="20"/>
  <c r="U81" i="20"/>
  <c r="V81" i="20"/>
  <c r="W81" i="20"/>
  <c r="X81" i="20"/>
  <c r="Y81" i="20"/>
  <c r="AC81" i="20"/>
  <c r="M82" i="20"/>
  <c r="O82" i="20"/>
  <c r="S82" i="20"/>
  <c r="T82" i="20"/>
  <c r="U82" i="20"/>
  <c r="V82" i="20"/>
  <c r="W82" i="20"/>
  <c r="X82" i="20"/>
  <c r="Y82" i="20"/>
  <c r="AC82" i="20"/>
  <c r="M83" i="20"/>
  <c r="O83" i="20"/>
  <c r="S83" i="20"/>
  <c r="T83" i="20"/>
  <c r="U83" i="20"/>
  <c r="V83" i="20"/>
  <c r="W83" i="20"/>
  <c r="X83" i="20"/>
  <c r="Y83" i="20"/>
  <c r="AC83" i="20"/>
  <c r="M84" i="20"/>
  <c r="O84" i="20"/>
  <c r="S84" i="20"/>
  <c r="T84" i="20"/>
  <c r="U84" i="20"/>
  <c r="V84" i="20"/>
  <c r="W84" i="20"/>
  <c r="X84" i="20"/>
  <c r="Y84" i="20"/>
  <c r="AC84" i="20"/>
  <c r="M85" i="20"/>
  <c r="O85" i="20"/>
  <c r="S85" i="20"/>
  <c r="T85" i="20"/>
  <c r="U85" i="20"/>
  <c r="V85" i="20"/>
  <c r="W85" i="20"/>
  <c r="X85" i="20"/>
  <c r="Y85" i="20"/>
  <c r="AC85" i="20"/>
  <c r="M86" i="20"/>
  <c r="O86" i="20"/>
  <c r="S86" i="20"/>
  <c r="T86" i="20"/>
  <c r="U86" i="20"/>
  <c r="V86" i="20"/>
  <c r="W86" i="20"/>
  <c r="X86" i="20"/>
  <c r="Y86" i="20"/>
  <c r="AC86" i="20"/>
  <c r="M87" i="20"/>
  <c r="O87" i="20"/>
  <c r="S87" i="20"/>
  <c r="T87" i="20"/>
  <c r="U87" i="20"/>
  <c r="V87" i="20"/>
  <c r="W87" i="20"/>
  <c r="X87" i="20"/>
  <c r="Y87" i="20"/>
  <c r="AC87" i="20"/>
  <c r="M88" i="20"/>
  <c r="O88" i="20"/>
  <c r="S88" i="20"/>
  <c r="T88" i="20"/>
  <c r="U88" i="20"/>
  <c r="V88" i="20"/>
  <c r="W88" i="20"/>
  <c r="X88" i="20"/>
  <c r="Y88" i="20"/>
  <c r="AC88" i="20"/>
  <c r="M89" i="20"/>
  <c r="O89" i="20"/>
  <c r="S89" i="20"/>
  <c r="T89" i="20"/>
  <c r="U89" i="20"/>
  <c r="V89" i="20"/>
  <c r="W89" i="20"/>
  <c r="X89" i="20"/>
  <c r="Y89" i="20"/>
  <c r="AC89" i="20"/>
  <c r="M90" i="20"/>
  <c r="O90" i="20"/>
  <c r="S90" i="20"/>
  <c r="T90" i="20"/>
  <c r="U90" i="20"/>
  <c r="V90" i="20"/>
  <c r="W90" i="20"/>
  <c r="X90" i="20"/>
  <c r="Y90" i="20"/>
  <c r="AC90" i="20"/>
  <c r="M91" i="20"/>
  <c r="O91" i="20"/>
  <c r="S91" i="20"/>
  <c r="T91" i="20"/>
  <c r="U91" i="20"/>
  <c r="V91" i="20"/>
  <c r="W91" i="20"/>
  <c r="X91" i="20"/>
  <c r="Y91" i="20"/>
  <c r="AC91" i="20"/>
  <c r="M92" i="20"/>
  <c r="O92" i="20"/>
  <c r="S92" i="20"/>
  <c r="T92" i="20"/>
  <c r="U92" i="20"/>
  <c r="V92" i="20"/>
  <c r="W92" i="20"/>
  <c r="X92" i="20"/>
  <c r="Y92" i="20"/>
  <c r="AC92" i="20"/>
  <c r="M93" i="20"/>
  <c r="O93" i="20"/>
  <c r="S93" i="20"/>
  <c r="T93" i="20"/>
  <c r="U93" i="20"/>
  <c r="V93" i="20"/>
  <c r="W93" i="20"/>
  <c r="X93" i="20"/>
  <c r="Y93" i="20"/>
  <c r="AC93" i="20"/>
  <c r="M94" i="20"/>
  <c r="O94" i="20"/>
  <c r="S94" i="20"/>
  <c r="T94" i="20"/>
  <c r="U94" i="20"/>
  <c r="V94" i="20"/>
  <c r="W94" i="20"/>
  <c r="X94" i="20"/>
  <c r="Y94" i="20"/>
  <c r="AC94" i="20"/>
  <c r="M95" i="20"/>
  <c r="O95" i="20"/>
  <c r="S95" i="20"/>
  <c r="T95" i="20"/>
  <c r="U95" i="20"/>
  <c r="V95" i="20"/>
  <c r="W95" i="20"/>
  <c r="X95" i="20"/>
  <c r="Y95" i="20"/>
  <c r="AC95" i="20"/>
  <c r="M96" i="20"/>
  <c r="O96" i="20"/>
  <c r="S96" i="20"/>
  <c r="T96" i="20"/>
  <c r="U96" i="20"/>
  <c r="V96" i="20"/>
  <c r="W96" i="20"/>
  <c r="X96" i="20"/>
  <c r="Y96" i="20"/>
  <c r="AC96" i="20"/>
  <c r="M97" i="20"/>
  <c r="O97" i="20"/>
  <c r="S97" i="20"/>
  <c r="T97" i="20"/>
  <c r="U97" i="20"/>
  <c r="V97" i="20"/>
  <c r="W97" i="20"/>
  <c r="X97" i="20"/>
  <c r="Y97" i="20"/>
  <c r="AC97" i="20"/>
  <c r="M98" i="20"/>
  <c r="O98" i="20"/>
  <c r="S98" i="20"/>
  <c r="T98" i="20"/>
  <c r="U98" i="20"/>
  <c r="V98" i="20"/>
  <c r="W98" i="20"/>
  <c r="X98" i="20"/>
  <c r="Y98" i="20"/>
  <c r="AC98" i="20"/>
  <c r="M99" i="20"/>
  <c r="O99" i="20"/>
  <c r="S99" i="20"/>
  <c r="T99" i="20"/>
  <c r="U99" i="20"/>
  <c r="V99" i="20"/>
  <c r="W99" i="20"/>
  <c r="X99" i="20"/>
  <c r="Y99" i="20"/>
  <c r="AC99" i="20"/>
  <c r="M100" i="20"/>
  <c r="O100" i="20"/>
  <c r="S100" i="20"/>
  <c r="T100" i="20"/>
  <c r="U100" i="20"/>
  <c r="V100" i="20"/>
  <c r="W100" i="20"/>
  <c r="X100" i="20"/>
  <c r="Y100" i="20"/>
  <c r="AC100" i="20"/>
  <c r="M101" i="20"/>
  <c r="O101" i="20"/>
  <c r="S101" i="20"/>
  <c r="T101" i="20"/>
  <c r="U101" i="20"/>
  <c r="V101" i="20"/>
  <c r="W101" i="20"/>
  <c r="X101" i="20"/>
  <c r="Y101" i="20"/>
  <c r="AC101" i="20"/>
  <c r="M102" i="20"/>
  <c r="O102" i="20"/>
  <c r="S102" i="20"/>
  <c r="T102" i="20"/>
  <c r="U102" i="20"/>
  <c r="V102" i="20"/>
  <c r="W102" i="20"/>
  <c r="X102" i="20"/>
  <c r="Y102" i="20"/>
  <c r="AC102" i="20"/>
  <c r="M103" i="20"/>
  <c r="O103" i="20"/>
  <c r="S103" i="20"/>
  <c r="T103" i="20"/>
  <c r="U103" i="20"/>
  <c r="V103" i="20"/>
  <c r="W103" i="20"/>
  <c r="X103" i="20"/>
  <c r="Y103" i="20"/>
  <c r="AC103" i="20"/>
  <c r="M104" i="20"/>
  <c r="O104" i="20"/>
  <c r="S104" i="20"/>
  <c r="T104" i="20"/>
  <c r="U104" i="20"/>
  <c r="V104" i="20"/>
  <c r="W104" i="20"/>
  <c r="X104" i="20"/>
  <c r="Y104" i="20"/>
  <c r="AC104" i="20"/>
  <c r="M105" i="20"/>
  <c r="O105" i="20"/>
  <c r="S105" i="20"/>
  <c r="T105" i="20"/>
  <c r="U105" i="20"/>
  <c r="V105" i="20"/>
  <c r="W105" i="20"/>
  <c r="X105" i="20"/>
  <c r="Y105" i="20"/>
  <c r="AC105" i="20"/>
  <c r="M106" i="20"/>
  <c r="O106" i="20"/>
  <c r="S106" i="20"/>
  <c r="T106" i="20"/>
  <c r="U106" i="20"/>
  <c r="V106" i="20"/>
  <c r="W106" i="20"/>
  <c r="X106" i="20"/>
  <c r="Y106" i="20"/>
  <c r="AC106" i="20"/>
  <c r="M107" i="20"/>
  <c r="O107" i="20"/>
  <c r="S107" i="20"/>
  <c r="T107" i="20"/>
  <c r="U107" i="20"/>
  <c r="V107" i="20"/>
  <c r="W107" i="20"/>
  <c r="X107" i="20"/>
  <c r="Y107" i="20"/>
  <c r="AC107" i="20"/>
  <c r="M108" i="20"/>
  <c r="O108" i="20"/>
  <c r="S108" i="20"/>
  <c r="T108" i="20"/>
  <c r="U108" i="20"/>
  <c r="V108" i="20"/>
  <c r="W108" i="20"/>
  <c r="X108" i="20"/>
  <c r="Y108" i="20"/>
  <c r="AC108" i="20"/>
  <c r="M109" i="20"/>
  <c r="O109" i="20"/>
  <c r="S109" i="20"/>
  <c r="T109" i="20"/>
  <c r="U109" i="20"/>
  <c r="V109" i="20"/>
  <c r="W109" i="20"/>
  <c r="X109" i="20"/>
  <c r="Y109" i="20"/>
  <c r="AC109" i="20"/>
  <c r="M110" i="20"/>
  <c r="O110" i="20"/>
  <c r="S110" i="20"/>
  <c r="T110" i="20"/>
  <c r="U110" i="20"/>
  <c r="V110" i="20"/>
  <c r="W110" i="20"/>
  <c r="X110" i="20"/>
  <c r="Y110" i="20"/>
  <c r="AC110" i="20"/>
  <c r="M111" i="20"/>
  <c r="O111" i="20"/>
  <c r="S111" i="20"/>
  <c r="T111" i="20"/>
  <c r="U111" i="20"/>
  <c r="V111" i="20"/>
  <c r="W111" i="20"/>
  <c r="X111" i="20"/>
  <c r="Y111" i="20"/>
  <c r="AC111" i="20"/>
  <c r="M112" i="20"/>
  <c r="O112" i="20"/>
  <c r="S112" i="20"/>
  <c r="T112" i="20"/>
  <c r="U112" i="20"/>
  <c r="V112" i="20"/>
  <c r="W112" i="20"/>
  <c r="X112" i="20"/>
  <c r="Y112" i="20"/>
  <c r="AC112" i="20"/>
  <c r="M113" i="20"/>
  <c r="O113" i="20"/>
  <c r="S113" i="20"/>
  <c r="T113" i="20"/>
  <c r="U113" i="20"/>
  <c r="V113" i="20"/>
  <c r="W113" i="20"/>
  <c r="X113" i="20"/>
  <c r="Y113" i="20"/>
  <c r="AC113" i="20"/>
  <c r="M114" i="20"/>
  <c r="O114" i="20"/>
  <c r="S114" i="20"/>
  <c r="T114" i="20"/>
  <c r="U114" i="20"/>
  <c r="V114" i="20"/>
  <c r="W114" i="20"/>
  <c r="X114" i="20"/>
  <c r="Y114" i="20"/>
  <c r="AC114" i="20"/>
  <c r="M115" i="20"/>
  <c r="O115" i="20"/>
  <c r="S115" i="20"/>
  <c r="T115" i="20"/>
  <c r="U115" i="20"/>
  <c r="V115" i="20"/>
  <c r="W115" i="20"/>
  <c r="X115" i="20"/>
  <c r="Y115" i="20"/>
  <c r="AC115" i="20"/>
  <c r="M116" i="20"/>
  <c r="O116" i="20"/>
  <c r="S116" i="20"/>
  <c r="T116" i="20"/>
  <c r="U116" i="20"/>
  <c r="V116" i="20"/>
  <c r="W116" i="20"/>
  <c r="X116" i="20"/>
  <c r="Y116" i="20"/>
  <c r="AC116" i="20"/>
  <c r="M117" i="20"/>
  <c r="O117" i="20"/>
  <c r="S117" i="20"/>
  <c r="T117" i="20"/>
  <c r="U117" i="20"/>
  <c r="V117" i="20"/>
  <c r="W117" i="20"/>
  <c r="X117" i="20"/>
  <c r="Y117" i="20"/>
  <c r="AC117" i="20"/>
  <c r="M118" i="20"/>
  <c r="O118" i="20"/>
  <c r="S118" i="20"/>
  <c r="T118" i="20"/>
  <c r="U118" i="20"/>
  <c r="V118" i="20"/>
  <c r="W118" i="20"/>
  <c r="X118" i="20"/>
  <c r="Y118" i="20"/>
  <c r="AC118" i="20"/>
  <c r="M119" i="20"/>
  <c r="O119" i="20"/>
  <c r="S119" i="20"/>
  <c r="T119" i="20"/>
  <c r="U119" i="20"/>
  <c r="V119" i="20"/>
  <c r="W119" i="20"/>
  <c r="X119" i="20"/>
  <c r="Y119" i="20"/>
  <c r="AC119" i="20"/>
  <c r="M120" i="20"/>
  <c r="O120" i="20"/>
  <c r="S120" i="20"/>
  <c r="T120" i="20"/>
  <c r="U120" i="20"/>
  <c r="V120" i="20"/>
  <c r="W120" i="20"/>
  <c r="X120" i="20"/>
  <c r="Y120" i="20"/>
  <c r="AC120" i="20"/>
  <c r="M121" i="20"/>
  <c r="O121" i="20"/>
  <c r="S121" i="20"/>
  <c r="T121" i="20"/>
  <c r="U121" i="20"/>
  <c r="V121" i="20"/>
  <c r="W121" i="20"/>
  <c r="X121" i="20"/>
  <c r="Y121" i="20"/>
  <c r="AC121" i="20"/>
  <c r="M122" i="20"/>
  <c r="O122" i="20"/>
  <c r="S122" i="20"/>
  <c r="T122" i="20"/>
  <c r="U122" i="20"/>
  <c r="V122" i="20"/>
  <c r="W122" i="20"/>
  <c r="X122" i="20"/>
  <c r="Y122" i="20"/>
  <c r="AC122" i="20"/>
  <c r="M123" i="20"/>
  <c r="O123" i="20"/>
  <c r="S123" i="20"/>
  <c r="T123" i="20"/>
  <c r="U123" i="20"/>
  <c r="V123" i="20"/>
  <c r="W123" i="20"/>
  <c r="X123" i="20"/>
  <c r="Y123" i="20"/>
  <c r="AC123" i="20"/>
  <c r="M124" i="20"/>
  <c r="O124" i="20"/>
  <c r="S124" i="20"/>
  <c r="T124" i="20"/>
  <c r="U124" i="20"/>
  <c r="V124" i="20"/>
  <c r="W124" i="20"/>
  <c r="X124" i="20"/>
  <c r="Y124" i="20"/>
  <c r="AC124" i="20"/>
  <c r="M125" i="20"/>
  <c r="O125" i="20"/>
  <c r="S125" i="20"/>
  <c r="T125" i="20"/>
  <c r="U125" i="20"/>
  <c r="V125" i="20"/>
  <c r="W125" i="20"/>
  <c r="X125" i="20"/>
  <c r="Y125" i="20"/>
  <c r="AC125" i="20"/>
  <c r="M126" i="20"/>
  <c r="O126" i="20"/>
  <c r="S126" i="20"/>
  <c r="T126" i="20"/>
  <c r="U126" i="20"/>
  <c r="V126" i="20"/>
  <c r="W126" i="20"/>
  <c r="X126" i="20"/>
  <c r="Y126" i="20"/>
  <c r="AC126" i="20"/>
  <c r="M127" i="20"/>
  <c r="O127" i="20"/>
  <c r="S127" i="20"/>
  <c r="T127" i="20"/>
  <c r="U127" i="20"/>
  <c r="V127" i="20"/>
  <c r="W127" i="20"/>
  <c r="X127" i="20"/>
  <c r="Y127" i="20"/>
  <c r="AC127" i="20"/>
  <c r="M128" i="20"/>
  <c r="O128" i="20"/>
  <c r="S128" i="20"/>
  <c r="T128" i="20"/>
  <c r="U128" i="20"/>
  <c r="V128" i="20"/>
  <c r="W128" i="20"/>
  <c r="X128" i="20"/>
  <c r="Y128" i="20"/>
  <c r="AC128" i="20"/>
  <c r="M129" i="20"/>
  <c r="O129" i="20"/>
  <c r="S129" i="20"/>
  <c r="T129" i="20"/>
  <c r="U129" i="20"/>
  <c r="V129" i="20"/>
  <c r="W129" i="20"/>
  <c r="X129" i="20"/>
  <c r="Y129" i="20"/>
  <c r="AC129" i="20"/>
  <c r="M130" i="20"/>
  <c r="O130" i="20"/>
  <c r="S130" i="20"/>
  <c r="T130" i="20"/>
  <c r="U130" i="20"/>
  <c r="V130" i="20"/>
  <c r="W130" i="20"/>
  <c r="X130" i="20"/>
  <c r="Y130" i="20"/>
  <c r="AC130" i="20"/>
  <c r="M131" i="20"/>
  <c r="O131" i="20"/>
  <c r="S131" i="20"/>
  <c r="T131" i="20"/>
  <c r="U131" i="20"/>
  <c r="V131" i="20"/>
  <c r="W131" i="20"/>
  <c r="X131" i="20"/>
  <c r="Y131" i="20"/>
  <c r="AC131" i="20"/>
  <c r="M132" i="20"/>
  <c r="O132" i="20"/>
  <c r="S132" i="20"/>
  <c r="T132" i="20"/>
  <c r="U132" i="20"/>
  <c r="V132" i="20"/>
  <c r="W132" i="20"/>
  <c r="X132" i="20"/>
  <c r="Y132" i="20"/>
  <c r="AC132" i="20"/>
  <c r="M133" i="20"/>
  <c r="O133" i="20"/>
  <c r="S133" i="20"/>
  <c r="T133" i="20"/>
  <c r="U133" i="20"/>
  <c r="V133" i="20"/>
  <c r="W133" i="20"/>
  <c r="X133" i="20"/>
  <c r="Y133" i="20"/>
  <c r="AC133" i="20"/>
  <c r="M134" i="20"/>
  <c r="O134" i="20"/>
  <c r="S134" i="20"/>
  <c r="T134" i="20"/>
  <c r="U134" i="20"/>
  <c r="V134" i="20"/>
  <c r="W134" i="20"/>
  <c r="X134" i="20"/>
  <c r="Y134" i="20"/>
  <c r="AC134" i="20"/>
  <c r="M135" i="20"/>
  <c r="O135" i="20"/>
  <c r="S135" i="20"/>
  <c r="T135" i="20"/>
  <c r="U135" i="20"/>
  <c r="V135" i="20"/>
  <c r="W135" i="20"/>
  <c r="X135" i="20"/>
  <c r="Y135" i="20"/>
  <c r="AC135" i="20"/>
  <c r="M136" i="20"/>
  <c r="O136" i="20"/>
  <c r="S136" i="20"/>
  <c r="T136" i="20"/>
  <c r="U136" i="20"/>
  <c r="V136" i="20"/>
  <c r="W136" i="20"/>
  <c r="X136" i="20"/>
  <c r="Y136" i="20"/>
  <c r="AC136" i="20"/>
  <c r="M137" i="20"/>
  <c r="O137" i="20"/>
  <c r="S137" i="20"/>
  <c r="T137" i="20"/>
  <c r="U137" i="20"/>
  <c r="V137" i="20"/>
  <c r="W137" i="20"/>
  <c r="X137" i="20"/>
  <c r="Y137" i="20"/>
  <c r="AC137" i="20"/>
  <c r="M138" i="20"/>
  <c r="O138" i="20"/>
  <c r="S138" i="20"/>
  <c r="T138" i="20"/>
  <c r="U138" i="20"/>
  <c r="V138" i="20"/>
  <c r="W138" i="20"/>
  <c r="X138" i="20"/>
  <c r="Y138" i="20"/>
  <c r="AC138" i="20"/>
  <c r="M139" i="20"/>
  <c r="O139" i="20"/>
  <c r="S139" i="20"/>
  <c r="T139" i="20"/>
  <c r="U139" i="20"/>
  <c r="V139" i="20"/>
  <c r="W139" i="20"/>
  <c r="X139" i="20"/>
  <c r="Y139" i="20"/>
  <c r="AC139" i="20"/>
  <c r="M140" i="20"/>
  <c r="O140" i="20"/>
  <c r="S140" i="20"/>
  <c r="T140" i="20"/>
  <c r="U140" i="20"/>
  <c r="V140" i="20"/>
  <c r="W140" i="20"/>
  <c r="X140" i="20"/>
  <c r="Y140" i="20"/>
  <c r="AC140" i="20"/>
  <c r="M141" i="20"/>
  <c r="O141" i="20"/>
  <c r="S141" i="20"/>
  <c r="T141" i="20"/>
  <c r="U141" i="20"/>
  <c r="V141" i="20"/>
  <c r="W141" i="20"/>
  <c r="X141" i="20"/>
  <c r="Y141" i="20"/>
  <c r="AC141" i="20"/>
  <c r="M142" i="20"/>
  <c r="O142" i="20"/>
  <c r="S142" i="20"/>
  <c r="T142" i="20"/>
  <c r="U142" i="20"/>
  <c r="V142" i="20"/>
  <c r="W142" i="20"/>
  <c r="X142" i="20"/>
  <c r="Y142" i="20"/>
  <c r="AC142" i="20"/>
  <c r="M143" i="20"/>
  <c r="O143" i="20"/>
  <c r="S143" i="20"/>
  <c r="T143" i="20"/>
  <c r="U143" i="20"/>
  <c r="V143" i="20"/>
  <c r="W143" i="20"/>
  <c r="X143" i="20"/>
  <c r="Y143" i="20"/>
  <c r="AC143" i="20"/>
  <c r="M144" i="20"/>
  <c r="O144" i="20"/>
  <c r="S144" i="20"/>
  <c r="T144" i="20"/>
  <c r="U144" i="20"/>
  <c r="V144" i="20"/>
  <c r="W144" i="20"/>
  <c r="X144" i="20"/>
  <c r="Y144" i="20"/>
  <c r="AC144" i="20"/>
  <c r="M145" i="20"/>
  <c r="O145" i="20"/>
  <c r="S145" i="20"/>
  <c r="T145" i="20"/>
  <c r="U145" i="20"/>
  <c r="V145" i="20"/>
  <c r="W145" i="20"/>
  <c r="X145" i="20"/>
  <c r="Y145" i="20"/>
  <c r="AC145" i="20"/>
  <c r="M146" i="20"/>
  <c r="O146" i="20"/>
  <c r="S146" i="20"/>
  <c r="T146" i="20"/>
  <c r="U146" i="20"/>
  <c r="V146" i="20"/>
  <c r="W146" i="20"/>
  <c r="X146" i="20"/>
  <c r="Y146" i="20"/>
  <c r="AC146" i="20"/>
  <c r="M147" i="20"/>
  <c r="O147" i="20"/>
  <c r="S147" i="20"/>
  <c r="T147" i="20"/>
  <c r="U147" i="20"/>
  <c r="V147" i="20"/>
  <c r="W147" i="20"/>
  <c r="X147" i="20"/>
  <c r="Y147" i="20"/>
  <c r="AC147" i="20"/>
  <c r="M148" i="20"/>
  <c r="O148" i="20"/>
  <c r="S148" i="20"/>
  <c r="T148" i="20"/>
  <c r="U148" i="20"/>
  <c r="V148" i="20"/>
  <c r="W148" i="20"/>
  <c r="X148" i="20"/>
  <c r="Y148" i="20"/>
  <c r="AC148" i="20"/>
  <c r="M149" i="20"/>
  <c r="O149" i="20"/>
  <c r="S149" i="20"/>
  <c r="T149" i="20"/>
  <c r="U149" i="20"/>
  <c r="V149" i="20"/>
  <c r="W149" i="20"/>
  <c r="X149" i="20"/>
  <c r="Y149" i="20"/>
  <c r="AC149" i="20"/>
  <c r="M150" i="20"/>
  <c r="O150" i="20"/>
  <c r="S150" i="20"/>
  <c r="T150" i="20"/>
  <c r="U150" i="20"/>
  <c r="V150" i="20"/>
  <c r="W150" i="20"/>
  <c r="X150" i="20"/>
  <c r="Y150" i="20"/>
  <c r="AC150" i="20"/>
  <c r="M151" i="20"/>
  <c r="O151" i="20"/>
  <c r="S151" i="20"/>
  <c r="T151" i="20"/>
  <c r="U151" i="20"/>
  <c r="V151" i="20"/>
  <c r="W151" i="20"/>
  <c r="X151" i="20"/>
  <c r="Y151" i="20"/>
  <c r="AC151" i="20"/>
  <c r="M152" i="20"/>
  <c r="O152" i="20"/>
  <c r="S152" i="20"/>
  <c r="T152" i="20"/>
  <c r="U152" i="20"/>
  <c r="V152" i="20"/>
  <c r="W152" i="20"/>
  <c r="X152" i="20"/>
  <c r="Y152" i="20"/>
  <c r="AC152" i="20"/>
  <c r="M153" i="20"/>
  <c r="O153" i="20"/>
  <c r="S153" i="20"/>
  <c r="T153" i="20"/>
  <c r="U153" i="20"/>
  <c r="V153" i="20"/>
  <c r="W153" i="20"/>
  <c r="X153" i="20"/>
  <c r="Y153" i="20"/>
  <c r="AC153" i="20"/>
  <c r="M154" i="20"/>
  <c r="O154" i="20"/>
  <c r="S154" i="20"/>
  <c r="T154" i="20"/>
  <c r="U154" i="20"/>
  <c r="V154" i="20"/>
  <c r="W154" i="20"/>
  <c r="X154" i="20"/>
  <c r="Y154" i="20"/>
  <c r="AC154" i="20"/>
  <c r="M155" i="20"/>
  <c r="O155" i="20"/>
  <c r="S155" i="20"/>
  <c r="T155" i="20"/>
  <c r="U155" i="20"/>
  <c r="V155" i="20"/>
  <c r="W155" i="20"/>
  <c r="X155" i="20"/>
  <c r="Y155" i="20"/>
  <c r="AC155" i="20"/>
  <c r="M156" i="20"/>
  <c r="O156" i="20"/>
  <c r="S156" i="20"/>
  <c r="T156" i="20"/>
  <c r="U156" i="20"/>
  <c r="V156" i="20"/>
  <c r="W156" i="20"/>
  <c r="X156" i="20"/>
  <c r="Y156" i="20"/>
  <c r="AC156" i="20"/>
  <c r="M157" i="20"/>
  <c r="O157" i="20"/>
  <c r="S157" i="20"/>
  <c r="T157" i="20"/>
  <c r="U157" i="20"/>
  <c r="V157" i="20"/>
  <c r="W157" i="20"/>
  <c r="X157" i="20"/>
  <c r="Y157" i="20"/>
  <c r="AC157" i="20"/>
  <c r="M158" i="20"/>
  <c r="O158" i="20"/>
  <c r="S158" i="20"/>
  <c r="T158" i="20"/>
  <c r="U158" i="20"/>
  <c r="V158" i="20"/>
  <c r="W158" i="20"/>
  <c r="X158" i="20"/>
  <c r="Y158" i="20"/>
  <c r="AC158" i="20"/>
  <c r="M159" i="20"/>
  <c r="O159" i="20"/>
  <c r="S159" i="20"/>
  <c r="T159" i="20"/>
  <c r="U159" i="20"/>
  <c r="V159" i="20"/>
  <c r="W159" i="20"/>
  <c r="X159" i="20"/>
  <c r="Y159" i="20"/>
  <c r="AC159" i="20"/>
  <c r="M160" i="20"/>
  <c r="O160" i="20"/>
  <c r="S160" i="20"/>
  <c r="T160" i="20"/>
  <c r="U160" i="20"/>
  <c r="V160" i="20"/>
  <c r="W160" i="20"/>
  <c r="X160" i="20"/>
  <c r="Y160" i="20"/>
  <c r="AC160" i="20"/>
  <c r="M161" i="20"/>
  <c r="O161" i="20"/>
  <c r="S161" i="20"/>
  <c r="T161" i="20"/>
  <c r="U161" i="20"/>
  <c r="V161" i="20"/>
  <c r="W161" i="20"/>
  <c r="X161" i="20"/>
  <c r="Y161" i="20"/>
  <c r="AC161" i="20"/>
  <c r="M162" i="20"/>
  <c r="O162" i="20"/>
  <c r="S162" i="20"/>
  <c r="T162" i="20"/>
  <c r="U162" i="20"/>
  <c r="V162" i="20"/>
  <c r="W162" i="20"/>
  <c r="X162" i="20"/>
  <c r="Y162" i="20"/>
  <c r="AC162" i="20"/>
  <c r="M163" i="20"/>
  <c r="O163" i="20"/>
  <c r="S163" i="20"/>
  <c r="T163" i="20"/>
  <c r="U163" i="20"/>
  <c r="V163" i="20"/>
  <c r="W163" i="20"/>
  <c r="X163" i="20"/>
  <c r="Y163" i="20"/>
  <c r="AC163" i="20"/>
  <c r="M164" i="20"/>
  <c r="O164" i="20"/>
  <c r="S164" i="20"/>
  <c r="T164" i="20"/>
  <c r="U164" i="20"/>
  <c r="V164" i="20"/>
  <c r="W164" i="20"/>
  <c r="X164" i="20"/>
  <c r="Y164" i="20"/>
  <c r="AC164" i="20"/>
  <c r="M165" i="20"/>
  <c r="O165" i="20"/>
  <c r="S165" i="20"/>
  <c r="T165" i="20"/>
  <c r="U165" i="20"/>
  <c r="V165" i="20"/>
  <c r="W165" i="20"/>
  <c r="X165" i="20"/>
  <c r="Y165" i="20"/>
  <c r="AC165" i="20"/>
  <c r="M166" i="20"/>
  <c r="O166" i="20"/>
  <c r="S166" i="20"/>
  <c r="T166" i="20"/>
  <c r="U166" i="20"/>
  <c r="V166" i="20"/>
  <c r="W166" i="20"/>
  <c r="X166" i="20"/>
  <c r="Y166" i="20"/>
  <c r="AC166" i="20"/>
  <c r="M167" i="20"/>
  <c r="O167" i="20"/>
  <c r="S167" i="20"/>
  <c r="T167" i="20"/>
  <c r="U167" i="20"/>
  <c r="V167" i="20"/>
  <c r="W167" i="20"/>
  <c r="X167" i="20"/>
  <c r="Y167" i="20"/>
  <c r="AC167" i="20"/>
  <c r="M168" i="20"/>
  <c r="O168" i="20"/>
  <c r="S168" i="20"/>
  <c r="T168" i="20"/>
  <c r="U168" i="20"/>
  <c r="V168" i="20"/>
  <c r="W168" i="20"/>
  <c r="X168" i="20"/>
  <c r="Y168" i="20"/>
  <c r="AC168" i="20"/>
  <c r="M169" i="20"/>
  <c r="O169" i="20"/>
  <c r="S169" i="20"/>
  <c r="T169" i="20"/>
  <c r="U169" i="20"/>
  <c r="V169" i="20"/>
  <c r="W169" i="20"/>
  <c r="X169" i="20"/>
  <c r="Y169" i="20"/>
  <c r="AC169" i="20"/>
  <c r="M170" i="20"/>
  <c r="O170" i="20"/>
  <c r="S170" i="20"/>
  <c r="T170" i="20"/>
  <c r="U170" i="20"/>
  <c r="V170" i="20"/>
  <c r="W170" i="20"/>
  <c r="X170" i="20"/>
  <c r="Y170" i="20"/>
  <c r="AC170" i="20"/>
  <c r="M171" i="20"/>
  <c r="O171" i="20"/>
  <c r="S171" i="20"/>
  <c r="T171" i="20"/>
  <c r="U171" i="20"/>
  <c r="V171" i="20"/>
  <c r="W171" i="20"/>
  <c r="X171" i="20"/>
  <c r="Y171" i="20"/>
  <c r="AC171" i="20"/>
  <c r="M172" i="20"/>
  <c r="O172" i="20"/>
  <c r="S172" i="20"/>
  <c r="T172" i="20"/>
  <c r="U172" i="20"/>
  <c r="V172" i="20"/>
  <c r="W172" i="20"/>
  <c r="X172" i="20"/>
  <c r="Y172" i="20"/>
  <c r="AC172" i="20"/>
  <c r="M173" i="20"/>
  <c r="O173" i="20"/>
  <c r="S173" i="20"/>
  <c r="T173" i="20"/>
  <c r="U173" i="20"/>
  <c r="V173" i="20"/>
  <c r="W173" i="20"/>
  <c r="X173" i="20"/>
  <c r="Y173" i="20"/>
  <c r="AC173" i="20"/>
  <c r="M174" i="20"/>
  <c r="O174" i="20"/>
  <c r="S174" i="20"/>
  <c r="T174" i="20"/>
  <c r="U174" i="20"/>
  <c r="V174" i="20"/>
  <c r="W174" i="20"/>
  <c r="X174" i="20"/>
  <c r="Y174" i="20"/>
  <c r="AC174" i="20"/>
  <c r="M175" i="20"/>
  <c r="O175" i="20"/>
  <c r="S175" i="20"/>
  <c r="T175" i="20"/>
  <c r="U175" i="20"/>
  <c r="V175" i="20"/>
  <c r="W175" i="20"/>
  <c r="X175" i="20"/>
  <c r="Y175" i="20"/>
  <c r="AC175" i="20"/>
  <c r="M176" i="20"/>
  <c r="O176" i="20"/>
  <c r="S176" i="20"/>
  <c r="T176" i="20"/>
  <c r="U176" i="20"/>
  <c r="V176" i="20"/>
  <c r="W176" i="20"/>
  <c r="X176" i="20"/>
  <c r="Y176" i="20"/>
  <c r="AC176" i="20"/>
  <c r="M177" i="20"/>
  <c r="O177" i="20"/>
  <c r="S177" i="20"/>
  <c r="T177" i="20"/>
  <c r="U177" i="20"/>
  <c r="V177" i="20"/>
  <c r="W177" i="20"/>
  <c r="X177" i="20"/>
  <c r="Y177" i="20"/>
  <c r="AC177" i="20"/>
  <c r="M178" i="20"/>
  <c r="O178" i="20"/>
  <c r="S178" i="20"/>
  <c r="T178" i="20"/>
  <c r="U178" i="20"/>
  <c r="V178" i="20"/>
  <c r="W178" i="20"/>
  <c r="X178" i="20"/>
  <c r="Y178" i="20"/>
  <c r="AC178" i="20"/>
  <c r="M179" i="20"/>
  <c r="O179" i="20"/>
  <c r="S179" i="20"/>
  <c r="T179" i="20"/>
  <c r="U179" i="20"/>
  <c r="V179" i="20"/>
  <c r="W179" i="20"/>
  <c r="X179" i="20"/>
  <c r="Y179" i="20"/>
  <c r="AC179" i="20"/>
  <c r="M180" i="20"/>
  <c r="O180" i="20"/>
  <c r="S180" i="20"/>
  <c r="T180" i="20"/>
  <c r="U180" i="20"/>
  <c r="V180" i="20"/>
  <c r="W180" i="20"/>
  <c r="X180" i="20"/>
  <c r="Y180" i="20"/>
  <c r="AC180" i="20"/>
  <c r="M181" i="20"/>
  <c r="O181" i="20"/>
  <c r="S181" i="20"/>
  <c r="T181" i="20"/>
  <c r="U181" i="20"/>
  <c r="V181" i="20"/>
  <c r="W181" i="20"/>
  <c r="X181" i="20"/>
  <c r="Y181" i="20"/>
  <c r="AC181" i="20"/>
  <c r="M182" i="20"/>
  <c r="O182" i="20"/>
  <c r="S182" i="20"/>
  <c r="T182" i="20"/>
  <c r="U182" i="20"/>
  <c r="V182" i="20"/>
  <c r="W182" i="20"/>
  <c r="X182" i="20"/>
  <c r="Y182" i="20"/>
  <c r="AC182" i="20"/>
  <c r="M183" i="20"/>
  <c r="O183" i="20"/>
  <c r="S183" i="20"/>
  <c r="T183" i="20"/>
  <c r="U183" i="20"/>
  <c r="V183" i="20"/>
  <c r="W183" i="20"/>
  <c r="X183" i="20"/>
  <c r="Y183" i="20"/>
  <c r="AC183" i="20"/>
  <c r="M184" i="20"/>
  <c r="O184" i="20"/>
  <c r="S184" i="20"/>
  <c r="T184" i="20"/>
  <c r="U184" i="20"/>
  <c r="V184" i="20"/>
  <c r="W184" i="20"/>
  <c r="X184" i="20"/>
  <c r="Y184" i="20"/>
  <c r="AC184" i="20"/>
  <c r="M185" i="20"/>
  <c r="O185" i="20"/>
  <c r="S185" i="20"/>
  <c r="T185" i="20"/>
  <c r="U185" i="20"/>
  <c r="V185" i="20"/>
  <c r="W185" i="20"/>
  <c r="X185" i="20"/>
  <c r="Y185" i="20"/>
  <c r="AC185" i="20"/>
  <c r="M186" i="20"/>
  <c r="O186" i="20"/>
  <c r="S186" i="20"/>
  <c r="T186" i="20"/>
  <c r="U186" i="20"/>
  <c r="V186" i="20"/>
  <c r="W186" i="20"/>
  <c r="X186" i="20"/>
  <c r="Y186" i="20"/>
  <c r="AC186" i="20"/>
  <c r="M187" i="20"/>
  <c r="O187" i="20"/>
  <c r="S187" i="20"/>
  <c r="T187" i="20"/>
  <c r="U187" i="20"/>
  <c r="V187" i="20"/>
  <c r="W187" i="20"/>
  <c r="X187" i="20"/>
  <c r="Y187" i="20"/>
  <c r="AC187" i="20"/>
  <c r="M188" i="20"/>
  <c r="O188" i="20"/>
  <c r="S188" i="20"/>
  <c r="T188" i="20"/>
  <c r="U188" i="20"/>
  <c r="V188" i="20"/>
  <c r="W188" i="20"/>
  <c r="X188" i="20"/>
  <c r="Y188" i="20"/>
  <c r="AC188" i="20"/>
  <c r="M189" i="20"/>
  <c r="O189" i="20"/>
  <c r="S189" i="20"/>
  <c r="T189" i="20"/>
  <c r="U189" i="20"/>
  <c r="V189" i="20"/>
  <c r="W189" i="20"/>
  <c r="X189" i="20"/>
  <c r="Y189" i="20"/>
  <c r="AC189" i="20"/>
  <c r="M190" i="20"/>
  <c r="O190" i="20"/>
  <c r="S190" i="20"/>
  <c r="T190" i="20"/>
  <c r="U190" i="20"/>
  <c r="V190" i="20"/>
  <c r="W190" i="20"/>
  <c r="X190" i="20"/>
  <c r="Y190" i="20"/>
  <c r="AC190" i="20"/>
  <c r="M191" i="20"/>
  <c r="O191" i="20"/>
  <c r="S191" i="20"/>
  <c r="T191" i="20"/>
  <c r="U191" i="20"/>
  <c r="V191" i="20"/>
  <c r="W191" i="20"/>
  <c r="X191" i="20"/>
  <c r="Y191" i="20"/>
  <c r="AC191" i="20"/>
  <c r="M192" i="20"/>
  <c r="O192" i="20"/>
  <c r="S192" i="20"/>
  <c r="T192" i="20"/>
  <c r="U192" i="20"/>
  <c r="V192" i="20"/>
  <c r="W192" i="20"/>
  <c r="X192" i="20"/>
  <c r="Y192" i="20"/>
  <c r="AC192" i="20"/>
  <c r="M193" i="20"/>
  <c r="O193" i="20"/>
  <c r="S193" i="20"/>
  <c r="T193" i="20"/>
  <c r="U193" i="20"/>
  <c r="V193" i="20"/>
  <c r="W193" i="20"/>
  <c r="X193" i="20"/>
  <c r="Y193" i="20"/>
  <c r="AC193" i="20"/>
  <c r="M194" i="20"/>
  <c r="O194" i="20"/>
  <c r="S194" i="20"/>
  <c r="T194" i="20"/>
  <c r="U194" i="20"/>
  <c r="V194" i="20"/>
  <c r="W194" i="20"/>
  <c r="X194" i="20"/>
  <c r="Y194" i="20"/>
  <c r="AC194" i="20"/>
  <c r="M195" i="20"/>
  <c r="O195" i="20"/>
  <c r="S195" i="20"/>
  <c r="T195" i="20"/>
  <c r="U195" i="20"/>
  <c r="V195" i="20"/>
  <c r="W195" i="20"/>
  <c r="X195" i="20"/>
  <c r="Y195" i="20"/>
  <c r="AC195" i="20"/>
  <c r="M196" i="20"/>
  <c r="O196" i="20"/>
  <c r="S196" i="20"/>
  <c r="T196" i="20"/>
  <c r="U196" i="20"/>
  <c r="V196" i="20"/>
  <c r="W196" i="20"/>
  <c r="X196" i="20"/>
  <c r="Y196" i="20"/>
  <c r="AC196" i="20"/>
  <c r="M197" i="20"/>
  <c r="O197" i="20"/>
  <c r="S197" i="20"/>
  <c r="T197" i="20"/>
  <c r="U197" i="20"/>
  <c r="V197" i="20"/>
  <c r="W197" i="20"/>
  <c r="X197" i="20"/>
  <c r="Y197" i="20"/>
  <c r="AC197" i="20"/>
  <c r="M198" i="20"/>
  <c r="O198" i="20"/>
  <c r="S198" i="20"/>
  <c r="T198" i="20"/>
  <c r="U198" i="20"/>
  <c r="V198" i="20"/>
  <c r="W198" i="20"/>
  <c r="X198" i="20"/>
  <c r="Y198" i="20"/>
  <c r="AC198" i="20"/>
  <c r="M199" i="20"/>
  <c r="O199" i="20"/>
  <c r="S199" i="20"/>
  <c r="T199" i="20"/>
  <c r="U199" i="20"/>
  <c r="V199" i="20"/>
  <c r="W199" i="20"/>
  <c r="X199" i="20"/>
  <c r="Y199" i="20"/>
  <c r="AC199" i="20"/>
  <c r="M200" i="20"/>
  <c r="O200" i="20"/>
  <c r="S200" i="20"/>
  <c r="T200" i="20"/>
  <c r="U200" i="20"/>
  <c r="V200" i="20"/>
  <c r="W200" i="20"/>
  <c r="X200" i="20"/>
  <c r="Y200" i="20"/>
  <c r="AC200" i="20"/>
  <c r="M201" i="20"/>
  <c r="O201" i="20"/>
  <c r="S201" i="20"/>
  <c r="T201" i="20"/>
  <c r="U201" i="20"/>
  <c r="V201" i="20"/>
  <c r="W201" i="20"/>
  <c r="X201" i="20"/>
  <c r="Y201" i="20"/>
  <c r="AC201" i="20"/>
  <c r="M202" i="20"/>
  <c r="O202" i="20"/>
  <c r="S202" i="20"/>
  <c r="T202" i="20"/>
  <c r="U202" i="20"/>
  <c r="V202" i="20"/>
  <c r="W202" i="20"/>
  <c r="X202" i="20"/>
  <c r="Y202" i="20"/>
  <c r="AC202" i="20"/>
  <c r="M203" i="20"/>
  <c r="O203" i="20"/>
  <c r="S203" i="20"/>
  <c r="T203" i="20"/>
  <c r="U203" i="20"/>
  <c r="V203" i="20"/>
  <c r="W203" i="20"/>
  <c r="X203" i="20"/>
  <c r="Y203" i="20"/>
  <c r="AC203" i="20"/>
  <c r="M204" i="20"/>
  <c r="O204" i="20"/>
  <c r="S204" i="20"/>
  <c r="T204" i="20"/>
  <c r="U204" i="20"/>
  <c r="V204" i="20"/>
  <c r="W204" i="20"/>
  <c r="X204" i="20"/>
  <c r="Y204" i="20"/>
  <c r="AC204" i="20"/>
  <c r="M205" i="20"/>
  <c r="O205" i="20"/>
  <c r="S205" i="20"/>
  <c r="T205" i="20"/>
  <c r="U205" i="20"/>
  <c r="V205" i="20"/>
  <c r="W205" i="20"/>
  <c r="X205" i="20"/>
  <c r="Y205" i="20"/>
  <c r="AC205" i="20"/>
  <c r="M206" i="20"/>
  <c r="O206" i="20"/>
  <c r="S206" i="20"/>
  <c r="T206" i="20"/>
  <c r="U206" i="20"/>
  <c r="V206" i="20"/>
  <c r="W206" i="20"/>
  <c r="X206" i="20"/>
  <c r="Y206" i="20"/>
  <c r="AC206" i="20"/>
  <c r="M207" i="20"/>
  <c r="O207" i="20"/>
  <c r="S207" i="20"/>
  <c r="T207" i="20"/>
  <c r="U207" i="20"/>
  <c r="V207" i="20"/>
  <c r="W207" i="20"/>
  <c r="X207" i="20"/>
  <c r="Y207" i="20"/>
  <c r="AC207" i="20"/>
  <c r="M208" i="20"/>
  <c r="O208" i="20"/>
  <c r="S208" i="20"/>
  <c r="T208" i="20"/>
  <c r="U208" i="20"/>
  <c r="V208" i="20"/>
  <c r="W208" i="20"/>
  <c r="X208" i="20"/>
  <c r="Y208" i="20"/>
  <c r="AC208" i="20"/>
  <c r="M209" i="20"/>
  <c r="O209" i="20"/>
  <c r="S209" i="20"/>
  <c r="T209" i="20"/>
  <c r="U209" i="20"/>
  <c r="V209" i="20"/>
  <c r="W209" i="20"/>
  <c r="X209" i="20"/>
  <c r="Y209" i="20"/>
  <c r="AC209" i="20"/>
  <c r="M210" i="20"/>
  <c r="O210" i="20"/>
  <c r="S210" i="20"/>
  <c r="T210" i="20"/>
  <c r="U210" i="20"/>
  <c r="V210" i="20"/>
  <c r="W210" i="20"/>
  <c r="X210" i="20"/>
  <c r="Y210" i="20"/>
  <c r="AC210" i="20"/>
  <c r="M211" i="20"/>
  <c r="O211" i="20"/>
  <c r="S211" i="20"/>
  <c r="T211" i="20"/>
  <c r="U211" i="20"/>
  <c r="V211" i="20"/>
  <c r="W211" i="20"/>
  <c r="X211" i="20"/>
  <c r="Y211" i="20"/>
  <c r="AC211" i="20"/>
  <c r="M212" i="20"/>
  <c r="O212" i="20"/>
  <c r="S212" i="20"/>
  <c r="T212" i="20"/>
  <c r="U212" i="20"/>
  <c r="V212" i="20"/>
  <c r="W212" i="20"/>
  <c r="X212" i="20"/>
  <c r="Y212" i="20"/>
  <c r="AC212" i="20"/>
  <c r="M213" i="20"/>
  <c r="O213" i="20"/>
  <c r="S213" i="20"/>
  <c r="T213" i="20"/>
  <c r="U213" i="20"/>
  <c r="V213" i="20"/>
  <c r="W213" i="20"/>
  <c r="X213" i="20"/>
  <c r="Y213" i="20"/>
  <c r="AC213" i="20"/>
  <c r="M214" i="20"/>
  <c r="O214" i="20"/>
  <c r="S214" i="20"/>
  <c r="T214" i="20"/>
  <c r="U214" i="20"/>
  <c r="V214" i="20"/>
  <c r="W214" i="20"/>
  <c r="X214" i="20"/>
  <c r="Y214" i="20"/>
  <c r="AC214" i="20"/>
  <c r="M215" i="20"/>
  <c r="O215" i="20"/>
  <c r="S215" i="20"/>
  <c r="T215" i="20"/>
  <c r="U215" i="20"/>
  <c r="V215" i="20"/>
  <c r="W215" i="20"/>
  <c r="X215" i="20"/>
  <c r="Y215" i="20"/>
  <c r="AC215" i="20"/>
  <c r="M216" i="20"/>
  <c r="O216" i="20"/>
  <c r="S216" i="20"/>
  <c r="T216" i="20"/>
  <c r="U216" i="20"/>
  <c r="V216" i="20"/>
  <c r="W216" i="20"/>
  <c r="X216" i="20"/>
  <c r="Y216" i="20"/>
  <c r="AC216" i="20"/>
  <c r="M217" i="20"/>
  <c r="O217" i="20"/>
  <c r="S217" i="20"/>
  <c r="T217" i="20"/>
  <c r="U217" i="20"/>
  <c r="V217" i="20"/>
  <c r="W217" i="20"/>
  <c r="X217" i="20"/>
  <c r="Y217" i="20"/>
  <c r="AC217" i="20"/>
  <c r="M218" i="20"/>
  <c r="O218" i="20"/>
  <c r="S218" i="20"/>
  <c r="T218" i="20"/>
  <c r="U218" i="20"/>
  <c r="V218" i="20"/>
  <c r="W218" i="20"/>
  <c r="X218" i="20"/>
  <c r="Y218" i="20"/>
  <c r="AC218" i="20"/>
  <c r="M219" i="20"/>
  <c r="O219" i="20"/>
  <c r="S219" i="20"/>
  <c r="T219" i="20"/>
  <c r="U219" i="20"/>
  <c r="V219" i="20"/>
  <c r="W219" i="20"/>
  <c r="X219" i="20"/>
  <c r="Y219" i="20"/>
  <c r="AC219" i="20"/>
  <c r="M220" i="20"/>
  <c r="O220" i="20"/>
  <c r="S220" i="20"/>
  <c r="T220" i="20"/>
  <c r="U220" i="20"/>
  <c r="V220" i="20"/>
  <c r="W220" i="20"/>
  <c r="X220" i="20"/>
  <c r="Y220" i="20"/>
  <c r="AC220" i="20"/>
  <c r="M221" i="20"/>
  <c r="O221" i="20"/>
  <c r="S221" i="20"/>
  <c r="T221" i="20"/>
  <c r="U221" i="20"/>
  <c r="V221" i="20"/>
  <c r="W221" i="20"/>
  <c r="X221" i="20"/>
  <c r="Y221" i="20"/>
  <c r="AC221" i="20"/>
  <c r="M222" i="20"/>
  <c r="O222" i="20"/>
  <c r="S222" i="20"/>
  <c r="T222" i="20"/>
  <c r="U222" i="20"/>
  <c r="V222" i="20"/>
  <c r="W222" i="20"/>
  <c r="X222" i="20"/>
  <c r="Y222" i="20"/>
  <c r="AC222" i="20"/>
  <c r="M223" i="20"/>
  <c r="O223" i="20"/>
  <c r="S223" i="20"/>
  <c r="T223" i="20"/>
  <c r="U223" i="20"/>
  <c r="V223" i="20"/>
  <c r="W223" i="20"/>
  <c r="X223" i="20"/>
  <c r="Y223" i="20"/>
  <c r="AC223" i="20"/>
  <c r="M224" i="20"/>
  <c r="O224" i="20"/>
  <c r="S224" i="20"/>
  <c r="T224" i="20"/>
  <c r="U224" i="20"/>
  <c r="V224" i="20"/>
  <c r="W224" i="20"/>
  <c r="X224" i="20"/>
  <c r="Y224" i="20"/>
  <c r="AC224" i="20"/>
  <c r="M225" i="20"/>
  <c r="O225" i="20"/>
  <c r="S225" i="20"/>
  <c r="T225" i="20"/>
  <c r="U225" i="20"/>
  <c r="V225" i="20"/>
  <c r="W225" i="20"/>
  <c r="X225" i="20"/>
  <c r="Y225" i="20"/>
  <c r="AC225" i="20"/>
  <c r="M226" i="20"/>
  <c r="O226" i="20"/>
  <c r="S226" i="20"/>
  <c r="T226" i="20"/>
  <c r="U226" i="20"/>
  <c r="V226" i="20"/>
  <c r="W226" i="20"/>
  <c r="X226" i="20"/>
  <c r="Y226" i="20"/>
  <c r="AC226" i="20"/>
  <c r="M227" i="20"/>
  <c r="O227" i="20"/>
  <c r="S227" i="20"/>
  <c r="T227" i="20"/>
  <c r="U227" i="20"/>
  <c r="V227" i="20"/>
  <c r="W227" i="20"/>
  <c r="X227" i="20"/>
  <c r="Y227" i="20"/>
  <c r="AC227" i="20"/>
  <c r="M228" i="20"/>
  <c r="O228" i="20"/>
  <c r="S228" i="20"/>
  <c r="T228" i="20"/>
  <c r="U228" i="20"/>
  <c r="V228" i="20"/>
  <c r="W228" i="20"/>
  <c r="X228" i="20"/>
  <c r="Y228" i="20"/>
  <c r="AC228" i="20"/>
  <c r="M229" i="20"/>
  <c r="O229" i="20"/>
  <c r="S229" i="20"/>
  <c r="T229" i="20"/>
  <c r="U229" i="20"/>
  <c r="V229" i="20"/>
  <c r="W229" i="20"/>
  <c r="X229" i="20"/>
  <c r="Y229" i="20"/>
  <c r="AC229" i="20"/>
  <c r="M230" i="20"/>
  <c r="O230" i="20"/>
  <c r="S230" i="20"/>
  <c r="T230" i="20"/>
  <c r="U230" i="20"/>
  <c r="V230" i="20"/>
  <c r="W230" i="20"/>
  <c r="X230" i="20"/>
  <c r="Y230" i="20"/>
  <c r="AC230" i="20"/>
  <c r="M231" i="20"/>
  <c r="O231" i="20"/>
  <c r="S231" i="20"/>
  <c r="T231" i="20"/>
  <c r="U231" i="20"/>
  <c r="V231" i="20"/>
  <c r="W231" i="20"/>
  <c r="X231" i="20"/>
  <c r="Y231" i="20"/>
  <c r="AC231" i="20"/>
  <c r="M232" i="20"/>
  <c r="O232" i="20"/>
  <c r="S232" i="20"/>
  <c r="T232" i="20"/>
  <c r="U232" i="20"/>
  <c r="V232" i="20"/>
  <c r="W232" i="20"/>
  <c r="X232" i="20"/>
  <c r="Y232" i="20"/>
  <c r="AC232" i="20"/>
  <c r="M233" i="20"/>
  <c r="O233" i="20"/>
  <c r="S233" i="20"/>
  <c r="T233" i="20"/>
  <c r="U233" i="20"/>
  <c r="V233" i="20"/>
  <c r="W233" i="20"/>
  <c r="X233" i="20"/>
  <c r="Y233" i="20"/>
  <c r="AC233" i="20"/>
  <c r="M234" i="20"/>
  <c r="O234" i="20"/>
  <c r="S234" i="20"/>
  <c r="T234" i="20"/>
  <c r="U234" i="20"/>
  <c r="V234" i="20"/>
  <c r="W234" i="20"/>
  <c r="X234" i="20"/>
  <c r="Y234" i="20"/>
  <c r="AC234" i="20"/>
  <c r="M235" i="20"/>
  <c r="O235" i="20"/>
  <c r="S235" i="20"/>
  <c r="T235" i="20"/>
  <c r="U235" i="20"/>
  <c r="V235" i="20"/>
  <c r="W235" i="20"/>
  <c r="X235" i="20"/>
  <c r="Y235" i="20"/>
  <c r="AC235" i="20"/>
  <c r="M236" i="20"/>
  <c r="O236" i="20"/>
  <c r="S236" i="20"/>
  <c r="T236" i="20"/>
  <c r="U236" i="20"/>
  <c r="V236" i="20"/>
  <c r="W236" i="20"/>
  <c r="X236" i="20"/>
  <c r="Y236" i="20"/>
  <c r="AC236" i="20"/>
  <c r="M237" i="20"/>
  <c r="O237" i="20"/>
  <c r="S237" i="20"/>
  <c r="T237" i="20"/>
  <c r="U237" i="20"/>
  <c r="V237" i="20"/>
  <c r="W237" i="20"/>
  <c r="X237" i="20"/>
  <c r="Y237" i="20"/>
  <c r="AC237" i="20"/>
  <c r="M238" i="20"/>
  <c r="O238" i="20"/>
  <c r="S238" i="20"/>
  <c r="T238" i="20"/>
  <c r="U238" i="20"/>
  <c r="V238" i="20"/>
  <c r="W238" i="20"/>
  <c r="X238" i="20"/>
  <c r="Y238" i="20"/>
  <c r="AC238" i="20"/>
  <c r="M239" i="20"/>
  <c r="O239" i="20"/>
  <c r="S239" i="20"/>
  <c r="T239" i="20"/>
  <c r="U239" i="20"/>
  <c r="V239" i="20"/>
  <c r="W239" i="20"/>
  <c r="X239" i="20"/>
  <c r="Y239" i="20"/>
  <c r="AC239" i="20"/>
  <c r="M240" i="20"/>
  <c r="O240" i="20"/>
  <c r="S240" i="20"/>
  <c r="T240" i="20"/>
  <c r="U240" i="20"/>
  <c r="V240" i="20"/>
  <c r="W240" i="20"/>
  <c r="X240" i="20"/>
  <c r="Y240" i="20"/>
  <c r="AC240" i="20"/>
  <c r="M241" i="20"/>
  <c r="O241" i="20"/>
  <c r="S241" i="20"/>
  <c r="T241" i="20"/>
  <c r="U241" i="20"/>
  <c r="V241" i="20"/>
  <c r="W241" i="20"/>
  <c r="X241" i="20"/>
  <c r="Y241" i="20"/>
  <c r="AC241" i="20"/>
  <c r="M242" i="20"/>
  <c r="O242" i="20"/>
  <c r="S242" i="20"/>
  <c r="T242" i="20"/>
  <c r="U242" i="20"/>
  <c r="V242" i="20"/>
  <c r="W242" i="20"/>
  <c r="X242" i="20"/>
  <c r="Y242" i="20"/>
  <c r="AC242" i="20"/>
  <c r="M243" i="20"/>
  <c r="O243" i="20"/>
  <c r="S243" i="20"/>
  <c r="T243" i="20"/>
  <c r="U243" i="20"/>
  <c r="V243" i="20"/>
  <c r="W243" i="20"/>
  <c r="X243" i="20"/>
  <c r="Y243" i="20"/>
  <c r="AC243" i="20"/>
  <c r="M244" i="20"/>
  <c r="O244" i="20"/>
  <c r="S244" i="20"/>
  <c r="T244" i="20"/>
  <c r="U244" i="20"/>
  <c r="V244" i="20"/>
  <c r="W244" i="20"/>
  <c r="X244" i="20"/>
  <c r="Y244" i="20"/>
  <c r="AC244" i="20"/>
  <c r="M245" i="20"/>
  <c r="O245" i="20"/>
  <c r="S245" i="20"/>
  <c r="T245" i="20"/>
  <c r="U245" i="20"/>
  <c r="V245" i="20"/>
  <c r="W245" i="20"/>
  <c r="X245" i="20"/>
  <c r="Y245" i="20"/>
  <c r="AC245" i="20"/>
  <c r="M246" i="20"/>
  <c r="O246" i="20"/>
  <c r="S246" i="20"/>
  <c r="T246" i="20"/>
  <c r="U246" i="20"/>
  <c r="V246" i="20"/>
  <c r="W246" i="20"/>
  <c r="X246" i="20"/>
  <c r="Y246" i="20"/>
  <c r="AC246" i="20"/>
  <c r="M247" i="20"/>
  <c r="O247" i="20"/>
  <c r="S247" i="20"/>
  <c r="T247" i="20"/>
  <c r="U247" i="20"/>
  <c r="V247" i="20"/>
  <c r="W247" i="20"/>
  <c r="X247" i="20"/>
  <c r="Y247" i="20"/>
  <c r="AC247" i="20"/>
  <c r="M248" i="20"/>
  <c r="O248" i="20"/>
  <c r="S248" i="20"/>
  <c r="T248" i="20"/>
  <c r="U248" i="20"/>
  <c r="V248" i="20"/>
  <c r="W248" i="20"/>
  <c r="X248" i="20"/>
  <c r="Y248" i="20"/>
  <c r="AC248" i="20"/>
  <c r="M249" i="20"/>
  <c r="O249" i="20"/>
  <c r="S249" i="20"/>
  <c r="T249" i="20"/>
  <c r="U249" i="20"/>
  <c r="V249" i="20"/>
  <c r="W249" i="20"/>
  <c r="X249" i="20"/>
  <c r="Y249" i="20"/>
  <c r="AC249" i="20"/>
  <c r="M250" i="20"/>
  <c r="O250" i="20"/>
  <c r="S250" i="20"/>
  <c r="T250" i="20"/>
  <c r="U250" i="20"/>
  <c r="V250" i="20"/>
  <c r="W250" i="20"/>
  <c r="X250" i="20"/>
  <c r="Y250" i="20"/>
  <c r="AC250" i="20"/>
  <c r="M251" i="20"/>
  <c r="O251" i="20"/>
  <c r="S251" i="20"/>
  <c r="T251" i="20"/>
  <c r="U251" i="20"/>
  <c r="V251" i="20"/>
  <c r="W251" i="20"/>
  <c r="X251" i="20"/>
  <c r="Y251" i="20"/>
  <c r="AC251" i="20"/>
  <c r="M252" i="20"/>
  <c r="O252" i="20"/>
  <c r="S252" i="20"/>
  <c r="T252" i="20"/>
  <c r="U252" i="20"/>
  <c r="V252" i="20"/>
  <c r="W252" i="20"/>
  <c r="X252" i="20"/>
  <c r="Y252" i="20"/>
  <c r="AC252" i="20"/>
  <c r="M253" i="20"/>
  <c r="O253" i="20"/>
  <c r="S253" i="20"/>
  <c r="T253" i="20"/>
  <c r="U253" i="20"/>
  <c r="V253" i="20"/>
  <c r="W253" i="20"/>
  <c r="X253" i="20"/>
  <c r="Y253" i="20"/>
  <c r="AC253" i="20"/>
  <c r="M254" i="20"/>
  <c r="O254" i="20"/>
  <c r="S254" i="20"/>
  <c r="T254" i="20"/>
  <c r="U254" i="20"/>
  <c r="V254" i="20"/>
  <c r="W254" i="20"/>
  <c r="X254" i="20"/>
  <c r="Y254" i="20"/>
  <c r="AC254" i="20"/>
  <c r="M255" i="20"/>
  <c r="O255" i="20"/>
  <c r="S255" i="20"/>
  <c r="T255" i="20"/>
  <c r="U255" i="20"/>
  <c r="V255" i="20"/>
  <c r="W255" i="20"/>
  <c r="X255" i="20"/>
  <c r="Y255" i="20"/>
  <c r="AC255" i="20"/>
  <c r="M256" i="20"/>
  <c r="O256" i="20"/>
  <c r="S256" i="20"/>
  <c r="T256" i="20"/>
  <c r="U256" i="20"/>
  <c r="V256" i="20"/>
  <c r="W256" i="20"/>
  <c r="X256" i="20"/>
  <c r="Y256" i="20"/>
  <c r="AC256" i="20"/>
  <c r="M257" i="20"/>
  <c r="O257" i="20"/>
  <c r="S257" i="20"/>
  <c r="T257" i="20"/>
  <c r="U257" i="20"/>
  <c r="V257" i="20"/>
  <c r="W257" i="20"/>
  <c r="X257" i="20"/>
  <c r="Y257" i="20"/>
  <c r="AC257" i="20"/>
  <c r="M258" i="20"/>
  <c r="O258" i="20"/>
  <c r="S258" i="20"/>
  <c r="T258" i="20"/>
  <c r="U258" i="20"/>
  <c r="V258" i="20"/>
  <c r="W258" i="20"/>
  <c r="X258" i="20"/>
  <c r="Y258" i="20"/>
  <c r="AC258" i="20"/>
  <c r="M259" i="20"/>
  <c r="O259" i="20"/>
  <c r="S259" i="20"/>
  <c r="T259" i="20"/>
  <c r="U259" i="20"/>
  <c r="V259" i="20"/>
  <c r="W259" i="20"/>
  <c r="X259" i="20"/>
  <c r="Y259" i="20"/>
  <c r="AC259" i="20"/>
  <c r="M260" i="20"/>
  <c r="O260" i="20"/>
  <c r="S260" i="20"/>
  <c r="T260" i="20"/>
  <c r="U260" i="20"/>
  <c r="V260" i="20"/>
  <c r="W260" i="20"/>
  <c r="X260" i="20"/>
  <c r="Y260" i="20"/>
  <c r="AC260" i="20"/>
  <c r="M261" i="20"/>
  <c r="O261" i="20"/>
  <c r="S261" i="20"/>
  <c r="T261" i="20"/>
  <c r="U261" i="20"/>
  <c r="V261" i="20"/>
  <c r="W261" i="20"/>
  <c r="X261" i="20"/>
  <c r="Y261" i="20"/>
  <c r="AC261" i="20"/>
  <c r="M262" i="20"/>
  <c r="O262" i="20"/>
  <c r="S262" i="20"/>
  <c r="T262" i="20"/>
  <c r="U262" i="20"/>
  <c r="V262" i="20"/>
  <c r="W262" i="20"/>
  <c r="X262" i="20"/>
  <c r="Y262" i="20"/>
  <c r="AC262" i="20"/>
  <c r="M263" i="20"/>
  <c r="O263" i="20"/>
  <c r="S263" i="20"/>
  <c r="T263" i="20"/>
  <c r="U263" i="20"/>
  <c r="V263" i="20"/>
  <c r="W263" i="20"/>
  <c r="X263" i="20"/>
  <c r="Y263" i="20"/>
  <c r="AC263" i="20"/>
  <c r="M264" i="20"/>
  <c r="O264" i="20"/>
  <c r="S264" i="20"/>
  <c r="T264" i="20"/>
  <c r="U264" i="20"/>
  <c r="V264" i="20"/>
  <c r="W264" i="20"/>
  <c r="X264" i="20"/>
  <c r="Y264" i="20"/>
  <c r="AC264" i="20"/>
  <c r="M265" i="20"/>
  <c r="O265" i="20"/>
  <c r="S265" i="20"/>
  <c r="T265" i="20"/>
  <c r="U265" i="20"/>
  <c r="V265" i="20"/>
  <c r="W265" i="20"/>
  <c r="X265" i="20"/>
  <c r="Y265" i="20"/>
  <c r="AC265" i="20"/>
  <c r="M266" i="20"/>
  <c r="O266" i="20"/>
  <c r="S266" i="20"/>
  <c r="T266" i="20"/>
  <c r="U266" i="20"/>
  <c r="V266" i="20"/>
  <c r="W266" i="20"/>
  <c r="X266" i="20"/>
  <c r="Y266" i="20"/>
  <c r="AC266" i="20"/>
  <c r="M267" i="20"/>
  <c r="O267" i="20"/>
  <c r="S267" i="20"/>
  <c r="T267" i="20"/>
  <c r="U267" i="20"/>
  <c r="V267" i="20"/>
  <c r="W267" i="20"/>
  <c r="X267" i="20"/>
  <c r="Y267" i="20"/>
  <c r="AC267" i="20"/>
  <c r="M268" i="20"/>
  <c r="O268" i="20"/>
  <c r="S268" i="20"/>
  <c r="T268" i="20"/>
  <c r="U268" i="20"/>
  <c r="V268" i="20"/>
  <c r="W268" i="20"/>
  <c r="X268" i="20"/>
  <c r="Y268" i="20"/>
  <c r="AC268" i="20"/>
  <c r="M269" i="20"/>
  <c r="O269" i="20"/>
  <c r="S269" i="20"/>
  <c r="T269" i="20"/>
  <c r="U269" i="20"/>
  <c r="V269" i="20"/>
  <c r="W269" i="20"/>
  <c r="X269" i="20"/>
  <c r="Y269" i="20"/>
  <c r="AC269" i="20"/>
  <c r="M270" i="20"/>
  <c r="O270" i="20"/>
  <c r="S270" i="20"/>
  <c r="T270" i="20"/>
  <c r="U270" i="20"/>
  <c r="V270" i="20"/>
  <c r="W270" i="20"/>
  <c r="X270" i="20"/>
  <c r="Y270" i="20"/>
  <c r="AC270" i="20"/>
  <c r="M271" i="20"/>
  <c r="O271" i="20"/>
  <c r="S271" i="20"/>
  <c r="T271" i="20"/>
  <c r="U271" i="20"/>
  <c r="V271" i="20"/>
  <c r="W271" i="20"/>
  <c r="X271" i="20"/>
  <c r="Y271" i="20"/>
  <c r="AC271" i="20"/>
  <c r="M272" i="20"/>
  <c r="O272" i="20"/>
  <c r="S272" i="20"/>
  <c r="T272" i="20"/>
  <c r="U272" i="20"/>
  <c r="V272" i="20"/>
  <c r="W272" i="20"/>
  <c r="X272" i="20"/>
  <c r="Y272" i="20"/>
  <c r="AC272" i="20"/>
  <c r="M273" i="20"/>
  <c r="O273" i="20"/>
  <c r="S273" i="20"/>
  <c r="T273" i="20"/>
  <c r="U273" i="20"/>
  <c r="V273" i="20"/>
  <c r="W273" i="20"/>
  <c r="X273" i="20"/>
  <c r="Y273" i="20"/>
  <c r="AC273" i="20"/>
  <c r="M274" i="20"/>
  <c r="O274" i="20"/>
  <c r="S274" i="20"/>
  <c r="T274" i="20"/>
  <c r="U274" i="20"/>
  <c r="V274" i="20"/>
  <c r="W274" i="20"/>
  <c r="X274" i="20"/>
  <c r="Y274" i="20"/>
  <c r="AC274" i="20"/>
  <c r="M275" i="20"/>
  <c r="O275" i="20"/>
  <c r="S275" i="20"/>
  <c r="T275" i="20"/>
  <c r="U275" i="20"/>
  <c r="V275" i="20"/>
  <c r="W275" i="20"/>
  <c r="X275" i="20"/>
  <c r="Y275" i="20"/>
  <c r="AC275" i="20"/>
  <c r="M276" i="20"/>
  <c r="O276" i="20"/>
  <c r="S276" i="20"/>
  <c r="T276" i="20"/>
  <c r="U276" i="20"/>
  <c r="V276" i="20"/>
  <c r="W276" i="20"/>
  <c r="X276" i="20"/>
  <c r="Y276" i="20"/>
  <c r="AC276" i="20"/>
  <c r="M277" i="20"/>
  <c r="O277" i="20"/>
  <c r="S277" i="20"/>
  <c r="T277" i="20"/>
  <c r="U277" i="20"/>
  <c r="V277" i="20"/>
  <c r="W277" i="20"/>
  <c r="X277" i="20"/>
  <c r="Y277" i="20"/>
  <c r="AC277" i="20"/>
  <c r="M278" i="20"/>
  <c r="O278" i="20"/>
  <c r="S278" i="20"/>
  <c r="T278" i="20"/>
  <c r="U278" i="20"/>
  <c r="V278" i="20"/>
  <c r="W278" i="20"/>
  <c r="X278" i="20"/>
  <c r="Y278" i="20"/>
  <c r="AC278" i="20"/>
  <c r="M279" i="20"/>
  <c r="O279" i="20"/>
  <c r="S279" i="20"/>
  <c r="T279" i="20"/>
  <c r="U279" i="20"/>
  <c r="V279" i="20"/>
  <c r="W279" i="20"/>
  <c r="X279" i="20"/>
  <c r="Y279" i="20"/>
  <c r="AC279" i="20"/>
  <c r="M280" i="20"/>
  <c r="O280" i="20"/>
  <c r="S280" i="20"/>
  <c r="T280" i="20"/>
  <c r="U280" i="20"/>
  <c r="V280" i="20"/>
  <c r="W280" i="20"/>
  <c r="X280" i="20"/>
  <c r="Y280" i="20"/>
  <c r="AC280" i="20"/>
  <c r="M281" i="20"/>
  <c r="O281" i="20"/>
  <c r="S281" i="20"/>
  <c r="T281" i="20"/>
  <c r="U281" i="20"/>
  <c r="V281" i="20"/>
  <c r="W281" i="20"/>
  <c r="X281" i="20"/>
  <c r="Y281" i="20"/>
  <c r="AC281" i="20"/>
  <c r="M282" i="20"/>
  <c r="O282" i="20"/>
  <c r="S282" i="20"/>
  <c r="T282" i="20"/>
  <c r="U282" i="20"/>
  <c r="V282" i="20"/>
  <c r="W282" i="20"/>
  <c r="X282" i="20"/>
  <c r="Y282" i="20"/>
  <c r="AC282" i="20"/>
  <c r="M283" i="20"/>
  <c r="O283" i="20"/>
  <c r="S283" i="20"/>
  <c r="T283" i="20"/>
  <c r="U283" i="20"/>
  <c r="V283" i="20"/>
  <c r="W283" i="20"/>
  <c r="X283" i="20"/>
  <c r="Y283" i="20"/>
  <c r="AC283" i="20"/>
  <c r="M284" i="20"/>
  <c r="O284" i="20"/>
  <c r="S284" i="20"/>
  <c r="T284" i="20"/>
  <c r="U284" i="20"/>
  <c r="V284" i="20"/>
  <c r="W284" i="20"/>
  <c r="X284" i="20"/>
  <c r="Y284" i="20"/>
  <c r="AC284" i="20"/>
  <c r="M285" i="20"/>
  <c r="O285" i="20"/>
  <c r="S285" i="20"/>
  <c r="T285" i="20"/>
  <c r="U285" i="20"/>
  <c r="V285" i="20"/>
  <c r="W285" i="20"/>
  <c r="X285" i="20"/>
  <c r="Y285" i="20"/>
  <c r="AC285" i="20"/>
  <c r="M286" i="20"/>
  <c r="O286" i="20"/>
  <c r="S286" i="20"/>
  <c r="T286" i="20"/>
  <c r="U286" i="20"/>
  <c r="V286" i="20"/>
  <c r="W286" i="20"/>
  <c r="X286" i="20"/>
  <c r="Y286" i="20"/>
  <c r="AC286" i="20"/>
  <c r="M287" i="20"/>
  <c r="O287" i="20"/>
  <c r="S287" i="20"/>
  <c r="T287" i="20"/>
  <c r="U287" i="20"/>
  <c r="V287" i="20"/>
  <c r="W287" i="20"/>
  <c r="X287" i="20"/>
  <c r="Y287" i="20"/>
  <c r="AC287" i="20"/>
  <c r="M288" i="20"/>
  <c r="O288" i="20"/>
  <c r="S288" i="20"/>
  <c r="T288" i="20"/>
  <c r="U288" i="20"/>
  <c r="V288" i="20"/>
  <c r="W288" i="20"/>
  <c r="X288" i="20"/>
  <c r="Y288" i="20"/>
  <c r="AC288" i="20"/>
  <c r="M289" i="20"/>
  <c r="O289" i="20"/>
  <c r="S289" i="20"/>
  <c r="T289" i="20"/>
  <c r="U289" i="20"/>
  <c r="V289" i="20"/>
  <c r="W289" i="20"/>
  <c r="X289" i="20"/>
  <c r="Y289" i="20"/>
  <c r="AC289" i="20"/>
  <c r="M290" i="20"/>
  <c r="O290" i="20"/>
  <c r="S290" i="20"/>
  <c r="T290" i="20"/>
  <c r="U290" i="20"/>
  <c r="V290" i="20"/>
  <c r="W290" i="20"/>
  <c r="X290" i="20"/>
  <c r="Y290" i="20"/>
  <c r="AC290" i="20"/>
  <c r="M291" i="20"/>
  <c r="O291" i="20"/>
  <c r="S291" i="20"/>
  <c r="T291" i="20"/>
  <c r="U291" i="20"/>
  <c r="V291" i="20"/>
  <c r="W291" i="20"/>
  <c r="X291" i="20"/>
  <c r="Y291" i="20"/>
  <c r="AC291" i="20"/>
  <c r="M292" i="20"/>
  <c r="O292" i="20"/>
  <c r="S292" i="20"/>
  <c r="T292" i="20"/>
  <c r="U292" i="20"/>
  <c r="V292" i="20"/>
  <c r="W292" i="20"/>
  <c r="X292" i="20"/>
  <c r="Y292" i="20"/>
  <c r="AC292" i="20"/>
  <c r="M293" i="20"/>
  <c r="O293" i="20"/>
  <c r="S293" i="20"/>
  <c r="T293" i="20"/>
  <c r="U293" i="20"/>
  <c r="V293" i="20"/>
  <c r="W293" i="20"/>
  <c r="X293" i="20"/>
  <c r="Y293" i="20"/>
  <c r="AC293" i="20"/>
  <c r="M294" i="20"/>
  <c r="O294" i="20"/>
  <c r="S294" i="20"/>
  <c r="T294" i="20"/>
  <c r="U294" i="20"/>
  <c r="V294" i="20"/>
  <c r="W294" i="20"/>
  <c r="X294" i="20"/>
  <c r="Y294" i="20"/>
  <c r="AC294" i="20"/>
  <c r="M295" i="20"/>
  <c r="O295" i="20"/>
  <c r="S295" i="20"/>
  <c r="T295" i="20"/>
  <c r="U295" i="20"/>
  <c r="V295" i="20"/>
  <c r="W295" i="20"/>
  <c r="X295" i="20"/>
  <c r="Y295" i="20"/>
  <c r="AC295" i="20"/>
  <c r="M296" i="20"/>
  <c r="O296" i="20"/>
  <c r="S296" i="20"/>
  <c r="T296" i="20"/>
  <c r="U296" i="20"/>
  <c r="V296" i="20"/>
  <c r="W296" i="20"/>
  <c r="X296" i="20"/>
  <c r="Y296" i="20"/>
  <c r="AC296" i="20"/>
  <c r="M297" i="20"/>
  <c r="O297" i="20"/>
  <c r="S297" i="20"/>
  <c r="T297" i="20"/>
  <c r="U297" i="20"/>
  <c r="V297" i="20"/>
  <c r="W297" i="20"/>
  <c r="X297" i="20"/>
  <c r="Y297" i="20"/>
  <c r="AC297" i="20"/>
  <c r="M298" i="20"/>
  <c r="O298" i="20"/>
  <c r="S298" i="20"/>
  <c r="T298" i="20"/>
  <c r="U298" i="20"/>
  <c r="V298" i="20"/>
  <c r="W298" i="20"/>
  <c r="X298" i="20"/>
  <c r="Y298" i="20"/>
  <c r="AC298" i="20"/>
  <c r="M299" i="20"/>
  <c r="O299" i="20"/>
  <c r="S299" i="20"/>
  <c r="T299" i="20"/>
  <c r="U299" i="20"/>
  <c r="V299" i="20"/>
  <c r="W299" i="20"/>
  <c r="X299" i="20"/>
  <c r="Y299" i="20"/>
  <c r="AC299" i="20"/>
  <c r="M300" i="20"/>
  <c r="O300" i="20"/>
  <c r="S300" i="20"/>
  <c r="T300" i="20"/>
  <c r="U300" i="20"/>
  <c r="V300" i="20"/>
  <c r="W300" i="20"/>
  <c r="X300" i="20"/>
  <c r="Y300" i="20"/>
  <c r="AC300" i="20"/>
  <c r="M301" i="20"/>
  <c r="O301" i="20"/>
  <c r="S301" i="20"/>
  <c r="T301" i="20"/>
  <c r="U301" i="20"/>
  <c r="V301" i="20"/>
  <c r="W301" i="20"/>
  <c r="X301" i="20"/>
  <c r="Y301" i="20"/>
  <c r="AC301" i="20"/>
  <c r="M302" i="20"/>
  <c r="O302" i="20"/>
  <c r="S302" i="20"/>
  <c r="T302" i="20"/>
  <c r="U302" i="20"/>
  <c r="V302" i="20"/>
  <c r="W302" i="20"/>
  <c r="X302" i="20"/>
  <c r="Y302" i="20"/>
  <c r="AC302" i="20"/>
  <c r="M303" i="20"/>
  <c r="O303" i="20"/>
  <c r="S303" i="20"/>
  <c r="T303" i="20"/>
  <c r="U303" i="20"/>
  <c r="V303" i="20"/>
  <c r="W303" i="20"/>
  <c r="X303" i="20"/>
  <c r="Y303" i="20"/>
  <c r="AC303" i="20"/>
  <c r="M304" i="20"/>
  <c r="O304" i="20"/>
  <c r="S304" i="20"/>
  <c r="T304" i="20"/>
  <c r="U304" i="20"/>
  <c r="V304" i="20"/>
  <c r="W304" i="20"/>
  <c r="X304" i="20"/>
  <c r="Y304" i="20"/>
  <c r="AC304" i="20"/>
  <c r="M305" i="20"/>
  <c r="O305" i="20"/>
  <c r="S305" i="20"/>
  <c r="T305" i="20"/>
  <c r="U305" i="20"/>
  <c r="V305" i="20"/>
  <c r="W305" i="20"/>
  <c r="X305" i="20"/>
  <c r="Y305" i="20"/>
  <c r="AC305" i="20"/>
  <c r="M306" i="20"/>
  <c r="O306" i="20"/>
  <c r="S306" i="20"/>
  <c r="T306" i="20"/>
  <c r="U306" i="20"/>
  <c r="V306" i="20"/>
  <c r="W306" i="20"/>
  <c r="X306" i="20"/>
  <c r="Y306" i="20"/>
  <c r="AC306" i="20"/>
  <c r="M307" i="20"/>
  <c r="O307" i="20"/>
  <c r="S307" i="20"/>
  <c r="T307" i="20"/>
  <c r="U307" i="20"/>
  <c r="V307" i="20"/>
  <c r="W307" i="20"/>
  <c r="X307" i="20"/>
  <c r="Y307" i="20"/>
  <c r="AC307" i="20"/>
  <c r="M308" i="20"/>
  <c r="O308" i="20"/>
  <c r="S308" i="20"/>
  <c r="T308" i="20"/>
  <c r="U308" i="20"/>
  <c r="V308" i="20"/>
  <c r="W308" i="20"/>
  <c r="X308" i="20"/>
  <c r="Y308" i="20"/>
  <c r="AC308" i="20"/>
  <c r="M309" i="20"/>
  <c r="O309" i="20"/>
  <c r="S309" i="20"/>
  <c r="T309" i="20"/>
  <c r="U309" i="20"/>
  <c r="V309" i="20"/>
  <c r="W309" i="20"/>
  <c r="X309" i="20"/>
  <c r="Y309" i="20"/>
  <c r="AC309" i="20"/>
  <c r="M310" i="20"/>
  <c r="O310" i="20"/>
  <c r="S310" i="20"/>
  <c r="T310" i="20"/>
  <c r="U310" i="20"/>
  <c r="V310" i="20"/>
  <c r="W310" i="20"/>
  <c r="X310" i="20"/>
  <c r="Y310" i="20"/>
  <c r="AC310" i="20"/>
  <c r="M311" i="20"/>
  <c r="O311" i="20"/>
  <c r="S311" i="20"/>
  <c r="T311" i="20"/>
  <c r="U311" i="20"/>
  <c r="V311" i="20"/>
  <c r="W311" i="20"/>
  <c r="X311" i="20"/>
  <c r="Y311" i="20"/>
  <c r="AC311" i="20"/>
  <c r="M312" i="20"/>
  <c r="O312" i="20"/>
  <c r="S312" i="20"/>
  <c r="T312" i="20"/>
  <c r="U312" i="20"/>
  <c r="V312" i="20"/>
  <c r="W312" i="20"/>
  <c r="X312" i="20"/>
  <c r="Y312" i="20"/>
  <c r="AC312" i="20"/>
  <c r="M313" i="20"/>
  <c r="O313" i="20"/>
  <c r="S313" i="20"/>
  <c r="T313" i="20"/>
  <c r="U313" i="20"/>
  <c r="V313" i="20"/>
  <c r="W313" i="20"/>
  <c r="X313" i="20"/>
  <c r="Y313" i="20"/>
  <c r="AC313" i="20"/>
  <c r="M314" i="20"/>
  <c r="O314" i="20"/>
  <c r="S314" i="20"/>
  <c r="T314" i="20"/>
  <c r="U314" i="20"/>
  <c r="V314" i="20"/>
  <c r="W314" i="20"/>
  <c r="X314" i="20"/>
  <c r="Y314" i="20"/>
  <c r="AC314" i="20"/>
  <c r="M315" i="20"/>
  <c r="O315" i="20"/>
  <c r="S315" i="20"/>
  <c r="T315" i="20"/>
  <c r="U315" i="20"/>
  <c r="V315" i="20"/>
  <c r="W315" i="20"/>
  <c r="X315" i="20"/>
  <c r="Y315" i="20"/>
  <c r="AC315" i="20"/>
  <c r="M316" i="20"/>
  <c r="O316" i="20"/>
  <c r="S316" i="20"/>
  <c r="T316" i="20"/>
  <c r="U316" i="20"/>
  <c r="V316" i="20"/>
  <c r="W316" i="20"/>
  <c r="X316" i="20"/>
  <c r="Y316" i="20"/>
  <c r="AC316" i="20"/>
  <c r="M317" i="20"/>
  <c r="O317" i="20"/>
  <c r="S317" i="20"/>
  <c r="T317" i="20"/>
  <c r="U317" i="20"/>
  <c r="V317" i="20"/>
  <c r="W317" i="20"/>
  <c r="X317" i="20"/>
  <c r="Y317" i="20"/>
  <c r="AC317" i="20"/>
  <c r="M318" i="20"/>
  <c r="O318" i="20"/>
  <c r="S318" i="20"/>
  <c r="T318" i="20"/>
  <c r="U318" i="20"/>
  <c r="V318" i="20"/>
  <c r="W318" i="20"/>
  <c r="X318" i="20"/>
  <c r="Y318" i="20"/>
  <c r="AC318" i="20"/>
  <c r="M319" i="20"/>
  <c r="O319" i="20"/>
  <c r="S319" i="20"/>
  <c r="T319" i="20"/>
  <c r="U319" i="20"/>
  <c r="V319" i="20"/>
  <c r="W319" i="20"/>
  <c r="X319" i="20"/>
  <c r="Y319" i="20"/>
  <c r="AC319" i="20"/>
  <c r="M320" i="20"/>
  <c r="O320" i="20"/>
  <c r="S320" i="20"/>
  <c r="T320" i="20"/>
  <c r="U320" i="20"/>
  <c r="V320" i="20"/>
  <c r="W320" i="20"/>
  <c r="X320" i="20"/>
  <c r="Y320" i="20"/>
  <c r="AC320" i="20"/>
  <c r="M321" i="20"/>
  <c r="O321" i="20"/>
  <c r="S321" i="20"/>
  <c r="T321" i="20"/>
  <c r="U321" i="20"/>
  <c r="V321" i="20"/>
  <c r="W321" i="20"/>
  <c r="X321" i="20"/>
  <c r="Y321" i="20"/>
  <c r="AC321" i="20"/>
  <c r="M322" i="20"/>
  <c r="O322" i="20"/>
  <c r="S322" i="20"/>
  <c r="T322" i="20"/>
  <c r="U322" i="20"/>
  <c r="V322" i="20"/>
  <c r="W322" i="20"/>
  <c r="X322" i="20"/>
  <c r="Y322" i="20"/>
  <c r="AC322" i="20"/>
  <c r="M323" i="20"/>
  <c r="O323" i="20"/>
  <c r="S323" i="20"/>
  <c r="T323" i="20"/>
  <c r="U323" i="20"/>
  <c r="V323" i="20"/>
  <c r="W323" i="20"/>
  <c r="X323" i="20"/>
  <c r="Y323" i="20"/>
  <c r="AC323" i="20"/>
  <c r="M324" i="20"/>
  <c r="O324" i="20"/>
  <c r="S324" i="20"/>
  <c r="T324" i="20"/>
  <c r="U324" i="20"/>
  <c r="V324" i="20"/>
  <c r="W324" i="20"/>
  <c r="X324" i="20"/>
  <c r="Y324" i="20"/>
  <c r="AC324" i="20"/>
  <c r="M325" i="20"/>
  <c r="O325" i="20"/>
  <c r="S325" i="20"/>
  <c r="T325" i="20"/>
  <c r="U325" i="20"/>
  <c r="V325" i="20"/>
  <c r="W325" i="20"/>
  <c r="X325" i="20"/>
  <c r="Y325" i="20"/>
  <c r="AC325" i="20"/>
  <c r="M326" i="20"/>
  <c r="O326" i="20"/>
  <c r="S326" i="20"/>
  <c r="T326" i="20"/>
  <c r="U326" i="20"/>
  <c r="V326" i="20"/>
  <c r="W326" i="20"/>
  <c r="X326" i="20"/>
  <c r="Y326" i="20"/>
  <c r="AC326" i="20"/>
  <c r="M327" i="20"/>
  <c r="O327" i="20"/>
  <c r="S327" i="20"/>
  <c r="T327" i="20"/>
  <c r="U327" i="20"/>
  <c r="V327" i="20"/>
  <c r="W327" i="20"/>
  <c r="X327" i="20"/>
  <c r="Y327" i="20"/>
  <c r="AC327" i="20"/>
  <c r="M328" i="20"/>
  <c r="O328" i="20"/>
  <c r="S328" i="20"/>
  <c r="T328" i="20"/>
  <c r="U328" i="20"/>
  <c r="V328" i="20"/>
  <c r="W328" i="20"/>
  <c r="X328" i="20"/>
  <c r="Y328" i="20"/>
  <c r="AC328" i="20"/>
  <c r="M329" i="20"/>
  <c r="O329" i="20"/>
  <c r="S329" i="20"/>
  <c r="T329" i="20"/>
  <c r="U329" i="20"/>
  <c r="V329" i="20"/>
  <c r="W329" i="20"/>
  <c r="X329" i="20"/>
  <c r="Y329" i="20"/>
  <c r="AC329" i="20"/>
  <c r="M330" i="20"/>
  <c r="O330" i="20"/>
  <c r="S330" i="20"/>
  <c r="T330" i="20"/>
  <c r="U330" i="20"/>
  <c r="V330" i="20"/>
  <c r="W330" i="20"/>
  <c r="X330" i="20"/>
  <c r="Y330" i="20"/>
  <c r="AC330" i="20"/>
  <c r="M331" i="20"/>
  <c r="O331" i="20"/>
  <c r="S331" i="20"/>
  <c r="T331" i="20"/>
  <c r="U331" i="20"/>
  <c r="V331" i="20"/>
  <c r="W331" i="20"/>
  <c r="X331" i="20"/>
  <c r="Y331" i="20"/>
  <c r="AC331" i="20"/>
  <c r="M332" i="20"/>
  <c r="O332" i="20"/>
  <c r="S332" i="20"/>
  <c r="T332" i="20"/>
  <c r="U332" i="20"/>
  <c r="V332" i="20"/>
  <c r="W332" i="20"/>
  <c r="X332" i="20"/>
  <c r="Y332" i="20"/>
  <c r="AC332" i="20"/>
  <c r="M333" i="20"/>
  <c r="O333" i="20"/>
  <c r="S333" i="20"/>
  <c r="T333" i="20"/>
  <c r="U333" i="20"/>
  <c r="V333" i="20"/>
  <c r="W333" i="20"/>
  <c r="X333" i="20"/>
  <c r="Y333" i="20"/>
  <c r="AC333" i="20"/>
  <c r="M334" i="20"/>
  <c r="O334" i="20"/>
  <c r="S334" i="20"/>
  <c r="T334" i="20"/>
  <c r="U334" i="20"/>
  <c r="V334" i="20"/>
  <c r="W334" i="20"/>
  <c r="X334" i="20"/>
  <c r="Y334" i="20"/>
  <c r="AC334" i="20"/>
  <c r="M335" i="20"/>
  <c r="O335" i="20"/>
  <c r="S335" i="20"/>
  <c r="T335" i="20"/>
  <c r="U335" i="20"/>
  <c r="V335" i="20"/>
  <c r="W335" i="20"/>
  <c r="X335" i="20"/>
  <c r="Y335" i="20"/>
  <c r="AC335" i="20"/>
  <c r="M336" i="20"/>
  <c r="O336" i="20"/>
  <c r="S336" i="20"/>
  <c r="T336" i="20"/>
  <c r="U336" i="20"/>
  <c r="V336" i="20"/>
  <c r="W336" i="20"/>
  <c r="X336" i="20"/>
  <c r="Y336" i="20"/>
  <c r="AC336" i="20"/>
  <c r="M337" i="20"/>
  <c r="O337" i="20"/>
  <c r="S337" i="20"/>
  <c r="T337" i="20"/>
  <c r="U337" i="20"/>
  <c r="V337" i="20"/>
  <c r="W337" i="20"/>
  <c r="X337" i="20"/>
  <c r="Y337" i="20"/>
  <c r="AC337" i="20"/>
  <c r="M338" i="20"/>
  <c r="O338" i="20"/>
  <c r="S338" i="20"/>
  <c r="T338" i="20"/>
  <c r="U338" i="20"/>
  <c r="V338" i="20"/>
  <c r="W338" i="20"/>
  <c r="X338" i="20"/>
  <c r="Y338" i="20"/>
  <c r="AC338" i="20"/>
  <c r="M339" i="20"/>
  <c r="O339" i="20"/>
  <c r="S339" i="20"/>
  <c r="T339" i="20"/>
  <c r="U339" i="20"/>
  <c r="V339" i="20"/>
  <c r="W339" i="20"/>
  <c r="X339" i="20"/>
  <c r="Y339" i="20"/>
  <c r="AC339" i="20"/>
  <c r="M340" i="20"/>
  <c r="O340" i="20"/>
  <c r="S340" i="20"/>
  <c r="T340" i="20"/>
  <c r="U340" i="20"/>
  <c r="V340" i="20"/>
  <c r="W340" i="20"/>
  <c r="X340" i="20"/>
  <c r="Y340" i="20"/>
  <c r="AC340" i="20"/>
  <c r="M341" i="20"/>
  <c r="O341" i="20"/>
  <c r="S341" i="20"/>
  <c r="T341" i="20"/>
  <c r="U341" i="20"/>
  <c r="V341" i="20"/>
  <c r="W341" i="20"/>
  <c r="X341" i="20"/>
  <c r="Y341" i="20"/>
  <c r="AC341" i="20"/>
  <c r="M342" i="20"/>
  <c r="O342" i="20"/>
  <c r="S342" i="20"/>
  <c r="T342" i="20"/>
  <c r="U342" i="20"/>
  <c r="V342" i="20"/>
  <c r="W342" i="20"/>
  <c r="X342" i="20"/>
  <c r="Y342" i="20"/>
  <c r="AC342" i="20"/>
  <c r="M343" i="20"/>
  <c r="O343" i="20"/>
  <c r="S343" i="20"/>
  <c r="T343" i="20"/>
  <c r="U343" i="20"/>
  <c r="V343" i="20"/>
  <c r="W343" i="20"/>
  <c r="X343" i="20"/>
  <c r="Y343" i="20"/>
  <c r="AC343" i="20"/>
  <c r="M344" i="20"/>
  <c r="O344" i="20"/>
  <c r="S344" i="20"/>
  <c r="T344" i="20"/>
  <c r="U344" i="20"/>
  <c r="V344" i="20"/>
  <c r="W344" i="20"/>
  <c r="X344" i="20"/>
  <c r="Y344" i="20"/>
  <c r="AC344" i="20"/>
  <c r="M345" i="20"/>
  <c r="O345" i="20"/>
  <c r="S345" i="20"/>
  <c r="T345" i="20"/>
  <c r="U345" i="20"/>
  <c r="V345" i="20"/>
  <c r="W345" i="20"/>
  <c r="X345" i="20"/>
  <c r="Y345" i="20"/>
  <c r="AC345" i="20"/>
  <c r="M346" i="20"/>
  <c r="O346" i="20"/>
  <c r="S346" i="20"/>
  <c r="T346" i="20"/>
  <c r="U346" i="20"/>
  <c r="V346" i="20"/>
  <c r="W346" i="20"/>
  <c r="X346" i="20"/>
  <c r="Y346" i="20"/>
  <c r="AC346" i="20"/>
  <c r="M347" i="20"/>
  <c r="O347" i="20"/>
  <c r="S347" i="20"/>
  <c r="T347" i="20"/>
  <c r="U347" i="20"/>
  <c r="V347" i="20"/>
  <c r="W347" i="20"/>
  <c r="X347" i="20"/>
  <c r="Y347" i="20"/>
  <c r="AC347" i="20"/>
  <c r="M348" i="20"/>
  <c r="O348" i="20"/>
  <c r="S348" i="20"/>
  <c r="T348" i="20"/>
  <c r="U348" i="20"/>
  <c r="V348" i="20"/>
  <c r="W348" i="20"/>
  <c r="X348" i="20"/>
  <c r="Y348" i="20"/>
  <c r="AC348" i="20"/>
  <c r="M349" i="20"/>
  <c r="O349" i="20"/>
  <c r="S349" i="20"/>
  <c r="T349" i="20"/>
  <c r="U349" i="20"/>
  <c r="V349" i="20"/>
  <c r="W349" i="20"/>
  <c r="X349" i="20"/>
  <c r="Y349" i="20"/>
  <c r="AC349" i="20"/>
  <c r="M350" i="20"/>
  <c r="O350" i="20"/>
  <c r="S350" i="20"/>
  <c r="T350" i="20"/>
  <c r="U350" i="20"/>
  <c r="V350" i="20"/>
  <c r="W350" i="20"/>
  <c r="X350" i="20"/>
  <c r="Y350" i="20"/>
  <c r="AC350" i="20"/>
  <c r="M351" i="20"/>
  <c r="O351" i="20"/>
  <c r="S351" i="20"/>
  <c r="T351" i="20"/>
  <c r="U351" i="20"/>
  <c r="V351" i="20"/>
  <c r="W351" i="20"/>
  <c r="X351" i="20"/>
  <c r="Y351" i="20"/>
  <c r="AC351" i="20"/>
  <c r="M352" i="20"/>
  <c r="O352" i="20"/>
  <c r="S352" i="20"/>
  <c r="T352" i="20"/>
  <c r="U352" i="20"/>
  <c r="V352" i="20"/>
  <c r="W352" i="20"/>
  <c r="X352" i="20"/>
  <c r="Y352" i="20"/>
  <c r="AC352" i="20"/>
  <c r="M353" i="20"/>
  <c r="O353" i="20"/>
  <c r="S353" i="20"/>
  <c r="T353" i="20"/>
  <c r="U353" i="20"/>
  <c r="V353" i="20"/>
  <c r="W353" i="20"/>
  <c r="X353" i="20"/>
  <c r="Y353" i="20"/>
  <c r="AC353" i="20"/>
  <c r="M354" i="20"/>
  <c r="O354" i="20"/>
  <c r="S354" i="20"/>
  <c r="T354" i="20"/>
  <c r="U354" i="20"/>
  <c r="V354" i="20"/>
  <c r="W354" i="20"/>
  <c r="X354" i="20"/>
  <c r="Y354" i="20"/>
  <c r="AC354" i="20"/>
  <c r="M355" i="20"/>
  <c r="O355" i="20"/>
  <c r="S355" i="20"/>
  <c r="T355" i="20"/>
  <c r="U355" i="20"/>
  <c r="V355" i="20"/>
  <c r="W355" i="20"/>
  <c r="X355" i="20"/>
  <c r="Y355" i="20"/>
  <c r="AC355" i="20"/>
  <c r="M356" i="20"/>
  <c r="O356" i="20"/>
  <c r="S356" i="20"/>
  <c r="T356" i="20"/>
  <c r="U356" i="20"/>
  <c r="V356" i="20"/>
  <c r="W356" i="20"/>
  <c r="X356" i="20"/>
  <c r="Y356" i="20"/>
  <c r="AC356" i="20"/>
  <c r="M357" i="20"/>
  <c r="O357" i="20"/>
  <c r="S357" i="20"/>
  <c r="T357" i="20"/>
  <c r="U357" i="20"/>
  <c r="V357" i="20"/>
  <c r="W357" i="20"/>
  <c r="X357" i="20"/>
  <c r="Y357" i="20"/>
  <c r="AC357" i="20"/>
  <c r="M358" i="20"/>
  <c r="O358" i="20"/>
  <c r="S358" i="20"/>
  <c r="T358" i="20"/>
  <c r="U358" i="20"/>
  <c r="V358" i="20"/>
  <c r="W358" i="20"/>
  <c r="X358" i="20"/>
  <c r="Y358" i="20"/>
  <c r="AC358" i="20"/>
  <c r="M359" i="20"/>
  <c r="O359" i="20"/>
  <c r="S359" i="20"/>
  <c r="T359" i="20"/>
  <c r="U359" i="20"/>
  <c r="V359" i="20"/>
  <c r="W359" i="20"/>
  <c r="X359" i="20"/>
  <c r="Y359" i="20"/>
  <c r="AC359" i="20"/>
  <c r="M360" i="20"/>
  <c r="O360" i="20"/>
  <c r="S360" i="20"/>
  <c r="T360" i="20"/>
  <c r="U360" i="20"/>
  <c r="V360" i="20"/>
  <c r="W360" i="20"/>
  <c r="X360" i="20"/>
  <c r="Y360" i="20"/>
  <c r="AC360" i="20"/>
  <c r="M361" i="20"/>
  <c r="O361" i="20"/>
  <c r="S361" i="20"/>
  <c r="T361" i="20"/>
  <c r="U361" i="20"/>
  <c r="V361" i="20"/>
  <c r="W361" i="20"/>
  <c r="X361" i="20"/>
  <c r="Y361" i="20"/>
  <c r="AC361" i="20"/>
  <c r="M362" i="20"/>
  <c r="O362" i="20"/>
  <c r="S362" i="20"/>
  <c r="T362" i="20"/>
  <c r="U362" i="20"/>
  <c r="V362" i="20"/>
  <c r="W362" i="20"/>
  <c r="X362" i="20"/>
  <c r="Y362" i="20"/>
  <c r="AC362" i="20"/>
  <c r="M363" i="20"/>
  <c r="O363" i="20"/>
  <c r="S363" i="20"/>
  <c r="T363" i="20"/>
  <c r="U363" i="20"/>
  <c r="V363" i="20"/>
  <c r="W363" i="20"/>
  <c r="X363" i="20"/>
  <c r="Y363" i="20"/>
  <c r="AC363" i="20"/>
  <c r="M364" i="20"/>
  <c r="O364" i="20"/>
  <c r="S364" i="20"/>
  <c r="T364" i="20"/>
  <c r="U364" i="20"/>
  <c r="V364" i="20"/>
  <c r="W364" i="20"/>
  <c r="X364" i="20"/>
  <c r="Y364" i="20"/>
  <c r="AC364" i="20"/>
  <c r="M365" i="20"/>
  <c r="O365" i="20"/>
  <c r="S365" i="20"/>
  <c r="T365" i="20"/>
  <c r="U365" i="20"/>
  <c r="V365" i="20"/>
  <c r="W365" i="20"/>
  <c r="X365" i="20"/>
  <c r="Y365" i="20"/>
  <c r="AC365" i="20"/>
  <c r="M366" i="20"/>
  <c r="O366" i="20"/>
  <c r="S366" i="20"/>
  <c r="T366" i="20"/>
  <c r="U366" i="20"/>
  <c r="V366" i="20"/>
  <c r="W366" i="20"/>
  <c r="X366" i="20"/>
  <c r="Y366" i="20"/>
  <c r="AC366" i="20"/>
  <c r="M367" i="20"/>
  <c r="O367" i="20"/>
  <c r="S367" i="20"/>
  <c r="T367" i="20"/>
  <c r="U367" i="20"/>
  <c r="V367" i="20"/>
  <c r="W367" i="20"/>
  <c r="X367" i="20"/>
  <c r="Y367" i="20"/>
  <c r="AC367" i="20"/>
  <c r="M368" i="20"/>
  <c r="O368" i="20"/>
  <c r="S368" i="20"/>
  <c r="T368" i="20"/>
  <c r="U368" i="20"/>
  <c r="V368" i="20"/>
  <c r="W368" i="20"/>
  <c r="X368" i="20"/>
  <c r="Y368" i="20"/>
  <c r="AC368" i="20"/>
  <c r="M369" i="20"/>
  <c r="O369" i="20"/>
  <c r="S369" i="20"/>
  <c r="T369" i="20"/>
  <c r="U369" i="20"/>
  <c r="V369" i="20"/>
  <c r="W369" i="20"/>
  <c r="X369" i="20"/>
  <c r="Y369" i="20"/>
  <c r="AC369" i="20"/>
  <c r="M370" i="20"/>
  <c r="O370" i="20"/>
  <c r="S370" i="20"/>
  <c r="T370" i="20"/>
  <c r="U370" i="20"/>
  <c r="V370" i="20"/>
  <c r="W370" i="20"/>
  <c r="X370" i="20"/>
  <c r="Y370" i="20"/>
  <c r="AC370" i="20"/>
  <c r="M371" i="20"/>
  <c r="O371" i="20"/>
  <c r="S371" i="20"/>
  <c r="T371" i="20"/>
  <c r="U371" i="20"/>
  <c r="V371" i="20"/>
  <c r="W371" i="20"/>
  <c r="X371" i="20"/>
  <c r="Y371" i="20"/>
  <c r="AC371" i="20"/>
  <c r="M372" i="20"/>
  <c r="O372" i="20"/>
  <c r="S372" i="20"/>
  <c r="T372" i="20"/>
  <c r="U372" i="20"/>
  <c r="V372" i="20"/>
  <c r="W372" i="20"/>
  <c r="X372" i="20"/>
  <c r="Y372" i="20"/>
  <c r="AC372" i="20"/>
  <c r="M373" i="20"/>
  <c r="O373" i="20"/>
  <c r="S373" i="20"/>
  <c r="T373" i="20"/>
  <c r="U373" i="20"/>
  <c r="V373" i="20"/>
  <c r="W373" i="20"/>
  <c r="X373" i="20"/>
  <c r="Y373" i="20"/>
  <c r="AC373" i="20"/>
  <c r="M374" i="20"/>
  <c r="O374" i="20"/>
  <c r="S374" i="20"/>
  <c r="T374" i="20"/>
  <c r="U374" i="20"/>
  <c r="V374" i="20"/>
  <c r="W374" i="20"/>
  <c r="X374" i="20"/>
  <c r="Y374" i="20"/>
  <c r="AC374" i="20"/>
  <c r="M375" i="20"/>
  <c r="O375" i="20"/>
  <c r="S375" i="20"/>
  <c r="T375" i="20"/>
  <c r="U375" i="20"/>
  <c r="V375" i="20"/>
  <c r="W375" i="20"/>
  <c r="X375" i="20"/>
  <c r="Y375" i="20"/>
  <c r="AC375" i="20"/>
  <c r="M376" i="20"/>
  <c r="O376" i="20"/>
  <c r="S376" i="20"/>
  <c r="T376" i="20"/>
  <c r="U376" i="20"/>
  <c r="V376" i="20"/>
  <c r="W376" i="20"/>
  <c r="X376" i="20"/>
  <c r="Y376" i="20"/>
  <c r="AC376" i="20"/>
  <c r="M377" i="20"/>
  <c r="O377" i="20"/>
  <c r="S377" i="20"/>
  <c r="T377" i="20"/>
  <c r="U377" i="20"/>
  <c r="V377" i="20"/>
  <c r="W377" i="20"/>
  <c r="X377" i="20"/>
  <c r="Y377" i="20"/>
  <c r="AC377" i="20"/>
  <c r="M378" i="20"/>
  <c r="O378" i="20"/>
  <c r="S378" i="20"/>
  <c r="T378" i="20"/>
  <c r="U378" i="20"/>
  <c r="V378" i="20"/>
  <c r="W378" i="20"/>
  <c r="X378" i="20"/>
  <c r="Y378" i="20"/>
  <c r="AC378" i="20"/>
  <c r="M379" i="20"/>
  <c r="O379" i="20"/>
  <c r="S379" i="20"/>
  <c r="T379" i="20"/>
  <c r="U379" i="20"/>
  <c r="V379" i="20"/>
  <c r="W379" i="20"/>
  <c r="X379" i="20"/>
  <c r="Y379" i="20"/>
  <c r="AC379" i="20"/>
  <c r="M380" i="20"/>
  <c r="O380" i="20"/>
  <c r="S380" i="20"/>
  <c r="T380" i="20"/>
  <c r="U380" i="20"/>
  <c r="V380" i="20"/>
  <c r="W380" i="20"/>
  <c r="X380" i="20"/>
  <c r="Y380" i="20"/>
  <c r="AC380" i="20"/>
  <c r="M381" i="20"/>
  <c r="O381" i="20"/>
  <c r="S381" i="20"/>
  <c r="T381" i="20"/>
  <c r="U381" i="20"/>
  <c r="V381" i="20"/>
  <c r="W381" i="20"/>
  <c r="X381" i="20"/>
  <c r="Y381" i="20"/>
  <c r="AC381" i="20"/>
  <c r="M382" i="20"/>
  <c r="O382" i="20"/>
  <c r="S382" i="20"/>
  <c r="T382" i="20"/>
  <c r="U382" i="20"/>
  <c r="V382" i="20"/>
  <c r="W382" i="20"/>
  <c r="X382" i="20"/>
  <c r="Y382" i="20"/>
  <c r="AC382" i="20"/>
  <c r="M383" i="20"/>
  <c r="O383" i="20"/>
  <c r="S383" i="20"/>
  <c r="T383" i="20"/>
  <c r="U383" i="20"/>
  <c r="V383" i="20"/>
  <c r="W383" i="20"/>
  <c r="X383" i="20"/>
  <c r="Y383" i="20"/>
  <c r="AC383" i="20"/>
  <c r="M384" i="20"/>
  <c r="O384" i="20"/>
  <c r="S384" i="20"/>
  <c r="T384" i="20"/>
  <c r="U384" i="20"/>
  <c r="V384" i="20"/>
  <c r="W384" i="20"/>
  <c r="X384" i="20"/>
  <c r="Y384" i="20"/>
  <c r="AC384" i="20"/>
  <c r="M385" i="20"/>
  <c r="O385" i="20"/>
  <c r="S385" i="20"/>
  <c r="T385" i="20"/>
  <c r="U385" i="20"/>
  <c r="V385" i="20"/>
  <c r="W385" i="20"/>
  <c r="X385" i="20"/>
  <c r="Y385" i="20"/>
  <c r="AC385" i="20"/>
  <c r="M386" i="20"/>
  <c r="O386" i="20"/>
  <c r="S386" i="20"/>
  <c r="T386" i="20"/>
  <c r="U386" i="20"/>
  <c r="V386" i="20"/>
  <c r="W386" i="20"/>
  <c r="X386" i="20"/>
  <c r="Y386" i="20"/>
  <c r="AC386" i="20"/>
  <c r="M387" i="20"/>
  <c r="O387" i="20"/>
  <c r="S387" i="20"/>
  <c r="T387" i="20"/>
  <c r="U387" i="20"/>
  <c r="V387" i="20"/>
  <c r="W387" i="20"/>
  <c r="X387" i="20"/>
  <c r="Y387" i="20"/>
  <c r="AC387" i="20"/>
  <c r="M388" i="20"/>
  <c r="O388" i="20"/>
  <c r="S388" i="20"/>
  <c r="T388" i="20"/>
  <c r="U388" i="20"/>
  <c r="V388" i="20"/>
  <c r="W388" i="20"/>
  <c r="X388" i="20"/>
  <c r="Y388" i="20"/>
  <c r="AC388" i="20"/>
  <c r="M389" i="20"/>
  <c r="O389" i="20"/>
  <c r="S389" i="20"/>
  <c r="T389" i="20"/>
  <c r="U389" i="20"/>
  <c r="V389" i="20"/>
  <c r="W389" i="20"/>
  <c r="X389" i="20"/>
  <c r="Y389" i="20"/>
  <c r="AC389" i="20"/>
  <c r="M390" i="20"/>
  <c r="O390" i="20"/>
  <c r="S390" i="20"/>
  <c r="T390" i="20"/>
  <c r="U390" i="20"/>
  <c r="V390" i="20"/>
  <c r="W390" i="20"/>
  <c r="X390" i="20"/>
  <c r="Y390" i="20"/>
  <c r="AC390" i="20"/>
  <c r="M391" i="20"/>
  <c r="O391" i="20"/>
  <c r="S391" i="20"/>
  <c r="T391" i="20"/>
  <c r="U391" i="20"/>
  <c r="V391" i="20"/>
  <c r="W391" i="20"/>
  <c r="X391" i="20"/>
  <c r="Y391" i="20"/>
  <c r="AC391" i="20"/>
  <c r="M392" i="20"/>
  <c r="O392" i="20"/>
  <c r="S392" i="20"/>
  <c r="T392" i="20"/>
  <c r="U392" i="20"/>
  <c r="V392" i="20"/>
  <c r="W392" i="20"/>
  <c r="X392" i="20"/>
  <c r="Y392" i="20"/>
  <c r="AC392" i="20"/>
  <c r="M393" i="20"/>
  <c r="O393" i="20"/>
  <c r="S393" i="20"/>
  <c r="T393" i="20"/>
  <c r="U393" i="20"/>
  <c r="V393" i="20"/>
  <c r="W393" i="20"/>
  <c r="X393" i="20"/>
  <c r="Y393" i="20"/>
  <c r="AC393" i="20"/>
  <c r="M394" i="20"/>
  <c r="O394" i="20"/>
  <c r="S394" i="20"/>
  <c r="T394" i="20"/>
  <c r="U394" i="20"/>
  <c r="V394" i="20"/>
  <c r="W394" i="20"/>
  <c r="X394" i="20"/>
  <c r="Y394" i="20"/>
  <c r="AC394" i="20"/>
  <c r="M395" i="20"/>
  <c r="O395" i="20"/>
  <c r="S395" i="20"/>
  <c r="T395" i="20"/>
  <c r="U395" i="20"/>
  <c r="V395" i="20"/>
  <c r="W395" i="20"/>
  <c r="X395" i="20"/>
  <c r="Y395" i="20"/>
  <c r="AC395" i="20"/>
  <c r="M396" i="20"/>
  <c r="O396" i="20"/>
  <c r="S396" i="20"/>
  <c r="T396" i="20"/>
  <c r="U396" i="20"/>
  <c r="V396" i="20"/>
  <c r="W396" i="20"/>
  <c r="X396" i="20"/>
  <c r="Y396" i="20"/>
  <c r="AC396" i="20"/>
  <c r="M397" i="20"/>
  <c r="O397" i="20"/>
  <c r="S397" i="20"/>
  <c r="T397" i="20"/>
  <c r="U397" i="20"/>
  <c r="V397" i="20"/>
  <c r="W397" i="20"/>
  <c r="X397" i="20"/>
  <c r="Y397" i="20"/>
  <c r="AC397" i="20"/>
  <c r="M398" i="20"/>
  <c r="O398" i="20"/>
  <c r="S398" i="20"/>
  <c r="T398" i="20"/>
  <c r="U398" i="20"/>
  <c r="V398" i="20"/>
  <c r="W398" i="20"/>
  <c r="X398" i="20"/>
  <c r="Y398" i="20"/>
  <c r="AC398" i="20"/>
  <c r="M399" i="20"/>
  <c r="O399" i="20"/>
  <c r="S399" i="20"/>
  <c r="T399" i="20"/>
  <c r="U399" i="20"/>
  <c r="V399" i="20"/>
  <c r="W399" i="20"/>
  <c r="X399" i="20"/>
  <c r="Y399" i="20"/>
  <c r="AC399" i="20"/>
  <c r="M400" i="20"/>
  <c r="O400" i="20"/>
  <c r="S400" i="20"/>
  <c r="T400" i="20"/>
  <c r="U400" i="20"/>
  <c r="V400" i="20"/>
  <c r="W400" i="20"/>
  <c r="X400" i="20"/>
  <c r="Y400" i="20"/>
  <c r="AC400" i="20"/>
  <c r="M401" i="20"/>
  <c r="O401" i="20"/>
  <c r="S401" i="20"/>
  <c r="T401" i="20"/>
  <c r="U401" i="20"/>
  <c r="V401" i="20"/>
  <c r="W401" i="20"/>
  <c r="X401" i="20"/>
  <c r="Y401" i="20"/>
  <c r="AC401" i="20"/>
  <c r="M402" i="20"/>
  <c r="O402" i="20"/>
  <c r="S402" i="20"/>
  <c r="T402" i="20"/>
  <c r="U402" i="20"/>
  <c r="V402" i="20"/>
  <c r="W402" i="20"/>
  <c r="X402" i="20"/>
  <c r="Y402" i="20"/>
  <c r="AC402" i="20"/>
  <c r="M403" i="20"/>
  <c r="O403" i="20"/>
  <c r="S403" i="20"/>
  <c r="T403" i="20"/>
  <c r="U403" i="20"/>
  <c r="V403" i="20"/>
  <c r="W403" i="20"/>
  <c r="X403" i="20"/>
  <c r="Y403" i="20"/>
  <c r="AC403" i="20"/>
  <c r="M404" i="20"/>
  <c r="O404" i="20"/>
  <c r="S404" i="20"/>
  <c r="T404" i="20"/>
  <c r="U404" i="20"/>
  <c r="V404" i="20"/>
  <c r="W404" i="20"/>
  <c r="X404" i="20"/>
  <c r="Y404" i="20"/>
  <c r="AC404" i="20"/>
  <c r="M405" i="20"/>
  <c r="O405" i="20"/>
  <c r="S405" i="20"/>
  <c r="T405" i="20"/>
  <c r="U405" i="20"/>
  <c r="V405" i="20"/>
  <c r="W405" i="20"/>
  <c r="X405" i="20"/>
  <c r="Y405" i="20"/>
  <c r="AC405" i="20"/>
  <c r="M406" i="20"/>
  <c r="O406" i="20"/>
  <c r="S406" i="20"/>
  <c r="T406" i="20"/>
  <c r="U406" i="20"/>
  <c r="V406" i="20"/>
  <c r="W406" i="20"/>
  <c r="X406" i="20"/>
  <c r="Y406" i="20"/>
  <c r="AC406" i="20"/>
  <c r="M407" i="20"/>
  <c r="O407" i="20"/>
  <c r="S407" i="20"/>
  <c r="T407" i="20"/>
  <c r="U407" i="20"/>
  <c r="V407" i="20"/>
  <c r="W407" i="20"/>
  <c r="X407" i="20"/>
  <c r="Y407" i="20"/>
  <c r="AC407" i="20"/>
  <c r="M408" i="20"/>
  <c r="O408" i="20"/>
  <c r="S408" i="20"/>
  <c r="T408" i="20"/>
  <c r="U408" i="20"/>
  <c r="V408" i="20"/>
  <c r="W408" i="20"/>
  <c r="X408" i="20"/>
  <c r="Y408" i="20"/>
  <c r="AC408" i="20"/>
  <c r="M409" i="20"/>
  <c r="O409" i="20"/>
  <c r="S409" i="20"/>
  <c r="T409" i="20"/>
  <c r="U409" i="20"/>
  <c r="V409" i="20"/>
  <c r="W409" i="20"/>
  <c r="X409" i="20"/>
  <c r="Y409" i="20"/>
  <c r="AC409" i="20"/>
  <c r="M410" i="20"/>
  <c r="O410" i="20"/>
  <c r="S410" i="20"/>
  <c r="T410" i="20"/>
  <c r="U410" i="20"/>
  <c r="V410" i="20"/>
  <c r="W410" i="20"/>
  <c r="X410" i="20"/>
  <c r="Y410" i="20"/>
  <c r="AC410" i="20"/>
  <c r="M411" i="20"/>
  <c r="O411" i="20"/>
  <c r="S411" i="20"/>
  <c r="T411" i="20"/>
  <c r="U411" i="20"/>
  <c r="V411" i="20"/>
  <c r="W411" i="20"/>
  <c r="X411" i="20"/>
  <c r="Y411" i="20"/>
  <c r="AC411" i="20"/>
  <c r="M412" i="20"/>
  <c r="O412" i="20"/>
  <c r="S412" i="20"/>
  <c r="T412" i="20"/>
  <c r="U412" i="20"/>
  <c r="V412" i="20"/>
  <c r="W412" i="20"/>
  <c r="X412" i="20"/>
  <c r="Y412" i="20"/>
  <c r="AC412" i="20"/>
  <c r="M413" i="20"/>
  <c r="O413" i="20"/>
  <c r="S413" i="20"/>
  <c r="T413" i="20"/>
  <c r="U413" i="20"/>
  <c r="V413" i="20"/>
  <c r="W413" i="20"/>
  <c r="X413" i="20"/>
  <c r="Y413" i="20"/>
  <c r="AC413" i="20"/>
  <c r="M414" i="20"/>
  <c r="O414" i="20"/>
  <c r="S414" i="20"/>
  <c r="T414" i="20"/>
  <c r="U414" i="20"/>
  <c r="V414" i="20"/>
  <c r="W414" i="20"/>
  <c r="X414" i="20"/>
  <c r="Y414" i="20"/>
  <c r="AC414" i="20"/>
  <c r="M415" i="20"/>
  <c r="O415" i="20"/>
  <c r="S415" i="20"/>
  <c r="T415" i="20"/>
  <c r="U415" i="20"/>
  <c r="V415" i="20"/>
  <c r="W415" i="20"/>
  <c r="X415" i="20"/>
  <c r="Y415" i="20"/>
  <c r="AC415" i="20"/>
  <c r="M416" i="20"/>
  <c r="O416" i="20"/>
  <c r="S416" i="20"/>
  <c r="T416" i="20"/>
  <c r="U416" i="20"/>
  <c r="V416" i="20"/>
  <c r="W416" i="20"/>
  <c r="X416" i="20"/>
  <c r="Y416" i="20"/>
  <c r="AC416" i="20"/>
  <c r="M417" i="20"/>
  <c r="O417" i="20"/>
  <c r="S417" i="20"/>
  <c r="T417" i="20"/>
  <c r="U417" i="20"/>
  <c r="V417" i="20"/>
  <c r="W417" i="20"/>
  <c r="X417" i="20"/>
  <c r="Y417" i="20"/>
  <c r="AC417" i="20"/>
  <c r="M418" i="20"/>
  <c r="O418" i="20"/>
  <c r="S418" i="20"/>
  <c r="T418" i="20"/>
  <c r="U418" i="20"/>
  <c r="V418" i="20"/>
  <c r="W418" i="20"/>
  <c r="X418" i="20"/>
  <c r="Y418" i="20"/>
  <c r="AC418" i="20"/>
  <c r="M419" i="20"/>
  <c r="O419" i="20"/>
  <c r="S419" i="20"/>
  <c r="T419" i="20"/>
  <c r="U419" i="20"/>
  <c r="V419" i="20"/>
  <c r="W419" i="20"/>
  <c r="X419" i="20"/>
  <c r="Y419" i="20"/>
  <c r="AC419" i="20"/>
  <c r="M420" i="20"/>
  <c r="O420" i="20"/>
  <c r="S420" i="20"/>
  <c r="T420" i="20"/>
  <c r="U420" i="20"/>
  <c r="V420" i="20"/>
  <c r="W420" i="20"/>
  <c r="X420" i="20"/>
  <c r="Y420" i="20"/>
  <c r="AC420" i="20"/>
  <c r="M421" i="20"/>
  <c r="O421" i="20"/>
  <c r="S421" i="20"/>
  <c r="T421" i="20"/>
  <c r="U421" i="20"/>
  <c r="V421" i="20"/>
  <c r="W421" i="20"/>
  <c r="X421" i="20"/>
  <c r="Y421" i="20"/>
  <c r="AC421" i="20"/>
  <c r="M422" i="20"/>
  <c r="O422" i="20"/>
  <c r="S422" i="20"/>
  <c r="T422" i="20"/>
  <c r="U422" i="20"/>
  <c r="V422" i="20"/>
  <c r="W422" i="20"/>
  <c r="X422" i="20"/>
  <c r="Y422" i="20"/>
  <c r="AC422" i="20"/>
  <c r="M423" i="20"/>
  <c r="O423" i="20"/>
  <c r="S423" i="20"/>
  <c r="T423" i="20"/>
  <c r="U423" i="20"/>
  <c r="V423" i="20"/>
  <c r="W423" i="20"/>
  <c r="X423" i="20"/>
  <c r="Y423" i="20"/>
  <c r="AC423" i="20"/>
  <c r="M424" i="20"/>
  <c r="O424" i="20"/>
  <c r="S424" i="20"/>
  <c r="T424" i="20"/>
  <c r="U424" i="20"/>
  <c r="V424" i="20"/>
  <c r="W424" i="20"/>
  <c r="X424" i="20"/>
  <c r="Y424" i="20"/>
  <c r="AC424" i="20"/>
  <c r="M425" i="20"/>
  <c r="O425" i="20"/>
  <c r="S425" i="20"/>
  <c r="T425" i="20"/>
  <c r="U425" i="20"/>
  <c r="V425" i="20"/>
  <c r="W425" i="20"/>
  <c r="X425" i="20"/>
  <c r="Y425" i="20"/>
  <c r="AC425" i="20"/>
  <c r="M426" i="20"/>
  <c r="O426" i="20"/>
  <c r="S426" i="20"/>
  <c r="T426" i="20"/>
  <c r="U426" i="20"/>
  <c r="V426" i="20"/>
  <c r="W426" i="20"/>
  <c r="X426" i="20"/>
  <c r="Y426" i="20"/>
  <c r="AC426" i="20"/>
  <c r="M427" i="20"/>
  <c r="O427" i="20"/>
  <c r="S427" i="20"/>
  <c r="T427" i="20"/>
  <c r="U427" i="20"/>
  <c r="V427" i="20"/>
  <c r="W427" i="20"/>
  <c r="X427" i="20"/>
  <c r="Y427" i="20"/>
  <c r="AC427" i="20"/>
  <c r="M428" i="20"/>
  <c r="O428" i="20"/>
  <c r="S428" i="20"/>
  <c r="T428" i="20"/>
  <c r="U428" i="20"/>
  <c r="V428" i="20"/>
  <c r="W428" i="20"/>
  <c r="X428" i="20"/>
  <c r="Y428" i="20"/>
  <c r="AC428" i="20"/>
  <c r="M429" i="20"/>
  <c r="O429" i="20"/>
  <c r="S429" i="20"/>
  <c r="T429" i="20"/>
  <c r="U429" i="20"/>
  <c r="V429" i="20"/>
  <c r="W429" i="20"/>
  <c r="X429" i="20"/>
  <c r="Y429" i="20"/>
  <c r="AC429" i="20"/>
  <c r="M430" i="20"/>
  <c r="O430" i="20"/>
  <c r="S430" i="20"/>
  <c r="T430" i="20"/>
  <c r="U430" i="20"/>
  <c r="V430" i="20"/>
  <c r="W430" i="20"/>
  <c r="X430" i="20"/>
  <c r="Y430" i="20"/>
  <c r="AC430" i="20"/>
  <c r="M431" i="20"/>
  <c r="O431" i="20"/>
  <c r="S431" i="20"/>
  <c r="T431" i="20"/>
  <c r="U431" i="20"/>
  <c r="V431" i="20"/>
  <c r="W431" i="20"/>
  <c r="X431" i="20"/>
  <c r="Y431" i="20"/>
  <c r="AC431" i="20"/>
  <c r="M432" i="20"/>
  <c r="O432" i="20"/>
  <c r="S432" i="20"/>
  <c r="T432" i="20"/>
  <c r="U432" i="20"/>
  <c r="V432" i="20"/>
  <c r="W432" i="20"/>
  <c r="X432" i="20"/>
  <c r="Y432" i="20"/>
  <c r="AC432" i="20"/>
  <c r="M433" i="20"/>
  <c r="O433" i="20"/>
  <c r="S433" i="20"/>
  <c r="T433" i="20"/>
  <c r="U433" i="20"/>
  <c r="V433" i="20"/>
  <c r="W433" i="20"/>
  <c r="X433" i="20"/>
  <c r="Y433" i="20"/>
  <c r="AC433" i="20"/>
  <c r="M434" i="20"/>
  <c r="O434" i="20"/>
  <c r="S434" i="20"/>
  <c r="T434" i="20"/>
  <c r="U434" i="20"/>
  <c r="V434" i="20"/>
  <c r="W434" i="20"/>
  <c r="X434" i="20"/>
  <c r="Y434" i="20"/>
  <c r="AC434" i="20"/>
  <c r="M435" i="20"/>
  <c r="O435" i="20"/>
  <c r="S435" i="20"/>
  <c r="T435" i="20"/>
  <c r="U435" i="20"/>
  <c r="V435" i="20"/>
  <c r="W435" i="20"/>
  <c r="X435" i="20"/>
  <c r="Y435" i="20"/>
  <c r="AC435" i="20"/>
  <c r="M436" i="20"/>
  <c r="O436" i="20"/>
  <c r="S436" i="20"/>
  <c r="T436" i="20"/>
  <c r="U436" i="20"/>
  <c r="V436" i="20"/>
  <c r="W436" i="20"/>
  <c r="X436" i="20"/>
  <c r="Y436" i="20"/>
  <c r="AC436" i="20"/>
  <c r="M437" i="20"/>
  <c r="O437" i="20"/>
  <c r="S437" i="20"/>
  <c r="T437" i="20"/>
  <c r="U437" i="20"/>
  <c r="V437" i="20"/>
  <c r="W437" i="20"/>
  <c r="X437" i="20"/>
  <c r="Y437" i="20"/>
  <c r="AC437" i="20"/>
  <c r="M438" i="20"/>
  <c r="O438" i="20"/>
  <c r="S438" i="20"/>
  <c r="T438" i="20"/>
  <c r="U438" i="20"/>
  <c r="V438" i="20"/>
  <c r="W438" i="20"/>
  <c r="X438" i="20"/>
  <c r="Y438" i="20"/>
  <c r="AC438" i="20"/>
  <c r="M439" i="20"/>
  <c r="O439" i="20"/>
  <c r="S439" i="20"/>
  <c r="T439" i="20"/>
  <c r="U439" i="20"/>
  <c r="V439" i="20"/>
  <c r="W439" i="20"/>
  <c r="X439" i="20"/>
  <c r="Y439" i="20"/>
  <c r="AC439" i="20"/>
  <c r="M440" i="20"/>
  <c r="O440" i="20"/>
  <c r="S440" i="20"/>
  <c r="T440" i="20"/>
  <c r="U440" i="20"/>
  <c r="V440" i="20"/>
  <c r="W440" i="20"/>
  <c r="X440" i="20"/>
  <c r="Y440" i="20"/>
  <c r="AC440" i="20"/>
  <c r="M441" i="20"/>
  <c r="O441" i="20"/>
  <c r="S441" i="20"/>
  <c r="T441" i="20"/>
  <c r="U441" i="20"/>
  <c r="V441" i="20"/>
  <c r="W441" i="20"/>
  <c r="X441" i="20"/>
  <c r="Y441" i="20"/>
  <c r="AC441" i="20"/>
  <c r="M442" i="20"/>
  <c r="O442" i="20"/>
  <c r="S442" i="20"/>
  <c r="T442" i="20"/>
  <c r="U442" i="20"/>
  <c r="V442" i="20"/>
  <c r="W442" i="20"/>
  <c r="X442" i="20"/>
  <c r="Y442" i="20"/>
  <c r="AC442" i="20"/>
  <c r="M443" i="20"/>
  <c r="O443" i="20"/>
  <c r="S443" i="20"/>
  <c r="T443" i="20"/>
  <c r="U443" i="20"/>
  <c r="V443" i="20"/>
  <c r="W443" i="20"/>
  <c r="X443" i="20"/>
  <c r="Y443" i="20"/>
  <c r="AC443" i="20"/>
  <c r="M444" i="20"/>
  <c r="O444" i="20"/>
  <c r="S444" i="20"/>
  <c r="T444" i="20"/>
  <c r="U444" i="20"/>
  <c r="V444" i="20"/>
  <c r="W444" i="20"/>
  <c r="X444" i="20"/>
  <c r="Y444" i="20"/>
  <c r="AC444" i="20"/>
  <c r="M445" i="20"/>
  <c r="O445" i="20"/>
  <c r="S445" i="20"/>
  <c r="T445" i="20"/>
  <c r="U445" i="20"/>
  <c r="V445" i="20"/>
  <c r="W445" i="20"/>
  <c r="X445" i="20"/>
  <c r="Y445" i="20"/>
  <c r="AC445" i="20"/>
  <c r="M446" i="20"/>
  <c r="O446" i="20"/>
  <c r="S446" i="20"/>
  <c r="T446" i="20"/>
  <c r="U446" i="20"/>
  <c r="V446" i="20"/>
  <c r="W446" i="20"/>
  <c r="X446" i="20"/>
  <c r="Y446" i="20"/>
  <c r="AC446" i="20"/>
  <c r="M447" i="20"/>
  <c r="O447" i="20"/>
  <c r="S447" i="20"/>
  <c r="T447" i="20"/>
  <c r="U447" i="20"/>
  <c r="V447" i="20"/>
  <c r="W447" i="20"/>
  <c r="X447" i="20"/>
  <c r="Y447" i="20"/>
  <c r="AC447" i="20"/>
  <c r="M448" i="20"/>
  <c r="O448" i="20"/>
  <c r="S448" i="20"/>
  <c r="T448" i="20"/>
  <c r="U448" i="20"/>
  <c r="V448" i="20"/>
  <c r="W448" i="20"/>
  <c r="X448" i="20"/>
  <c r="Y448" i="20"/>
  <c r="AC448" i="20"/>
  <c r="M449" i="20"/>
  <c r="O449" i="20"/>
  <c r="S449" i="20"/>
  <c r="T449" i="20"/>
  <c r="U449" i="20"/>
  <c r="V449" i="20"/>
  <c r="W449" i="20"/>
  <c r="X449" i="20"/>
  <c r="Y449" i="20"/>
  <c r="AC449" i="20"/>
  <c r="M450" i="20"/>
  <c r="O450" i="20"/>
  <c r="S450" i="20"/>
  <c r="T450" i="20"/>
  <c r="U450" i="20"/>
  <c r="V450" i="20"/>
  <c r="W450" i="20"/>
  <c r="X450" i="20"/>
  <c r="Y450" i="20"/>
  <c r="AC450" i="20"/>
  <c r="M451" i="20"/>
  <c r="O451" i="20"/>
  <c r="S451" i="20"/>
  <c r="T451" i="20"/>
  <c r="U451" i="20"/>
  <c r="V451" i="20"/>
  <c r="W451" i="20"/>
  <c r="X451" i="20"/>
  <c r="Y451" i="20"/>
  <c r="AC451" i="20"/>
  <c r="M452" i="20"/>
  <c r="O452" i="20"/>
  <c r="S452" i="20"/>
  <c r="T452" i="20"/>
  <c r="U452" i="20"/>
  <c r="V452" i="20"/>
  <c r="W452" i="20"/>
  <c r="X452" i="20"/>
  <c r="Y452" i="20"/>
  <c r="AC452" i="20"/>
  <c r="M453" i="20"/>
  <c r="O453" i="20"/>
  <c r="S453" i="20"/>
  <c r="T453" i="20"/>
  <c r="U453" i="20"/>
  <c r="V453" i="20"/>
  <c r="W453" i="20"/>
  <c r="X453" i="20"/>
  <c r="Y453" i="20"/>
  <c r="AC453" i="20"/>
  <c r="M454" i="20"/>
  <c r="O454" i="20"/>
  <c r="S454" i="20"/>
  <c r="T454" i="20"/>
  <c r="U454" i="20"/>
  <c r="V454" i="20"/>
  <c r="W454" i="20"/>
  <c r="X454" i="20"/>
  <c r="Y454" i="20"/>
  <c r="AC454" i="20"/>
  <c r="M455" i="20"/>
  <c r="O455" i="20"/>
  <c r="S455" i="20"/>
  <c r="T455" i="20"/>
  <c r="U455" i="20"/>
  <c r="V455" i="20"/>
  <c r="W455" i="20"/>
  <c r="X455" i="20"/>
  <c r="Y455" i="20"/>
  <c r="AC455" i="20"/>
  <c r="M456" i="20"/>
  <c r="O456" i="20"/>
  <c r="S456" i="20"/>
  <c r="T456" i="20"/>
  <c r="U456" i="20"/>
  <c r="V456" i="20"/>
  <c r="W456" i="20"/>
  <c r="X456" i="20"/>
  <c r="Y456" i="20"/>
  <c r="AC456" i="20"/>
  <c r="M457" i="20"/>
  <c r="O457" i="20"/>
  <c r="S457" i="20"/>
  <c r="T457" i="20"/>
  <c r="U457" i="20"/>
  <c r="V457" i="20"/>
  <c r="W457" i="20"/>
  <c r="X457" i="20"/>
  <c r="Y457" i="20"/>
  <c r="AC457" i="20"/>
  <c r="M458" i="20"/>
  <c r="O458" i="20"/>
  <c r="S458" i="20"/>
  <c r="T458" i="20"/>
  <c r="U458" i="20"/>
  <c r="V458" i="20"/>
  <c r="W458" i="20"/>
  <c r="X458" i="20"/>
  <c r="Y458" i="20"/>
  <c r="AC458" i="20"/>
  <c r="M459" i="20"/>
  <c r="O459" i="20"/>
  <c r="S459" i="20"/>
  <c r="T459" i="20"/>
  <c r="U459" i="20"/>
  <c r="V459" i="20"/>
  <c r="W459" i="20"/>
  <c r="X459" i="20"/>
  <c r="Y459" i="20"/>
  <c r="AC459" i="20"/>
  <c r="M460" i="20"/>
  <c r="O460" i="20"/>
  <c r="S460" i="20"/>
  <c r="T460" i="20"/>
  <c r="U460" i="20"/>
  <c r="V460" i="20"/>
  <c r="W460" i="20"/>
  <c r="X460" i="20"/>
  <c r="Y460" i="20"/>
  <c r="AC460" i="20"/>
  <c r="M461" i="20"/>
  <c r="O461" i="20"/>
  <c r="S461" i="20"/>
  <c r="T461" i="20"/>
  <c r="U461" i="20"/>
  <c r="V461" i="20"/>
  <c r="W461" i="20"/>
  <c r="X461" i="20"/>
  <c r="Y461" i="20"/>
  <c r="AC461" i="20"/>
  <c r="M462" i="20"/>
  <c r="O462" i="20"/>
  <c r="S462" i="20"/>
  <c r="T462" i="20"/>
  <c r="U462" i="20"/>
  <c r="V462" i="20"/>
  <c r="W462" i="20"/>
  <c r="X462" i="20"/>
  <c r="Y462" i="20"/>
  <c r="AC462" i="20"/>
  <c r="M463" i="20"/>
  <c r="O463" i="20"/>
  <c r="S463" i="20"/>
  <c r="T463" i="20"/>
  <c r="U463" i="20"/>
  <c r="V463" i="20"/>
  <c r="W463" i="20"/>
  <c r="X463" i="20"/>
  <c r="Y463" i="20"/>
  <c r="AC463" i="20"/>
  <c r="M464" i="20"/>
  <c r="O464" i="20"/>
  <c r="S464" i="20"/>
  <c r="T464" i="20"/>
  <c r="U464" i="20"/>
  <c r="V464" i="20"/>
  <c r="W464" i="20"/>
  <c r="X464" i="20"/>
  <c r="Y464" i="20"/>
  <c r="AC464" i="20"/>
  <c r="M465" i="20"/>
  <c r="O465" i="20"/>
  <c r="S465" i="20"/>
  <c r="T465" i="20"/>
  <c r="U465" i="20"/>
  <c r="V465" i="20"/>
  <c r="W465" i="20"/>
  <c r="X465" i="20"/>
  <c r="Y465" i="20"/>
  <c r="AC465" i="20"/>
  <c r="M466" i="20"/>
  <c r="O466" i="20"/>
  <c r="S466" i="20"/>
  <c r="T466" i="20"/>
  <c r="U466" i="20"/>
  <c r="V466" i="20"/>
  <c r="W466" i="20"/>
  <c r="X466" i="20"/>
  <c r="Y466" i="20"/>
  <c r="AC466" i="20"/>
  <c r="M467" i="20"/>
  <c r="O467" i="20"/>
  <c r="S467" i="20"/>
  <c r="T467" i="20"/>
  <c r="U467" i="20"/>
  <c r="V467" i="20"/>
  <c r="W467" i="20"/>
  <c r="X467" i="20"/>
  <c r="Y467" i="20"/>
  <c r="AC467" i="20"/>
  <c r="M468" i="20"/>
  <c r="O468" i="20"/>
  <c r="S468" i="20"/>
  <c r="T468" i="20"/>
  <c r="U468" i="20"/>
  <c r="V468" i="20"/>
  <c r="W468" i="20"/>
  <c r="X468" i="20"/>
  <c r="Y468" i="20"/>
  <c r="AC468" i="20"/>
  <c r="M469" i="20"/>
  <c r="O469" i="20"/>
  <c r="S469" i="20"/>
  <c r="T469" i="20"/>
  <c r="U469" i="20"/>
  <c r="V469" i="20"/>
  <c r="W469" i="20"/>
  <c r="X469" i="20"/>
  <c r="Y469" i="20"/>
  <c r="AC469" i="20"/>
  <c r="M470" i="20"/>
  <c r="O470" i="20"/>
  <c r="S470" i="20"/>
  <c r="T470" i="20"/>
  <c r="U470" i="20"/>
  <c r="V470" i="20"/>
  <c r="W470" i="20"/>
  <c r="X470" i="20"/>
  <c r="Y470" i="20"/>
  <c r="AC470" i="20"/>
  <c r="M471" i="20"/>
  <c r="O471" i="20"/>
  <c r="S471" i="20"/>
  <c r="T471" i="20"/>
  <c r="U471" i="20"/>
  <c r="V471" i="20"/>
  <c r="W471" i="20"/>
  <c r="X471" i="20"/>
  <c r="Y471" i="20"/>
  <c r="AC471" i="20"/>
  <c r="M472" i="20"/>
  <c r="O472" i="20"/>
  <c r="S472" i="20"/>
  <c r="T472" i="20"/>
  <c r="U472" i="20"/>
  <c r="V472" i="20"/>
  <c r="W472" i="20"/>
  <c r="X472" i="20"/>
  <c r="Y472" i="20"/>
  <c r="AC472" i="20"/>
  <c r="M473" i="20"/>
  <c r="O473" i="20"/>
  <c r="S473" i="20"/>
  <c r="T473" i="20"/>
  <c r="U473" i="20"/>
  <c r="V473" i="20"/>
  <c r="W473" i="20"/>
  <c r="X473" i="20"/>
  <c r="Y473" i="20"/>
  <c r="AC473" i="20"/>
  <c r="M474" i="20"/>
  <c r="O474" i="20"/>
  <c r="S474" i="20"/>
  <c r="T474" i="20"/>
  <c r="U474" i="20"/>
  <c r="V474" i="20"/>
  <c r="W474" i="20"/>
  <c r="X474" i="20"/>
  <c r="Y474" i="20"/>
  <c r="AC474" i="20"/>
  <c r="M475" i="20"/>
  <c r="O475" i="20"/>
  <c r="S475" i="20"/>
  <c r="T475" i="20"/>
  <c r="U475" i="20"/>
  <c r="V475" i="20"/>
  <c r="W475" i="20"/>
  <c r="X475" i="20"/>
  <c r="Y475" i="20"/>
  <c r="AC475" i="20"/>
  <c r="M476" i="20"/>
  <c r="O476" i="20"/>
  <c r="S476" i="20"/>
  <c r="T476" i="20"/>
  <c r="U476" i="20"/>
  <c r="V476" i="20"/>
  <c r="W476" i="20"/>
  <c r="X476" i="20"/>
  <c r="Y476" i="20"/>
  <c r="AC476" i="20"/>
  <c r="M477" i="20"/>
  <c r="O477" i="20"/>
  <c r="S477" i="20"/>
  <c r="T477" i="20"/>
  <c r="U477" i="20"/>
  <c r="V477" i="20"/>
  <c r="W477" i="20"/>
  <c r="X477" i="20"/>
  <c r="Y477" i="20"/>
  <c r="AC477" i="20"/>
  <c r="M478" i="20"/>
  <c r="O478" i="20"/>
  <c r="S478" i="20"/>
  <c r="T478" i="20"/>
  <c r="U478" i="20"/>
  <c r="V478" i="20"/>
  <c r="W478" i="20"/>
  <c r="X478" i="20"/>
  <c r="Y478" i="20"/>
  <c r="AC478" i="20"/>
  <c r="M479" i="20"/>
  <c r="O479" i="20"/>
  <c r="S479" i="20"/>
  <c r="T479" i="20"/>
  <c r="U479" i="20"/>
  <c r="V479" i="20"/>
  <c r="W479" i="20"/>
  <c r="X479" i="20"/>
  <c r="Y479" i="20"/>
  <c r="AC479" i="20"/>
  <c r="M480" i="20"/>
  <c r="O480" i="20"/>
  <c r="S480" i="20"/>
  <c r="T480" i="20"/>
  <c r="U480" i="20"/>
  <c r="V480" i="20"/>
  <c r="W480" i="20"/>
  <c r="X480" i="20"/>
  <c r="Y480" i="20"/>
  <c r="AC480" i="20"/>
  <c r="M481" i="20"/>
  <c r="O481" i="20"/>
  <c r="S481" i="20"/>
  <c r="T481" i="20"/>
  <c r="U481" i="20"/>
  <c r="V481" i="20"/>
  <c r="W481" i="20"/>
  <c r="X481" i="20"/>
  <c r="Y481" i="20"/>
  <c r="AC481" i="20"/>
  <c r="M482" i="20"/>
  <c r="O482" i="20"/>
  <c r="S482" i="20"/>
  <c r="T482" i="20"/>
  <c r="U482" i="20"/>
  <c r="V482" i="20"/>
  <c r="W482" i="20"/>
  <c r="X482" i="20"/>
  <c r="Y482" i="20"/>
  <c r="AC482" i="20"/>
  <c r="M483" i="20"/>
  <c r="O483" i="20"/>
  <c r="S483" i="20"/>
  <c r="T483" i="20"/>
  <c r="U483" i="20"/>
  <c r="V483" i="20"/>
  <c r="W483" i="20"/>
  <c r="X483" i="20"/>
  <c r="Y483" i="20"/>
  <c r="AC483" i="20"/>
  <c r="M484" i="20"/>
  <c r="O484" i="20"/>
  <c r="S484" i="20"/>
  <c r="T484" i="20"/>
  <c r="U484" i="20"/>
  <c r="V484" i="20"/>
  <c r="W484" i="20"/>
  <c r="X484" i="20"/>
  <c r="Y484" i="20"/>
  <c r="AC484" i="20"/>
  <c r="M485" i="20"/>
  <c r="O485" i="20"/>
  <c r="S485" i="20"/>
  <c r="T485" i="20"/>
  <c r="U485" i="20"/>
  <c r="V485" i="20"/>
  <c r="W485" i="20"/>
  <c r="X485" i="20"/>
  <c r="Y485" i="20"/>
  <c r="AC485" i="20"/>
  <c r="M486" i="20"/>
  <c r="O486" i="20"/>
  <c r="S486" i="20"/>
  <c r="T486" i="20"/>
  <c r="U486" i="20"/>
  <c r="V486" i="20"/>
  <c r="W486" i="20"/>
  <c r="X486" i="20"/>
  <c r="Y486" i="20"/>
  <c r="AC486" i="20"/>
  <c r="M487" i="20"/>
  <c r="O487" i="20"/>
  <c r="S487" i="20"/>
  <c r="T487" i="20"/>
  <c r="U487" i="20"/>
  <c r="V487" i="20"/>
  <c r="W487" i="20"/>
  <c r="X487" i="20"/>
  <c r="Y487" i="20"/>
  <c r="AC487" i="20"/>
  <c r="M488" i="20"/>
  <c r="O488" i="20"/>
  <c r="S488" i="20"/>
  <c r="T488" i="20"/>
  <c r="U488" i="20"/>
  <c r="V488" i="20"/>
  <c r="W488" i="20"/>
  <c r="X488" i="20"/>
  <c r="Y488" i="20"/>
  <c r="AC488" i="20"/>
  <c r="M489" i="20"/>
  <c r="O489" i="20"/>
  <c r="S489" i="20"/>
  <c r="T489" i="20"/>
  <c r="U489" i="20"/>
  <c r="V489" i="20"/>
  <c r="W489" i="20"/>
  <c r="X489" i="20"/>
  <c r="Y489" i="20"/>
  <c r="AC489" i="20"/>
  <c r="M490" i="20"/>
  <c r="O490" i="20"/>
  <c r="S490" i="20"/>
  <c r="T490" i="20"/>
  <c r="U490" i="20"/>
  <c r="V490" i="20"/>
  <c r="W490" i="20"/>
  <c r="X490" i="20"/>
  <c r="Y490" i="20"/>
  <c r="AC490" i="20"/>
  <c r="M491" i="20"/>
  <c r="O491" i="20"/>
  <c r="S491" i="20"/>
  <c r="T491" i="20"/>
  <c r="U491" i="20"/>
  <c r="V491" i="20"/>
  <c r="W491" i="20"/>
  <c r="X491" i="20"/>
  <c r="Y491" i="20"/>
  <c r="AC491" i="20"/>
  <c r="M492" i="20"/>
  <c r="O492" i="20"/>
  <c r="S492" i="20"/>
  <c r="T492" i="20"/>
  <c r="U492" i="20"/>
  <c r="V492" i="20"/>
  <c r="W492" i="20"/>
  <c r="X492" i="20"/>
  <c r="Y492" i="20"/>
  <c r="AC492" i="20"/>
  <c r="M493" i="20"/>
  <c r="O493" i="20"/>
  <c r="S493" i="20"/>
  <c r="T493" i="20"/>
  <c r="U493" i="20"/>
  <c r="V493" i="20"/>
  <c r="W493" i="20"/>
  <c r="X493" i="20"/>
  <c r="Y493" i="20"/>
  <c r="AC493" i="20"/>
  <c r="M494" i="20"/>
  <c r="O494" i="20"/>
  <c r="S494" i="20"/>
  <c r="T494" i="20"/>
  <c r="U494" i="20"/>
  <c r="V494" i="20"/>
  <c r="W494" i="20"/>
  <c r="X494" i="20"/>
  <c r="Y494" i="20"/>
  <c r="AC494" i="20"/>
  <c r="M495" i="20"/>
  <c r="O495" i="20"/>
  <c r="S495" i="20"/>
  <c r="T495" i="20"/>
  <c r="U495" i="20"/>
  <c r="V495" i="20"/>
  <c r="W495" i="20"/>
  <c r="X495" i="20"/>
  <c r="Y495" i="20"/>
  <c r="AC495" i="20"/>
  <c r="M496" i="20"/>
  <c r="O496" i="20"/>
  <c r="S496" i="20"/>
  <c r="T496" i="20"/>
  <c r="U496" i="20"/>
  <c r="V496" i="20"/>
  <c r="W496" i="20"/>
  <c r="X496" i="20"/>
  <c r="Y496" i="20"/>
  <c r="AC496" i="20"/>
  <c r="M497" i="20"/>
  <c r="O497" i="20"/>
  <c r="S497" i="20"/>
  <c r="T497" i="20"/>
  <c r="U497" i="20"/>
  <c r="V497" i="20"/>
  <c r="W497" i="20"/>
  <c r="X497" i="20"/>
  <c r="Y497" i="20"/>
  <c r="AC497" i="20"/>
  <c r="M498" i="20"/>
  <c r="O498" i="20"/>
  <c r="S498" i="20"/>
  <c r="T498" i="20"/>
  <c r="U498" i="20"/>
  <c r="V498" i="20"/>
  <c r="W498" i="20"/>
  <c r="X498" i="20"/>
  <c r="Y498" i="20"/>
  <c r="AC498" i="20"/>
  <c r="M499" i="20"/>
  <c r="O499" i="20"/>
  <c r="S499" i="20"/>
  <c r="T499" i="20"/>
  <c r="U499" i="20"/>
  <c r="V499" i="20"/>
  <c r="W499" i="20"/>
  <c r="X499" i="20"/>
  <c r="Y499" i="20"/>
  <c r="AC499" i="20"/>
  <c r="M500" i="20"/>
  <c r="O500" i="20"/>
  <c r="S500" i="20"/>
  <c r="T500" i="20"/>
  <c r="U500" i="20"/>
  <c r="V500" i="20"/>
  <c r="W500" i="20"/>
  <c r="X500" i="20"/>
  <c r="Y500" i="20"/>
  <c r="AC500" i="20"/>
  <c r="M501" i="20"/>
  <c r="O501" i="20"/>
  <c r="S501" i="20"/>
  <c r="T501" i="20"/>
  <c r="U501" i="20"/>
  <c r="V501" i="20"/>
  <c r="W501" i="20"/>
  <c r="X501" i="20"/>
  <c r="Y501" i="20"/>
  <c r="AC501" i="20"/>
  <c r="M502" i="20"/>
  <c r="O502" i="20"/>
  <c r="S502" i="20"/>
  <c r="T502" i="20"/>
  <c r="U502" i="20"/>
  <c r="V502" i="20"/>
  <c r="W502" i="20"/>
  <c r="X502" i="20"/>
  <c r="Y502" i="20"/>
  <c r="AC502" i="20"/>
  <c r="M503" i="20"/>
  <c r="O503" i="20"/>
  <c r="S503" i="20"/>
  <c r="T503" i="20"/>
  <c r="U503" i="20"/>
  <c r="V503" i="20"/>
  <c r="W503" i="20"/>
  <c r="X503" i="20"/>
  <c r="Y503" i="20"/>
  <c r="AC503" i="20"/>
  <c r="M504" i="20"/>
  <c r="O504" i="20"/>
  <c r="S504" i="20"/>
  <c r="T504" i="20"/>
  <c r="U504" i="20"/>
  <c r="V504" i="20"/>
  <c r="W504" i="20"/>
  <c r="X504" i="20"/>
  <c r="Y504" i="20"/>
  <c r="AC504" i="20"/>
  <c r="M505" i="20"/>
  <c r="O505" i="20"/>
  <c r="S505" i="20"/>
  <c r="T505" i="20"/>
  <c r="U505" i="20"/>
  <c r="V505" i="20"/>
  <c r="W505" i="20"/>
  <c r="X505" i="20"/>
  <c r="Y505" i="20"/>
  <c r="AC505" i="20"/>
  <c r="M506" i="20"/>
  <c r="O506" i="20"/>
  <c r="S506" i="20"/>
  <c r="T506" i="20"/>
  <c r="U506" i="20"/>
  <c r="V506" i="20"/>
  <c r="W506" i="20"/>
  <c r="X506" i="20"/>
  <c r="Y506" i="20"/>
  <c r="AC506" i="20"/>
  <c r="M507" i="20"/>
  <c r="O507" i="20"/>
  <c r="S507" i="20"/>
  <c r="T507" i="20"/>
  <c r="U507" i="20"/>
  <c r="V507" i="20"/>
  <c r="W507" i="20"/>
  <c r="X507" i="20"/>
  <c r="Y507" i="20"/>
  <c r="AC507" i="20"/>
  <c r="M508" i="20"/>
  <c r="O508" i="20"/>
  <c r="S508" i="20"/>
  <c r="T508" i="20"/>
  <c r="U508" i="20"/>
  <c r="V508" i="20"/>
  <c r="W508" i="20"/>
  <c r="X508" i="20"/>
  <c r="Y508" i="20"/>
  <c r="AC508" i="20"/>
  <c r="M509" i="20"/>
  <c r="O509" i="20"/>
  <c r="S509" i="20"/>
  <c r="T509" i="20"/>
  <c r="U509" i="20"/>
  <c r="V509" i="20"/>
  <c r="W509" i="20"/>
  <c r="X509" i="20"/>
  <c r="Y509" i="20"/>
  <c r="AC509" i="20"/>
  <c r="M510" i="20"/>
  <c r="O510" i="20"/>
  <c r="S510" i="20"/>
  <c r="T510" i="20"/>
  <c r="U510" i="20"/>
  <c r="V510" i="20"/>
  <c r="W510" i="20"/>
  <c r="X510" i="20"/>
  <c r="Y510" i="20"/>
  <c r="AC510" i="20"/>
  <c r="M511" i="20"/>
  <c r="O511" i="20"/>
  <c r="S511" i="20"/>
  <c r="T511" i="20"/>
  <c r="U511" i="20"/>
  <c r="V511" i="20"/>
  <c r="W511" i="20"/>
  <c r="X511" i="20"/>
  <c r="Y511" i="20"/>
  <c r="AC511" i="20"/>
  <c r="M512" i="20"/>
  <c r="O512" i="20"/>
  <c r="S512" i="20"/>
  <c r="T512" i="20"/>
  <c r="U512" i="20"/>
  <c r="V512" i="20"/>
  <c r="W512" i="20"/>
  <c r="X512" i="20"/>
  <c r="Y512" i="20"/>
  <c r="AC512" i="20"/>
  <c r="M513" i="20"/>
  <c r="O513" i="20"/>
  <c r="S513" i="20"/>
  <c r="T513" i="20"/>
  <c r="U513" i="20"/>
  <c r="V513" i="20"/>
  <c r="W513" i="20"/>
  <c r="X513" i="20"/>
  <c r="Y513" i="20"/>
  <c r="AC513" i="20"/>
  <c r="M514" i="20"/>
  <c r="O514" i="20"/>
  <c r="S514" i="20"/>
  <c r="T514" i="20"/>
  <c r="U514" i="20"/>
  <c r="V514" i="20"/>
  <c r="W514" i="20"/>
  <c r="X514" i="20"/>
  <c r="Y514" i="20"/>
  <c r="AC514" i="20"/>
  <c r="M515" i="20"/>
  <c r="O515" i="20"/>
  <c r="S515" i="20"/>
  <c r="T515" i="20"/>
  <c r="U515" i="20"/>
  <c r="V515" i="20"/>
  <c r="W515" i="20"/>
  <c r="X515" i="20"/>
  <c r="Y515" i="20"/>
  <c r="AC515" i="20"/>
  <c r="M516" i="20"/>
  <c r="O516" i="20"/>
  <c r="S516" i="20"/>
  <c r="T516" i="20"/>
  <c r="U516" i="20"/>
  <c r="V516" i="20"/>
  <c r="W516" i="20"/>
  <c r="X516" i="20"/>
  <c r="Y516" i="20"/>
  <c r="AC516" i="20"/>
  <c r="M517" i="20"/>
  <c r="O517" i="20"/>
  <c r="S517" i="20"/>
  <c r="T517" i="20"/>
  <c r="U517" i="20"/>
  <c r="V517" i="20"/>
  <c r="W517" i="20"/>
  <c r="X517" i="20"/>
  <c r="Y517" i="20"/>
  <c r="AC517" i="20"/>
  <c r="M518" i="20"/>
  <c r="O518" i="20"/>
  <c r="S518" i="20"/>
  <c r="T518" i="20"/>
  <c r="U518" i="20"/>
  <c r="V518" i="20"/>
  <c r="W518" i="20"/>
  <c r="X518" i="20"/>
  <c r="Y518" i="20"/>
  <c r="AC518" i="20"/>
  <c r="M519" i="20"/>
  <c r="O519" i="20"/>
  <c r="S519" i="20"/>
  <c r="T519" i="20"/>
  <c r="U519" i="20"/>
  <c r="V519" i="20"/>
  <c r="W519" i="20"/>
  <c r="X519" i="20"/>
  <c r="Y519" i="20"/>
  <c r="AC519" i="20"/>
  <c r="M520" i="20"/>
  <c r="O520" i="20"/>
  <c r="S520" i="20"/>
  <c r="T520" i="20"/>
  <c r="U520" i="20"/>
  <c r="V520" i="20"/>
  <c r="W520" i="20"/>
  <c r="X520" i="20"/>
  <c r="Y520" i="20"/>
  <c r="AC520" i="20"/>
  <c r="M521" i="20"/>
  <c r="O521" i="20"/>
  <c r="S521" i="20"/>
  <c r="T521" i="20"/>
  <c r="U521" i="20"/>
  <c r="V521" i="20"/>
  <c r="W521" i="20"/>
  <c r="X521" i="20"/>
  <c r="Y521" i="20"/>
  <c r="AC521" i="20"/>
  <c r="M522" i="20"/>
  <c r="O522" i="20"/>
  <c r="S522" i="20"/>
  <c r="T522" i="20"/>
  <c r="U522" i="20"/>
  <c r="V522" i="20"/>
  <c r="W522" i="20"/>
  <c r="X522" i="20"/>
  <c r="Y522" i="20"/>
  <c r="AC522" i="20"/>
  <c r="M523" i="20"/>
  <c r="O523" i="20"/>
  <c r="S523" i="20"/>
  <c r="T523" i="20"/>
  <c r="U523" i="20"/>
  <c r="V523" i="20"/>
  <c r="W523" i="20"/>
  <c r="X523" i="20"/>
  <c r="Y523" i="20"/>
  <c r="AC523" i="20"/>
  <c r="M524" i="20"/>
  <c r="O524" i="20"/>
  <c r="S524" i="20"/>
  <c r="T524" i="20"/>
  <c r="U524" i="20"/>
  <c r="V524" i="20"/>
  <c r="W524" i="20"/>
  <c r="X524" i="20"/>
  <c r="Y524" i="20"/>
  <c r="AC524" i="20"/>
  <c r="M525" i="20"/>
  <c r="O525" i="20"/>
  <c r="S525" i="20"/>
  <c r="T525" i="20"/>
  <c r="U525" i="20"/>
  <c r="V525" i="20"/>
  <c r="W525" i="20"/>
  <c r="X525" i="20"/>
  <c r="Y525" i="20"/>
  <c r="AC525" i="20"/>
  <c r="M526" i="20"/>
  <c r="O526" i="20"/>
  <c r="S526" i="20"/>
  <c r="T526" i="20"/>
  <c r="U526" i="20"/>
  <c r="V526" i="20"/>
  <c r="W526" i="20"/>
  <c r="X526" i="20"/>
  <c r="Y526" i="20"/>
  <c r="AC526" i="20"/>
  <c r="M527" i="20"/>
  <c r="O527" i="20"/>
  <c r="S527" i="20"/>
  <c r="T527" i="20"/>
  <c r="U527" i="20"/>
  <c r="V527" i="20"/>
  <c r="W527" i="20"/>
  <c r="X527" i="20"/>
  <c r="Y527" i="20"/>
  <c r="AC527" i="20"/>
  <c r="M528" i="20"/>
  <c r="O528" i="20"/>
  <c r="S528" i="20"/>
  <c r="T528" i="20"/>
  <c r="U528" i="20"/>
  <c r="V528" i="20"/>
  <c r="W528" i="20"/>
  <c r="X528" i="20"/>
  <c r="Y528" i="20"/>
  <c r="AC528" i="20"/>
  <c r="M529" i="20"/>
  <c r="O529" i="20"/>
  <c r="S529" i="20"/>
  <c r="T529" i="20"/>
  <c r="U529" i="20"/>
  <c r="V529" i="20"/>
  <c r="W529" i="20"/>
  <c r="X529" i="20"/>
  <c r="Y529" i="20"/>
  <c r="AC529" i="20"/>
  <c r="M530" i="20"/>
  <c r="O530" i="20"/>
  <c r="S530" i="20"/>
  <c r="T530" i="20"/>
  <c r="U530" i="20"/>
  <c r="V530" i="20"/>
  <c r="W530" i="20"/>
  <c r="X530" i="20"/>
  <c r="Y530" i="20"/>
  <c r="AC530" i="20"/>
  <c r="M531" i="20"/>
  <c r="O531" i="20"/>
  <c r="S531" i="20"/>
  <c r="T531" i="20"/>
  <c r="U531" i="20"/>
  <c r="V531" i="20"/>
  <c r="W531" i="20"/>
  <c r="X531" i="20"/>
  <c r="Y531" i="20"/>
  <c r="AC531" i="20"/>
  <c r="M532" i="20"/>
  <c r="O532" i="20"/>
  <c r="S532" i="20"/>
  <c r="T532" i="20"/>
  <c r="U532" i="20"/>
  <c r="V532" i="20"/>
  <c r="W532" i="20"/>
  <c r="X532" i="20"/>
  <c r="Y532" i="20"/>
  <c r="AC532" i="20"/>
  <c r="M533" i="20"/>
  <c r="O533" i="20"/>
  <c r="S533" i="20"/>
  <c r="T533" i="20"/>
  <c r="U533" i="20"/>
  <c r="V533" i="20"/>
  <c r="W533" i="20"/>
  <c r="X533" i="20"/>
  <c r="Y533" i="20"/>
  <c r="AC533" i="20"/>
  <c r="M534" i="20"/>
  <c r="O534" i="20"/>
  <c r="S534" i="20"/>
  <c r="T534" i="20"/>
  <c r="U534" i="20"/>
  <c r="V534" i="20"/>
  <c r="W534" i="20"/>
  <c r="X534" i="20"/>
  <c r="Y534" i="20"/>
  <c r="AC534" i="20"/>
  <c r="M535" i="20"/>
  <c r="O535" i="20"/>
  <c r="S535" i="20"/>
  <c r="T535" i="20"/>
  <c r="U535" i="20"/>
  <c r="V535" i="20"/>
  <c r="W535" i="20"/>
  <c r="X535" i="20"/>
  <c r="Y535" i="20"/>
  <c r="AC535" i="20"/>
  <c r="M536" i="20"/>
  <c r="O536" i="20"/>
  <c r="S536" i="20"/>
  <c r="T536" i="20"/>
  <c r="U536" i="20"/>
  <c r="V536" i="20"/>
  <c r="W536" i="20"/>
  <c r="X536" i="20"/>
  <c r="Y536" i="20"/>
  <c r="AC536" i="20"/>
  <c r="M537" i="20"/>
  <c r="O537" i="20"/>
  <c r="S537" i="20"/>
  <c r="T537" i="20"/>
  <c r="U537" i="20"/>
  <c r="V537" i="20"/>
  <c r="W537" i="20"/>
  <c r="X537" i="20"/>
  <c r="Y537" i="20"/>
  <c r="AC537" i="20"/>
  <c r="M538" i="20"/>
  <c r="O538" i="20"/>
  <c r="S538" i="20"/>
  <c r="T538" i="20"/>
  <c r="U538" i="20"/>
  <c r="V538" i="20"/>
  <c r="W538" i="20"/>
  <c r="X538" i="20"/>
  <c r="Y538" i="20"/>
  <c r="AC538" i="20"/>
  <c r="M539" i="20"/>
  <c r="O539" i="20"/>
  <c r="S539" i="20"/>
  <c r="T539" i="20"/>
  <c r="U539" i="20"/>
  <c r="V539" i="20"/>
  <c r="W539" i="20"/>
  <c r="X539" i="20"/>
  <c r="Y539" i="20"/>
  <c r="AC539" i="20"/>
  <c r="M540" i="20"/>
  <c r="O540" i="20"/>
  <c r="S540" i="20"/>
  <c r="T540" i="20"/>
  <c r="U540" i="20"/>
  <c r="V540" i="20"/>
  <c r="W540" i="20"/>
  <c r="X540" i="20"/>
  <c r="Y540" i="20"/>
  <c r="AC540" i="20"/>
  <c r="M541" i="20"/>
  <c r="O541" i="20"/>
  <c r="S541" i="20"/>
  <c r="T541" i="20"/>
  <c r="U541" i="20"/>
  <c r="V541" i="20"/>
  <c r="W541" i="20"/>
  <c r="X541" i="20"/>
  <c r="Y541" i="20"/>
  <c r="AC541" i="20"/>
  <c r="M542" i="20"/>
  <c r="O542" i="20"/>
  <c r="S542" i="20"/>
  <c r="T542" i="20"/>
  <c r="U542" i="20"/>
  <c r="V542" i="20"/>
  <c r="W542" i="20"/>
  <c r="X542" i="20"/>
  <c r="Y542" i="20"/>
  <c r="AC542" i="20"/>
  <c r="M543" i="20"/>
  <c r="O543" i="20"/>
  <c r="S543" i="20"/>
  <c r="T543" i="20"/>
  <c r="U543" i="20"/>
  <c r="V543" i="20"/>
  <c r="W543" i="20"/>
  <c r="X543" i="20"/>
  <c r="Y543" i="20"/>
  <c r="AC543" i="20"/>
  <c r="M544" i="20"/>
  <c r="O544" i="20"/>
  <c r="S544" i="20"/>
  <c r="T544" i="20"/>
  <c r="U544" i="20"/>
  <c r="V544" i="20"/>
  <c r="W544" i="20"/>
  <c r="X544" i="20"/>
  <c r="Y544" i="20"/>
  <c r="AC544" i="20"/>
  <c r="M545" i="20"/>
  <c r="O545" i="20"/>
  <c r="S545" i="20"/>
  <c r="T545" i="20"/>
  <c r="U545" i="20"/>
  <c r="V545" i="20"/>
  <c r="W545" i="20"/>
  <c r="X545" i="20"/>
  <c r="Y545" i="20"/>
  <c r="AC545" i="20"/>
  <c r="M546" i="20"/>
  <c r="O546" i="20"/>
  <c r="S546" i="20"/>
  <c r="T546" i="20"/>
  <c r="U546" i="20"/>
  <c r="V546" i="20"/>
  <c r="W546" i="20"/>
  <c r="X546" i="20"/>
  <c r="Y546" i="20"/>
  <c r="AC546" i="20"/>
  <c r="M547" i="20"/>
  <c r="O547" i="20"/>
  <c r="S547" i="20"/>
  <c r="T547" i="20"/>
  <c r="U547" i="20"/>
  <c r="V547" i="20"/>
  <c r="W547" i="20"/>
  <c r="X547" i="20"/>
  <c r="Y547" i="20"/>
  <c r="AC547" i="20"/>
  <c r="M548" i="20"/>
  <c r="O548" i="20"/>
  <c r="S548" i="20"/>
  <c r="T548" i="20"/>
  <c r="U548" i="20"/>
  <c r="V548" i="20"/>
  <c r="W548" i="20"/>
  <c r="X548" i="20"/>
  <c r="Y548" i="20"/>
  <c r="AC548" i="20"/>
  <c r="M549" i="20"/>
  <c r="O549" i="20"/>
  <c r="S549" i="20"/>
  <c r="T549" i="20"/>
  <c r="U549" i="20"/>
  <c r="V549" i="20"/>
  <c r="W549" i="20"/>
  <c r="X549" i="20"/>
  <c r="Y549" i="20"/>
  <c r="AC549" i="20"/>
  <c r="M550" i="20"/>
  <c r="O550" i="20"/>
  <c r="S550" i="20"/>
  <c r="T550" i="20"/>
  <c r="U550" i="20"/>
  <c r="V550" i="20"/>
  <c r="W550" i="20"/>
  <c r="X550" i="20"/>
  <c r="Y550" i="20"/>
  <c r="AC550" i="20"/>
  <c r="M551" i="20"/>
  <c r="O551" i="20"/>
  <c r="S551" i="20"/>
  <c r="T551" i="20"/>
  <c r="U551" i="20"/>
  <c r="V551" i="20"/>
  <c r="W551" i="20"/>
  <c r="X551" i="20"/>
  <c r="Y551" i="20"/>
  <c r="AC551" i="20"/>
  <c r="M552" i="20"/>
  <c r="O552" i="20"/>
  <c r="S552" i="20"/>
  <c r="T552" i="20"/>
  <c r="U552" i="20"/>
  <c r="V552" i="20"/>
  <c r="W552" i="20"/>
  <c r="X552" i="20"/>
  <c r="Y552" i="20"/>
  <c r="AC552" i="20"/>
  <c r="M553" i="20"/>
  <c r="O553" i="20"/>
  <c r="S553" i="20"/>
  <c r="T553" i="20"/>
  <c r="U553" i="20"/>
  <c r="V553" i="20"/>
  <c r="W553" i="20"/>
  <c r="X553" i="20"/>
  <c r="Y553" i="20"/>
  <c r="AC553" i="20"/>
  <c r="M554" i="20"/>
  <c r="O554" i="20"/>
  <c r="S554" i="20"/>
  <c r="T554" i="20"/>
  <c r="U554" i="20"/>
  <c r="V554" i="20"/>
  <c r="W554" i="20"/>
  <c r="X554" i="20"/>
  <c r="Y554" i="20"/>
  <c r="AC554" i="20"/>
  <c r="M555" i="20"/>
  <c r="O555" i="20"/>
  <c r="S555" i="20"/>
  <c r="T555" i="20"/>
  <c r="U555" i="20"/>
  <c r="V555" i="20"/>
  <c r="W555" i="20"/>
  <c r="X555" i="20"/>
  <c r="Y555" i="20"/>
  <c r="AC555" i="20"/>
  <c r="M556" i="20"/>
  <c r="O556" i="20"/>
  <c r="S556" i="20"/>
  <c r="T556" i="20"/>
  <c r="U556" i="20"/>
  <c r="V556" i="20"/>
  <c r="W556" i="20"/>
  <c r="X556" i="20"/>
  <c r="Y556" i="20"/>
  <c r="AC556" i="20"/>
  <c r="M557" i="20"/>
  <c r="O557" i="20"/>
  <c r="S557" i="20"/>
  <c r="T557" i="20"/>
  <c r="U557" i="20"/>
  <c r="V557" i="20"/>
  <c r="W557" i="20"/>
  <c r="X557" i="20"/>
  <c r="Y557" i="20"/>
  <c r="AC557" i="20"/>
  <c r="M558" i="20"/>
  <c r="O558" i="20"/>
  <c r="S558" i="20"/>
  <c r="T558" i="20"/>
  <c r="U558" i="20"/>
  <c r="V558" i="20"/>
  <c r="W558" i="20"/>
  <c r="X558" i="20"/>
  <c r="Y558" i="20"/>
  <c r="AC558" i="20"/>
  <c r="M559" i="20"/>
  <c r="O559" i="20"/>
  <c r="S559" i="20"/>
  <c r="T559" i="20"/>
  <c r="U559" i="20"/>
  <c r="V559" i="20"/>
  <c r="W559" i="20"/>
  <c r="X559" i="20"/>
  <c r="Y559" i="20"/>
  <c r="AC559" i="20"/>
  <c r="M560" i="20"/>
  <c r="O560" i="20"/>
  <c r="S560" i="20"/>
  <c r="T560" i="20"/>
  <c r="U560" i="20"/>
  <c r="V560" i="20"/>
  <c r="W560" i="20"/>
  <c r="X560" i="20"/>
  <c r="Y560" i="20"/>
  <c r="AC560" i="20"/>
  <c r="M561" i="20"/>
  <c r="O561" i="20"/>
  <c r="S561" i="20"/>
  <c r="T561" i="20"/>
  <c r="U561" i="20"/>
  <c r="V561" i="20"/>
  <c r="W561" i="20"/>
  <c r="X561" i="20"/>
  <c r="Y561" i="20"/>
  <c r="AC561" i="20"/>
  <c r="M562" i="20"/>
  <c r="O562" i="20"/>
  <c r="S562" i="20"/>
  <c r="T562" i="20"/>
  <c r="U562" i="20"/>
  <c r="V562" i="20"/>
  <c r="W562" i="20"/>
  <c r="X562" i="20"/>
  <c r="Y562" i="20"/>
  <c r="AC562" i="20"/>
  <c r="M563" i="20"/>
  <c r="O563" i="20"/>
  <c r="S563" i="20"/>
  <c r="T563" i="20"/>
  <c r="U563" i="20"/>
  <c r="V563" i="20"/>
  <c r="W563" i="20"/>
  <c r="X563" i="20"/>
  <c r="Y563" i="20"/>
  <c r="AC563" i="20"/>
  <c r="M564" i="20"/>
  <c r="O564" i="20"/>
  <c r="S564" i="20"/>
  <c r="T564" i="20"/>
  <c r="U564" i="20"/>
  <c r="V564" i="20"/>
  <c r="W564" i="20"/>
  <c r="X564" i="20"/>
  <c r="Y564" i="20"/>
  <c r="AC564" i="20"/>
  <c r="M565" i="20"/>
  <c r="O565" i="20"/>
  <c r="S565" i="20"/>
  <c r="T565" i="20"/>
  <c r="U565" i="20"/>
  <c r="V565" i="20"/>
  <c r="W565" i="20"/>
  <c r="X565" i="20"/>
  <c r="Y565" i="20"/>
  <c r="AC565" i="20"/>
  <c r="M566" i="20"/>
  <c r="O566" i="20"/>
  <c r="S566" i="20"/>
  <c r="T566" i="20"/>
  <c r="U566" i="20"/>
  <c r="V566" i="20"/>
  <c r="W566" i="20"/>
  <c r="X566" i="20"/>
  <c r="Y566" i="20"/>
  <c r="AC566" i="20"/>
  <c r="M567" i="20"/>
  <c r="O567" i="20"/>
  <c r="S567" i="20"/>
  <c r="T567" i="20"/>
  <c r="U567" i="20"/>
  <c r="V567" i="20"/>
  <c r="W567" i="20"/>
  <c r="X567" i="20"/>
  <c r="Y567" i="20"/>
  <c r="AC567" i="20"/>
  <c r="M568" i="20"/>
  <c r="O568" i="20"/>
  <c r="S568" i="20"/>
  <c r="T568" i="20"/>
  <c r="U568" i="20"/>
  <c r="V568" i="20"/>
  <c r="W568" i="20"/>
  <c r="X568" i="20"/>
  <c r="Y568" i="20"/>
  <c r="AC568" i="20"/>
  <c r="M569" i="20"/>
  <c r="O569" i="20"/>
  <c r="S569" i="20"/>
  <c r="T569" i="20"/>
  <c r="U569" i="20"/>
  <c r="V569" i="20"/>
  <c r="W569" i="20"/>
  <c r="X569" i="20"/>
  <c r="Y569" i="20"/>
  <c r="AC569" i="20"/>
  <c r="M570" i="20"/>
  <c r="O570" i="20"/>
  <c r="S570" i="20"/>
  <c r="T570" i="20"/>
  <c r="U570" i="20"/>
  <c r="V570" i="20"/>
  <c r="W570" i="20"/>
  <c r="X570" i="20"/>
  <c r="Y570" i="20"/>
  <c r="AC570" i="20"/>
  <c r="M571" i="20"/>
  <c r="O571" i="20"/>
  <c r="S571" i="20"/>
  <c r="T571" i="20"/>
  <c r="U571" i="20"/>
  <c r="V571" i="20"/>
  <c r="W571" i="20"/>
  <c r="X571" i="20"/>
  <c r="Y571" i="20"/>
  <c r="AC571" i="20"/>
  <c r="M572" i="20"/>
  <c r="O572" i="20"/>
  <c r="S572" i="20"/>
  <c r="T572" i="20"/>
  <c r="U572" i="20"/>
  <c r="V572" i="20"/>
  <c r="W572" i="20"/>
  <c r="X572" i="20"/>
  <c r="Y572" i="20"/>
  <c r="AC572" i="20"/>
  <c r="M573" i="20"/>
  <c r="O573" i="20"/>
  <c r="S573" i="20"/>
  <c r="T573" i="20"/>
  <c r="U573" i="20"/>
  <c r="V573" i="20"/>
  <c r="W573" i="20"/>
  <c r="X573" i="20"/>
  <c r="Y573" i="20"/>
  <c r="AC573" i="20"/>
  <c r="M574" i="20"/>
  <c r="O574" i="20"/>
  <c r="S574" i="20"/>
  <c r="T574" i="20"/>
  <c r="U574" i="20"/>
  <c r="V574" i="20"/>
  <c r="W574" i="20"/>
  <c r="X574" i="20"/>
  <c r="Y574" i="20"/>
  <c r="AC574" i="20"/>
  <c r="M575" i="20"/>
  <c r="O575" i="20"/>
  <c r="S575" i="20"/>
  <c r="T575" i="20"/>
  <c r="U575" i="20"/>
  <c r="V575" i="20"/>
  <c r="W575" i="20"/>
  <c r="X575" i="20"/>
  <c r="Y575" i="20"/>
  <c r="AC575" i="20"/>
  <c r="M576" i="20"/>
  <c r="O576" i="20"/>
  <c r="S576" i="20"/>
  <c r="T576" i="20"/>
  <c r="U576" i="20"/>
  <c r="V576" i="20"/>
  <c r="W576" i="20"/>
  <c r="X576" i="20"/>
  <c r="Y576" i="20"/>
  <c r="AC576" i="20"/>
  <c r="M577" i="20"/>
  <c r="O577" i="20"/>
  <c r="S577" i="20"/>
  <c r="T577" i="20"/>
  <c r="U577" i="20"/>
  <c r="V577" i="20"/>
  <c r="W577" i="20"/>
  <c r="X577" i="20"/>
  <c r="Y577" i="20"/>
  <c r="AC577" i="20"/>
  <c r="M578" i="20"/>
  <c r="O578" i="20"/>
  <c r="S578" i="20"/>
  <c r="T578" i="20"/>
  <c r="U578" i="20"/>
  <c r="V578" i="20"/>
  <c r="W578" i="20"/>
  <c r="X578" i="20"/>
  <c r="Y578" i="20"/>
  <c r="AC578" i="20"/>
  <c r="M579" i="20"/>
  <c r="O579" i="20"/>
  <c r="S579" i="20"/>
  <c r="T579" i="20"/>
  <c r="U579" i="20"/>
  <c r="V579" i="20"/>
  <c r="W579" i="20"/>
  <c r="X579" i="20"/>
  <c r="Y579" i="20"/>
  <c r="AC579" i="20"/>
  <c r="M580" i="20"/>
  <c r="O580" i="20"/>
  <c r="S580" i="20"/>
  <c r="T580" i="20"/>
  <c r="U580" i="20"/>
  <c r="V580" i="20"/>
  <c r="W580" i="20"/>
  <c r="X580" i="20"/>
  <c r="Y580" i="20"/>
  <c r="AC580" i="20"/>
  <c r="M581" i="20"/>
  <c r="O581" i="20"/>
  <c r="S581" i="20"/>
  <c r="T581" i="20"/>
  <c r="U581" i="20"/>
  <c r="V581" i="20"/>
  <c r="W581" i="20"/>
  <c r="X581" i="20"/>
  <c r="Y581" i="20"/>
  <c r="AC581" i="20"/>
  <c r="M582" i="20"/>
  <c r="O582" i="20"/>
  <c r="S582" i="20"/>
  <c r="T582" i="20"/>
  <c r="U582" i="20"/>
  <c r="V582" i="20"/>
  <c r="W582" i="20"/>
  <c r="X582" i="20"/>
  <c r="Y582" i="20"/>
  <c r="AC582" i="20"/>
  <c r="M583" i="20"/>
  <c r="O583" i="20"/>
  <c r="S583" i="20"/>
  <c r="T583" i="20"/>
  <c r="U583" i="20"/>
  <c r="V583" i="20"/>
  <c r="W583" i="20"/>
  <c r="X583" i="20"/>
  <c r="Y583" i="20"/>
  <c r="AC583" i="20"/>
  <c r="M584" i="20"/>
  <c r="O584" i="20"/>
  <c r="S584" i="20"/>
  <c r="T584" i="20"/>
  <c r="U584" i="20"/>
  <c r="V584" i="20"/>
  <c r="W584" i="20"/>
  <c r="X584" i="20"/>
  <c r="Y584" i="20"/>
  <c r="AC584" i="20"/>
  <c r="M585" i="20"/>
  <c r="O585" i="20"/>
  <c r="S585" i="20"/>
  <c r="T585" i="20"/>
  <c r="U585" i="20"/>
  <c r="V585" i="20"/>
  <c r="W585" i="20"/>
  <c r="X585" i="20"/>
  <c r="Y585" i="20"/>
  <c r="AC585" i="20"/>
  <c r="M586" i="20"/>
  <c r="O586" i="20"/>
  <c r="S586" i="20"/>
  <c r="T586" i="20"/>
  <c r="U586" i="20"/>
  <c r="V586" i="20"/>
  <c r="W586" i="20"/>
  <c r="X586" i="20"/>
  <c r="Y586" i="20"/>
  <c r="AC586" i="20"/>
  <c r="M587" i="20"/>
  <c r="O587" i="20"/>
  <c r="S587" i="20"/>
  <c r="T587" i="20"/>
  <c r="U587" i="20"/>
  <c r="V587" i="20"/>
  <c r="W587" i="20"/>
  <c r="X587" i="20"/>
  <c r="Y587" i="20"/>
  <c r="AC587" i="20"/>
  <c r="M588" i="20"/>
  <c r="O588" i="20"/>
  <c r="S588" i="20"/>
  <c r="T588" i="20"/>
  <c r="U588" i="20"/>
  <c r="V588" i="20"/>
  <c r="W588" i="20"/>
  <c r="X588" i="20"/>
  <c r="Y588" i="20"/>
  <c r="AC588" i="20"/>
  <c r="M589" i="20"/>
  <c r="O589" i="20"/>
  <c r="S589" i="20"/>
  <c r="T589" i="20"/>
  <c r="U589" i="20"/>
  <c r="V589" i="20"/>
  <c r="W589" i="20"/>
  <c r="X589" i="20"/>
  <c r="Y589" i="20"/>
  <c r="AC589" i="20"/>
  <c r="M590" i="20"/>
  <c r="O590" i="20"/>
  <c r="S590" i="20"/>
  <c r="T590" i="20"/>
  <c r="U590" i="20"/>
  <c r="V590" i="20"/>
  <c r="W590" i="20"/>
  <c r="X590" i="20"/>
  <c r="Y590" i="20"/>
  <c r="AC590" i="20"/>
  <c r="M591" i="20"/>
  <c r="O591" i="20"/>
  <c r="S591" i="20"/>
  <c r="T591" i="20"/>
  <c r="U591" i="20"/>
  <c r="V591" i="20"/>
  <c r="W591" i="20"/>
  <c r="X591" i="20"/>
  <c r="Y591" i="20"/>
  <c r="AC591" i="20"/>
  <c r="M592" i="20"/>
  <c r="O592" i="20"/>
  <c r="S592" i="20"/>
  <c r="T592" i="20"/>
  <c r="U592" i="20"/>
  <c r="V592" i="20"/>
  <c r="W592" i="20"/>
  <c r="X592" i="20"/>
  <c r="Y592" i="20"/>
  <c r="AC592" i="20"/>
  <c r="M593" i="20"/>
  <c r="O593" i="20"/>
  <c r="S593" i="20"/>
  <c r="T593" i="20"/>
  <c r="U593" i="20"/>
  <c r="V593" i="20"/>
  <c r="W593" i="20"/>
  <c r="X593" i="20"/>
  <c r="Y593" i="20"/>
  <c r="AC593" i="20"/>
  <c r="M594" i="20"/>
  <c r="O594" i="20"/>
  <c r="S594" i="20"/>
  <c r="T594" i="20"/>
  <c r="U594" i="20"/>
  <c r="V594" i="20"/>
  <c r="W594" i="20"/>
  <c r="X594" i="20"/>
  <c r="Y594" i="20"/>
  <c r="AC594" i="20"/>
  <c r="M595" i="20"/>
  <c r="O595" i="20"/>
  <c r="S595" i="20"/>
  <c r="T595" i="20"/>
  <c r="U595" i="20"/>
  <c r="V595" i="20"/>
  <c r="W595" i="20"/>
  <c r="X595" i="20"/>
  <c r="Y595" i="20"/>
  <c r="AC595" i="20"/>
  <c r="M596" i="20"/>
  <c r="O596" i="20"/>
  <c r="S596" i="20"/>
  <c r="T596" i="20"/>
  <c r="U596" i="20"/>
  <c r="V596" i="20"/>
  <c r="W596" i="20"/>
  <c r="X596" i="20"/>
  <c r="Y596" i="20"/>
  <c r="AC596" i="20"/>
  <c r="M597" i="20"/>
  <c r="O597" i="20"/>
  <c r="S597" i="20"/>
  <c r="T597" i="20"/>
  <c r="U597" i="20"/>
  <c r="V597" i="20"/>
  <c r="W597" i="20"/>
  <c r="X597" i="20"/>
  <c r="Y597" i="20"/>
  <c r="AC597" i="20"/>
  <c r="M598" i="20"/>
  <c r="O598" i="20"/>
  <c r="S598" i="20"/>
  <c r="T598" i="20"/>
  <c r="U598" i="20"/>
  <c r="V598" i="20"/>
  <c r="W598" i="20"/>
  <c r="X598" i="20"/>
  <c r="Y598" i="20"/>
  <c r="AC598" i="20"/>
  <c r="M599" i="20"/>
  <c r="O599" i="20"/>
  <c r="S599" i="20"/>
  <c r="T599" i="20"/>
  <c r="U599" i="20"/>
  <c r="V599" i="20"/>
  <c r="W599" i="20"/>
  <c r="X599" i="20"/>
  <c r="Y599" i="20"/>
  <c r="AC599" i="20"/>
  <c r="M600" i="20"/>
  <c r="O600" i="20"/>
  <c r="S600" i="20"/>
  <c r="T600" i="20"/>
  <c r="U600" i="20"/>
  <c r="V600" i="20"/>
  <c r="W600" i="20"/>
  <c r="X600" i="20"/>
  <c r="Y600" i="20"/>
  <c r="AC600" i="20"/>
  <c r="M601" i="20"/>
  <c r="O601" i="20"/>
  <c r="S601" i="20"/>
  <c r="T601" i="20"/>
  <c r="U601" i="20"/>
  <c r="V601" i="20"/>
  <c r="W601" i="20"/>
  <c r="X601" i="20"/>
  <c r="Y601" i="20"/>
  <c r="AC601" i="20"/>
  <c r="M602" i="20"/>
  <c r="O602" i="20"/>
  <c r="S602" i="20"/>
  <c r="T602" i="20"/>
  <c r="U602" i="20"/>
  <c r="V602" i="20"/>
  <c r="W602" i="20"/>
  <c r="X602" i="20"/>
  <c r="Y602" i="20"/>
  <c r="AC602" i="20"/>
  <c r="M603" i="20"/>
  <c r="O603" i="20"/>
  <c r="S603" i="20"/>
  <c r="T603" i="20"/>
  <c r="U603" i="20"/>
  <c r="V603" i="20"/>
  <c r="W603" i="20"/>
  <c r="X603" i="20"/>
  <c r="Y603" i="20"/>
  <c r="AC603" i="20"/>
  <c r="M604" i="20"/>
  <c r="O604" i="20"/>
  <c r="S604" i="20"/>
  <c r="T604" i="20"/>
  <c r="U604" i="20"/>
  <c r="V604" i="20"/>
  <c r="W604" i="20"/>
  <c r="X604" i="20"/>
  <c r="Y604" i="20"/>
  <c r="AC604" i="20"/>
  <c r="M605" i="20"/>
  <c r="O605" i="20"/>
  <c r="S605" i="20"/>
  <c r="T605" i="20"/>
  <c r="U605" i="20"/>
  <c r="V605" i="20"/>
  <c r="W605" i="20"/>
  <c r="X605" i="20"/>
  <c r="Y605" i="20"/>
  <c r="AC605" i="20"/>
  <c r="M606" i="20"/>
  <c r="O606" i="20"/>
  <c r="S606" i="20"/>
  <c r="T606" i="20"/>
  <c r="U606" i="20"/>
  <c r="V606" i="20"/>
  <c r="W606" i="20"/>
  <c r="X606" i="20"/>
  <c r="Y606" i="20"/>
  <c r="AC606" i="20"/>
  <c r="M607" i="20"/>
  <c r="O607" i="20"/>
  <c r="S607" i="20"/>
  <c r="T607" i="20"/>
  <c r="U607" i="20"/>
  <c r="V607" i="20"/>
  <c r="W607" i="20"/>
  <c r="X607" i="20"/>
  <c r="Y607" i="20"/>
  <c r="AC607" i="20"/>
  <c r="M608" i="20"/>
  <c r="O608" i="20"/>
  <c r="S608" i="20"/>
  <c r="T608" i="20"/>
  <c r="U608" i="20"/>
  <c r="V608" i="20"/>
  <c r="W608" i="20"/>
  <c r="X608" i="20"/>
  <c r="Y608" i="20"/>
  <c r="AC608" i="20"/>
  <c r="M609" i="20"/>
  <c r="O609" i="20"/>
  <c r="S609" i="20"/>
  <c r="T609" i="20"/>
  <c r="U609" i="20"/>
  <c r="V609" i="20"/>
  <c r="W609" i="20"/>
  <c r="X609" i="20"/>
  <c r="Y609" i="20"/>
  <c r="AC609" i="20"/>
  <c r="M610" i="20"/>
  <c r="O610" i="20"/>
  <c r="S610" i="20"/>
  <c r="T610" i="20"/>
  <c r="U610" i="20"/>
  <c r="V610" i="20"/>
  <c r="W610" i="20"/>
  <c r="X610" i="20"/>
  <c r="Y610" i="20"/>
  <c r="AC610" i="20"/>
  <c r="M611" i="20"/>
  <c r="O611" i="20"/>
  <c r="S611" i="20"/>
  <c r="T611" i="20"/>
  <c r="U611" i="20"/>
  <c r="V611" i="20"/>
  <c r="W611" i="20"/>
  <c r="X611" i="20"/>
  <c r="Y611" i="20"/>
  <c r="AC611" i="20"/>
  <c r="M612" i="20"/>
  <c r="O612" i="20"/>
  <c r="S612" i="20"/>
  <c r="T612" i="20"/>
  <c r="U612" i="20"/>
  <c r="V612" i="20"/>
  <c r="W612" i="20"/>
  <c r="X612" i="20"/>
  <c r="Y612" i="20"/>
  <c r="AC612" i="20"/>
  <c r="M613" i="20"/>
  <c r="O613" i="20"/>
  <c r="S613" i="20"/>
  <c r="T613" i="20"/>
  <c r="U613" i="20"/>
  <c r="V613" i="20"/>
  <c r="W613" i="20"/>
  <c r="X613" i="20"/>
  <c r="Y613" i="20"/>
  <c r="AC613" i="20"/>
  <c r="M614" i="20"/>
  <c r="O614" i="20"/>
  <c r="S614" i="20"/>
  <c r="T614" i="20"/>
  <c r="U614" i="20"/>
  <c r="V614" i="20"/>
  <c r="W614" i="20"/>
  <c r="X614" i="20"/>
  <c r="Y614" i="20"/>
  <c r="AC614" i="20"/>
  <c r="M615" i="20"/>
  <c r="O615" i="20"/>
  <c r="S615" i="20"/>
  <c r="T615" i="20"/>
  <c r="U615" i="20"/>
  <c r="V615" i="20"/>
  <c r="W615" i="20"/>
  <c r="X615" i="20"/>
  <c r="Y615" i="20"/>
  <c r="AC615" i="20"/>
  <c r="M616" i="20"/>
  <c r="O616" i="20"/>
  <c r="S616" i="20"/>
  <c r="T616" i="20"/>
  <c r="U616" i="20"/>
  <c r="V616" i="20"/>
  <c r="W616" i="20"/>
  <c r="X616" i="20"/>
  <c r="Y616" i="20"/>
  <c r="AC616" i="20"/>
  <c r="M617" i="20"/>
  <c r="O617" i="20"/>
  <c r="S617" i="20"/>
  <c r="T617" i="20"/>
  <c r="U617" i="20"/>
  <c r="V617" i="20"/>
  <c r="W617" i="20"/>
  <c r="X617" i="20"/>
  <c r="Y617" i="20"/>
  <c r="AC617" i="20"/>
  <c r="M618" i="20"/>
  <c r="O618" i="20"/>
  <c r="S618" i="20"/>
  <c r="T618" i="20"/>
  <c r="U618" i="20"/>
  <c r="V618" i="20"/>
  <c r="W618" i="20"/>
  <c r="X618" i="20"/>
  <c r="Y618" i="20"/>
  <c r="AC618" i="20"/>
  <c r="M619" i="20"/>
  <c r="O619" i="20"/>
  <c r="S619" i="20"/>
  <c r="T619" i="20"/>
  <c r="U619" i="20"/>
  <c r="V619" i="20"/>
  <c r="W619" i="20"/>
  <c r="X619" i="20"/>
  <c r="Y619" i="20"/>
  <c r="AC619" i="20"/>
  <c r="M620" i="20"/>
  <c r="O620" i="20"/>
  <c r="S620" i="20"/>
  <c r="T620" i="20"/>
  <c r="U620" i="20"/>
  <c r="V620" i="20"/>
  <c r="W620" i="20"/>
  <c r="X620" i="20"/>
  <c r="Y620" i="20"/>
  <c r="AC620" i="20"/>
  <c r="M621" i="20"/>
  <c r="O621" i="20"/>
  <c r="S621" i="20"/>
  <c r="T621" i="20"/>
  <c r="U621" i="20"/>
  <c r="V621" i="20"/>
  <c r="W621" i="20"/>
  <c r="X621" i="20"/>
  <c r="Y621" i="20"/>
  <c r="AC621" i="20"/>
  <c r="M622" i="20"/>
  <c r="O622" i="20"/>
  <c r="S622" i="20"/>
  <c r="T622" i="20"/>
  <c r="U622" i="20"/>
  <c r="V622" i="20"/>
  <c r="W622" i="20"/>
  <c r="X622" i="20"/>
  <c r="Y622" i="20"/>
  <c r="AC622" i="20"/>
  <c r="M623" i="20"/>
  <c r="O623" i="20"/>
  <c r="S623" i="20"/>
  <c r="T623" i="20"/>
  <c r="U623" i="20"/>
  <c r="V623" i="20"/>
  <c r="W623" i="20"/>
  <c r="X623" i="20"/>
  <c r="Y623" i="20"/>
  <c r="AC623" i="20"/>
  <c r="M624" i="20"/>
  <c r="O624" i="20"/>
  <c r="S624" i="20"/>
  <c r="T624" i="20"/>
  <c r="U624" i="20"/>
  <c r="V624" i="20"/>
  <c r="W624" i="20"/>
  <c r="X624" i="20"/>
  <c r="Y624" i="20"/>
  <c r="AC624" i="20"/>
  <c r="M625" i="20"/>
  <c r="O625" i="20"/>
  <c r="S625" i="20"/>
  <c r="T625" i="20"/>
  <c r="U625" i="20"/>
  <c r="V625" i="20"/>
  <c r="W625" i="20"/>
  <c r="X625" i="20"/>
  <c r="Y625" i="20"/>
  <c r="AC625" i="20"/>
  <c r="M626" i="20"/>
  <c r="O626" i="20"/>
  <c r="S626" i="20"/>
  <c r="T626" i="20"/>
  <c r="U626" i="20"/>
  <c r="V626" i="20"/>
  <c r="W626" i="20"/>
  <c r="X626" i="20"/>
  <c r="Y626" i="20"/>
  <c r="AC626" i="20"/>
  <c r="M627" i="20"/>
  <c r="O627" i="20"/>
  <c r="S627" i="20"/>
  <c r="T627" i="20"/>
  <c r="U627" i="20"/>
  <c r="V627" i="20"/>
  <c r="W627" i="20"/>
  <c r="X627" i="20"/>
  <c r="Y627" i="20"/>
  <c r="AC627" i="20"/>
  <c r="M628" i="20"/>
  <c r="O628" i="20"/>
  <c r="S628" i="20"/>
  <c r="T628" i="20"/>
  <c r="U628" i="20"/>
  <c r="V628" i="20"/>
  <c r="W628" i="20"/>
  <c r="X628" i="20"/>
  <c r="Y628" i="20"/>
  <c r="AC628" i="20"/>
  <c r="M629" i="20"/>
  <c r="O629" i="20"/>
  <c r="S629" i="20"/>
  <c r="T629" i="20"/>
  <c r="U629" i="20"/>
  <c r="V629" i="20"/>
  <c r="W629" i="20"/>
  <c r="X629" i="20"/>
  <c r="Y629" i="20"/>
  <c r="AC629" i="20"/>
  <c r="M630" i="20"/>
  <c r="O630" i="20"/>
  <c r="S630" i="20"/>
  <c r="T630" i="20"/>
  <c r="U630" i="20"/>
  <c r="V630" i="20"/>
  <c r="W630" i="20"/>
  <c r="X630" i="20"/>
  <c r="Y630" i="20"/>
  <c r="AC630" i="20"/>
  <c r="M631" i="20"/>
  <c r="O631" i="20"/>
  <c r="S631" i="20"/>
  <c r="T631" i="20"/>
  <c r="U631" i="20"/>
  <c r="V631" i="20"/>
  <c r="W631" i="20"/>
  <c r="X631" i="20"/>
  <c r="Y631" i="20"/>
  <c r="AC631" i="20"/>
  <c r="M632" i="20"/>
  <c r="O632" i="20"/>
  <c r="S632" i="20"/>
  <c r="T632" i="20"/>
  <c r="U632" i="20"/>
  <c r="V632" i="20"/>
  <c r="W632" i="20"/>
  <c r="X632" i="20"/>
  <c r="Y632" i="20"/>
  <c r="AC632" i="20"/>
  <c r="M633" i="20"/>
  <c r="O633" i="20"/>
  <c r="S633" i="20"/>
  <c r="T633" i="20"/>
  <c r="U633" i="20"/>
  <c r="V633" i="20"/>
  <c r="W633" i="20"/>
  <c r="X633" i="20"/>
  <c r="Y633" i="20"/>
  <c r="AC633" i="20"/>
  <c r="M634" i="20"/>
  <c r="O634" i="20"/>
  <c r="S634" i="20"/>
  <c r="T634" i="20"/>
  <c r="U634" i="20"/>
  <c r="V634" i="20"/>
  <c r="W634" i="20"/>
  <c r="X634" i="20"/>
  <c r="Y634" i="20"/>
  <c r="AC634" i="20"/>
  <c r="M635" i="20"/>
  <c r="O635" i="20"/>
  <c r="S635" i="20"/>
  <c r="T635" i="20"/>
  <c r="U635" i="20"/>
  <c r="V635" i="20"/>
  <c r="W635" i="20"/>
  <c r="X635" i="20"/>
  <c r="Y635" i="20"/>
  <c r="AC635" i="20"/>
  <c r="M636" i="20"/>
  <c r="O636" i="20"/>
  <c r="S636" i="20"/>
  <c r="T636" i="20"/>
  <c r="U636" i="20"/>
  <c r="V636" i="20"/>
  <c r="W636" i="20"/>
  <c r="X636" i="20"/>
  <c r="Y636" i="20"/>
  <c r="AC636" i="20"/>
  <c r="M637" i="20"/>
  <c r="O637" i="20"/>
  <c r="S637" i="20"/>
  <c r="T637" i="20"/>
  <c r="U637" i="20"/>
  <c r="V637" i="20"/>
  <c r="W637" i="20"/>
  <c r="X637" i="20"/>
  <c r="Y637" i="20"/>
  <c r="AC637" i="20"/>
  <c r="M638" i="20"/>
  <c r="O638" i="20"/>
  <c r="S638" i="20"/>
  <c r="T638" i="20"/>
  <c r="U638" i="20"/>
  <c r="V638" i="20"/>
  <c r="W638" i="20"/>
  <c r="X638" i="20"/>
  <c r="Y638" i="20"/>
  <c r="AC638" i="20"/>
  <c r="M639" i="20"/>
  <c r="O639" i="20"/>
  <c r="S639" i="20"/>
  <c r="T639" i="20"/>
  <c r="U639" i="20"/>
  <c r="V639" i="20"/>
  <c r="W639" i="20"/>
  <c r="X639" i="20"/>
  <c r="Y639" i="20"/>
  <c r="AC639" i="20"/>
  <c r="M640" i="20"/>
  <c r="O640" i="20"/>
  <c r="S640" i="20"/>
  <c r="T640" i="20"/>
  <c r="U640" i="20"/>
  <c r="V640" i="20"/>
  <c r="W640" i="20"/>
  <c r="X640" i="20"/>
  <c r="Y640" i="20"/>
  <c r="AC640" i="20"/>
  <c r="M641" i="20"/>
  <c r="O641" i="20"/>
  <c r="S641" i="20"/>
  <c r="T641" i="20"/>
  <c r="U641" i="20"/>
  <c r="V641" i="20"/>
  <c r="W641" i="20"/>
  <c r="X641" i="20"/>
  <c r="Y641" i="20"/>
  <c r="AC641" i="20"/>
  <c r="M642" i="20"/>
  <c r="O642" i="20"/>
  <c r="S642" i="20"/>
  <c r="T642" i="20"/>
  <c r="U642" i="20"/>
  <c r="V642" i="20"/>
  <c r="W642" i="20"/>
  <c r="X642" i="20"/>
  <c r="Y642" i="20"/>
  <c r="AC642" i="20"/>
  <c r="M643" i="20"/>
  <c r="O643" i="20"/>
  <c r="S643" i="20"/>
  <c r="T643" i="20"/>
  <c r="U643" i="20"/>
  <c r="V643" i="20"/>
  <c r="W643" i="20"/>
  <c r="X643" i="20"/>
  <c r="Y643" i="20"/>
  <c r="AC643" i="20"/>
  <c r="M644" i="20"/>
  <c r="O644" i="20"/>
  <c r="S644" i="20"/>
  <c r="T644" i="20"/>
  <c r="U644" i="20"/>
  <c r="V644" i="20"/>
  <c r="W644" i="20"/>
  <c r="X644" i="20"/>
  <c r="Y644" i="20"/>
  <c r="AC644" i="20"/>
  <c r="M645" i="20"/>
  <c r="O645" i="20"/>
  <c r="S645" i="20"/>
  <c r="T645" i="20"/>
  <c r="U645" i="20"/>
  <c r="V645" i="20"/>
  <c r="W645" i="20"/>
  <c r="X645" i="20"/>
  <c r="Y645" i="20"/>
  <c r="AC645" i="20"/>
  <c r="M646" i="20"/>
  <c r="O646" i="20"/>
  <c r="S646" i="20"/>
  <c r="T646" i="20"/>
  <c r="U646" i="20"/>
  <c r="V646" i="20"/>
  <c r="W646" i="20"/>
  <c r="X646" i="20"/>
  <c r="Y646" i="20"/>
  <c r="AC646" i="20"/>
  <c r="M647" i="20"/>
  <c r="O647" i="20"/>
  <c r="S647" i="20"/>
  <c r="T647" i="20"/>
  <c r="U647" i="20"/>
  <c r="V647" i="20"/>
  <c r="W647" i="20"/>
  <c r="X647" i="20"/>
  <c r="Y647" i="20"/>
  <c r="AC647" i="20"/>
  <c r="M648" i="20"/>
  <c r="O648" i="20"/>
  <c r="S648" i="20"/>
  <c r="T648" i="20"/>
  <c r="U648" i="20"/>
  <c r="V648" i="20"/>
  <c r="W648" i="20"/>
  <c r="X648" i="20"/>
  <c r="Y648" i="20"/>
  <c r="AC648" i="20"/>
  <c r="M649" i="20"/>
  <c r="O649" i="20"/>
  <c r="S649" i="20"/>
  <c r="T649" i="20"/>
  <c r="U649" i="20"/>
  <c r="V649" i="20"/>
  <c r="W649" i="20"/>
  <c r="X649" i="20"/>
  <c r="Y649" i="20"/>
  <c r="AC649" i="20"/>
  <c r="M650" i="20"/>
  <c r="O650" i="20"/>
  <c r="S650" i="20"/>
  <c r="T650" i="20"/>
  <c r="U650" i="20"/>
  <c r="V650" i="20"/>
  <c r="W650" i="20"/>
  <c r="X650" i="20"/>
  <c r="Y650" i="20"/>
  <c r="AC650" i="20"/>
  <c r="M651" i="20"/>
  <c r="O651" i="20"/>
  <c r="S651" i="20"/>
  <c r="T651" i="20"/>
  <c r="U651" i="20"/>
  <c r="V651" i="20"/>
  <c r="W651" i="20"/>
  <c r="X651" i="20"/>
  <c r="Y651" i="20"/>
  <c r="AC651" i="20"/>
  <c r="M652" i="20"/>
  <c r="O652" i="20"/>
  <c r="S652" i="20"/>
  <c r="T652" i="20"/>
  <c r="U652" i="20"/>
  <c r="V652" i="20"/>
  <c r="W652" i="20"/>
  <c r="X652" i="20"/>
  <c r="Y652" i="20"/>
  <c r="AC652" i="20"/>
  <c r="M653" i="20"/>
  <c r="O653" i="20"/>
  <c r="S653" i="20"/>
  <c r="T653" i="20"/>
  <c r="U653" i="20"/>
  <c r="V653" i="20"/>
  <c r="W653" i="20"/>
  <c r="X653" i="20"/>
  <c r="Y653" i="20"/>
  <c r="AC653" i="20"/>
  <c r="M654" i="20"/>
  <c r="O654" i="20"/>
  <c r="S654" i="20"/>
  <c r="T654" i="20"/>
  <c r="U654" i="20"/>
  <c r="V654" i="20"/>
  <c r="W654" i="20"/>
  <c r="X654" i="20"/>
  <c r="Y654" i="20"/>
  <c r="AC654" i="20"/>
  <c r="M655" i="20"/>
  <c r="O655" i="20"/>
  <c r="S655" i="20"/>
  <c r="T655" i="20"/>
  <c r="U655" i="20"/>
  <c r="V655" i="20"/>
  <c r="W655" i="20"/>
  <c r="X655" i="20"/>
  <c r="Y655" i="20"/>
  <c r="AC655" i="20"/>
  <c r="M656" i="20"/>
  <c r="O656" i="20"/>
  <c r="S656" i="20"/>
  <c r="T656" i="20"/>
  <c r="U656" i="20"/>
  <c r="V656" i="20"/>
  <c r="W656" i="20"/>
  <c r="X656" i="20"/>
  <c r="Y656" i="20"/>
  <c r="AC656" i="20"/>
  <c r="M657" i="20"/>
  <c r="O657" i="20"/>
  <c r="S657" i="20"/>
  <c r="T657" i="20"/>
  <c r="U657" i="20"/>
  <c r="V657" i="20"/>
  <c r="W657" i="20"/>
  <c r="X657" i="20"/>
  <c r="Y657" i="20"/>
  <c r="AC657" i="20"/>
  <c r="M658" i="20"/>
  <c r="O658" i="20"/>
  <c r="S658" i="20"/>
  <c r="T658" i="20"/>
  <c r="U658" i="20"/>
  <c r="V658" i="20"/>
  <c r="W658" i="20"/>
  <c r="X658" i="20"/>
  <c r="Y658" i="20"/>
  <c r="AC658" i="20"/>
  <c r="M659" i="20"/>
  <c r="O659" i="20"/>
  <c r="S659" i="20"/>
  <c r="T659" i="20"/>
  <c r="U659" i="20"/>
  <c r="V659" i="20"/>
  <c r="W659" i="20"/>
  <c r="X659" i="20"/>
  <c r="Y659" i="20"/>
  <c r="AC659" i="20"/>
  <c r="M660" i="20"/>
  <c r="O660" i="20"/>
  <c r="S660" i="20"/>
  <c r="T660" i="20"/>
  <c r="U660" i="20"/>
  <c r="V660" i="20"/>
  <c r="W660" i="20"/>
  <c r="X660" i="20"/>
  <c r="Y660" i="20"/>
  <c r="AC660" i="20"/>
  <c r="M661" i="20"/>
  <c r="O661" i="20"/>
  <c r="S661" i="20"/>
  <c r="T661" i="20"/>
  <c r="U661" i="20"/>
  <c r="V661" i="20"/>
  <c r="W661" i="20"/>
  <c r="X661" i="20"/>
  <c r="Y661" i="20"/>
  <c r="AC661" i="20"/>
  <c r="M662" i="20"/>
  <c r="O662" i="20"/>
  <c r="S662" i="20"/>
  <c r="T662" i="20"/>
  <c r="U662" i="20"/>
  <c r="V662" i="20"/>
  <c r="W662" i="20"/>
  <c r="X662" i="20"/>
  <c r="Y662" i="20"/>
  <c r="AC662" i="20"/>
  <c r="M663" i="20"/>
  <c r="O663" i="20"/>
  <c r="S663" i="20"/>
  <c r="T663" i="20"/>
  <c r="U663" i="20"/>
  <c r="V663" i="20"/>
  <c r="W663" i="20"/>
  <c r="X663" i="20"/>
  <c r="Y663" i="20"/>
  <c r="AC663" i="20"/>
  <c r="M664" i="20"/>
  <c r="O664" i="20"/>
  <c r="S664" i="20"/>
  <c r="T664" i="20"/>
  <c r="U664" i="20"/>
  <c r="V664" i="20"/>
  <c r="W664" i="20"/>
  <c r="X664" i="20"/>
  <c r="Y664" i="20"/>
  <c r="AC664" i="20"/>
  <c r="M665" i="20"/>
  <c r="O665" i="20"/>
  <c r="S665" i="20"/>
  <c r="T665" i="20"/>
  <c r="U665" i="20"/>
  <c r="V665" i="20"/>
  <c r="W665" i="20"/>
  <c r="X665" i="20"/>
  <c r="Y665" i="20"/>
  <c r="AC665" i="20"/>
  <c r="M666" i="20"/>
  <c r="O666" i="20"/>
  <c r="S666" i="20"/>
  <c r="T666" i="20"/>
  <c r="U666" i="20"/>
  <c r="V666" i="20"/>
  <c r="W666" i="20"/>
  <c r="X666" i="20"/>
  <c r="Y666" i="20"/>
  <c r="AC666" i="20"/>
  <c r="M667" i="20"/>
  <c r="O667" i="20"/>
  <c r="S667" i="20"/>
  <c r="T667" i="20"/>
  <c r="U667" i="20"/>
  <c r="V667" i="20"/>
  <c r="W667" i="20"/>
  <c r="X667" i="20"/>
  <c r="Y667" i="20"/>
  <c r="AC667" i="20"/>
  <c r="M668" i="20"/>
  <c r="O668" i="20"/>
  <c r="S668" i="20"/>
  <c r="T668" i="20"/>
  <c r="U668" i="20"/>
  <c r="V668" i="20"/>
  <c r="W668" i="20"/>
  <c r="X668" i="20"/>
  <c r="Y668" i="20"/>
  <c r="AC668" i="20"/>
  <c r="M669" i="20"/>
  <c r="O669" i="20"/>
  <c r="S669" i="20"/>
  <c r="T669" i="20"/>
  <c r="U669" i="20"/>
  <c r="V669" i="20"/>
  <c r="W669" i="20"/>
  <c r="X669" i="20"/>
  <c r="Y669" i="20"/>
  <c r="AC669" i="20"/>
  <c r="M670" i="20"/>
  <c r="O670" i="20"/>
  <c r="S670" i="20"/>
  <c r="T670" i="20"/>
  <c r="U670" i="20"/>
  <c r="V670" i="20"/>
  <c r="W670" i="20"/>
  <c r="X670" i="20"/>
  <c r="Y670" i="20"/>
  <c r="AC670" i="20"/>
  <c r="M671" i="20"/>
  <c r="O671" i="20"/>
  <c r="S671" i="20"/>
  <c r="T671" i="20"/>
  <c r="U671" i="20"/>
  <c r="V671" i="20"/>
  <c r="W671" i="20"/>
  <c r="X671" i="20"/>
  <c r="Y671" i="20"/>
  <c r="AC671" i="20"/>
  <c r="M672" i="20"/>
  <c r="O672" i="20"/>
  <c r="S672" i="20"/>
  <c r="T672" i="20"/>
  <c r="U672" i="20"/>
  <c r="V672" i="20"/>
  <c r="W672" i="20"/>
  <c r="X672" i="20"/>
  <c r="Y672" i="20"/>
  <c r="AC672" i="20"/>
  <c r="M673" i="20"/>
  <c r="O673" i="20"/>
  <c r="S673" i="20"/>
  <c r="T673" i="20"/>
  <c r="U673" i="20"/>
  <c r="V673" i="20"/>
  <c r="W673" i="20"/>
  <c r="X673" i="20"/>
  <c r="Y673" i="20"/>
  <c r="AC673" i="20"/>
  <c r="M674" i="20"/>
  <c r="O674" i="20"/>
  <c r="S674" i="20"/>
  <c r="T674" i="20"/>
  <c r="U674" i="20"/>
  <c r="V674" i="20"/>
  <c r="W674" i="20"/>
  <c r="X674" i="20"/>
  <c r="Y674" i="20"/>
  <c r="AC674" i="20"/>
  <c r="M675" i="20"/>
  <c r="O675" i="20"/>
  <c r="S675" i="20"/>
  <c r="T675" i="20"/>
  <c r="U675" i="20"/>
  <c r="V675" i="20"/>
  <c r="W675" i="20"/>
  <c r="X675" i="20"/>
  <c r="Y675" i="20"/>
  <c r="AC675" i="20"/>
  <c r="M676" i="20"/>
  <c r="O676" i="20"/>
  <c r="S676" i="20"/>
  <c r="T676" i="20"/>
  <c r="U676" i="20"/>
  <c r="V676" i="20"/>
  <c r="W676" i="20"/>
  <c r="X676" i="20"/>
  <c r="Y676" i="20"/>
  <c r="AC676" i="20"/>
  <c r="M677" i="20"/>
  <c r="O677" i="20"/>
  <c r="S677" i="20"/>
  <c r="T677" i="20"/>
  <c r="U677" i="20"/>
  <c r="V677" i="20"/>
  <c r="W677" i="20"/>
  <c r="X677" i="20"/>
  <c r="Y677" i="20"/>
  <c r="AC677" i="20"/>
  <c r="M678" i="20"/>
  <c r="O678" i="20"/>
  <c r="S678" i="20"/>
  <c r="T678" i="20"/>
  <c r="U678" i="20"/>
  <c r="V678" i="20"/>
  <c r="W678" i="20"/>
  <c r="X678" i="20"/>
  <c r="Y678" i="20"/>
  <c r="AC678" i="20"/>
  <c r="M679" i="20"/>
  <c r="O679" i="20"/>
  <c r="S679" i="20"/>
  <c r="T679" i="20"/>
  <c r="U679" i="20"/>
  <c r="V679" i="20"/>
  <c r="W679" i="20"/>
  <c r="X679" i="20"/>
  <c r="Y679" i="20"/>
  <c r="AC679" i="20"/>
  <c r="M680" i="20"/>
  <c r="O680" i="20"/>
  <c r="S680" i="20"/>
  <c r="T680" i="20"/>
  <c r="U680" i="20"/>
  <c r="V680" i="20"/>
  <c r="W680" i="20"/>
  <c r="X680" i="20"/>
  <c r="Y680" i="20"/>
  <c r="AC680" i="20"/>
  <c r="M681" i="20"/>
  <c r="O681" i="20"/>
  <c r="S681" i="20"/>
  <c r="T681" i="20"/>
  <c r="U681" i="20"/>
  <c r="V681" i="20"/>
  <c r="W681" i="20"/>
  <c r="X681" i="20"/>
  <c r="Y681" i="20"/>
  <c r="AC681" i="20"/>
  <c r="M682" i="20"/>
  <c r="O682" i="20"/>
  <c r="S682" i="20"/>
  <c r="T682" i="20"/>
  <c r="U682" i="20"/>
  <c r="V682" i="20"/>
  <c r="W682" i="20"/>
  <c r="X682" i="20"/>
  <c r="Y682" i="20"/>
  <c r="AC682" i="20"/>
  <c r="M683" i="20"/>
  <c r="O683" i="20"/>
  <c r="S683" i="20"/>
  <c r="T683" i="20"/>
  <c r="U683" i="20"/>
  <c r="V683" i="20"/>
  <c r="W683" i="20"/>
  <c r="X683" i="20"/>
  <c r="Y683" i="20"/>
  <c r="AC683" i="20"/>
  <c r="M684" i="20"/>
  <c r="O684" i="20"/>
  <c r="S684" i="20"/>
  <c r="T684" i="20"/>
  <c r="U684" i="20"/>
  <c r="V684" i="20"/>
  <c r="W684" i="20"/>
  <c r="X684" i="20"/>
  <c r="Y684" i="20"/>
  <c r="AC684" i="20"/>
  <c r="M685" i="20"/>
  <c r="O685" i="20"/>
  <c r="S685" i="20"/>
  <c r="T685" i="20"/>
  <c r="U685" i="20"/>
  <c r="V685" i="20"/>
  <c r="W685" i="20"/>
  <c r="X685" i="20"/>
  <c r="Y685" i="20"/>
  <c r="AC685" i="20"/>
  <c r="M686" i="20"/>
  <c r="O686" i="20"/>
  <c r="S686" i="20"/>
  <c r="T686" i="20"/>
  <c r="U686" i="20"/>
  <c r="V686" i="20"/>
  <c r="W686" i="20"/>
  <c r="X686" i="20"/>
  <c r="Y686" i="20"/>
  <c r="AC686" i="20"/>
  <c r="M687" i="20"/>
  <c r="O687" i="20"/>
  <c r="S687" i="20"/>
  <c r="T687" i="20"/>
  <c r="U687" i="20"/>
  <c r="V687" i="20"/>
  <c r="W687" i="20"/>
  <c r="X687" i="20"/>
  <c r="Y687" i="20"/>
  <c r="AC687" i="20"/>
  <c r="M688" i="20"/>
  <c r="O688" i="20"/>
  <c r="S688" i="20"/>
  <c r="T688" i="20"/>
  <c r="U688" i="20"/>
  <c r="V688" i="20"/>
  <c r="W688" i="20"/>
  <c r="X688" i="20"/>
  <c r="Y688" i="20"/>
  <c r="AC688" i="20"/>
  <c r="M689" i="20"/>
  <c r="O689" i="20"/>
  <c r="S689" i="20"/>
  <c r="T689" i="20"/>
  <c r="U689" i="20"/>
  <c r="V689" i="20"/>
  <c r="W689" i="20"/>
  <c r="X689" i="20"/>
  <c r="Y689" i="20"/>
  <c r="AC689" i="20"/>
  <c r="M690" i="20"/>
  <c r="O690" i="20"/>
  <c r="S690" i="20"/>
  <c r="T690" i="20"/>
  <c r="U690" i="20"/>
  <c r="V690" i="20"/>
  <c r="W690" i="20"/>
  <c r="X690" i="20"/>
  <c r="Y690" i="20"/>
  <c r="AC690" i="20"/>
  <c r="M691" i="20"/>
  <c r="O691" i="20"/>
  <c r="S691" i="20"/>
  <c r="T691" i="20"/>
  <c r="U691" i="20"/>
  <c r="V691" i="20"/>
  <c r="W691" i="20"/>
  <c r="X691" i="20"/>
  <c r="Y691" i="20"/>
  <c r="AC691" i="20"/>
  <c r="M692" i="20"/>
  <c r="O692" i="20"/>
  <c r="S692" i="20"/>
  <c r="T692" i="20"/>
  <c r="U692" i="20"/>
  <c r="V692" i="20"/>
  <c r="W692" i="20"/>
  <c r="X692" i="20"/>
  <c r="Y692" i="20"/>
  <c r="AC692" i="20"/>
  <c r="M693" i="20"/>
  <c r="O693" i="20"/>
  <c r="S693" i="20"/>
  <c r="T693" i="20"/>
  <c r="U693" i="20"/>
  <c r="V693" i="20"/>
  <c r="W693" i="20"/>
  <c r="X693" i="20"/>
  <c r="Y693" i="20"/>
  <c r="AC693" i="20"/>
  <c r="M694" i="20"/>
  <c r="O694" i="20"/>
  <c r="S694" i="20"/>
  <c r="T694" i="20"/>
  <c r="U694" i="20"/>
  <c r="V694" i="20"/>
  <c r="W694" i="20"/>
  <c r="X694" i="20"/>
  <c r="Y694" i="20"/>
  <c r="AC694" i="20"/>
  <c r="M695" i="20"/>
  <c r="O695" i="20"/>
  <c r="S695" i="20"/>
  <c r="T695" i="20"/>
  <c r="U695" i="20"/>
  <c r="V695" i="20"/>
  <c r="W695" i="20"/>
  <c r="X695" i="20"/>
  <c r="Y695" i="20"/>
  <c r="AC695" i="20"/>
  <c r="M696" i="20"/>
  <c r="O696" i="20"/>
  <c r="S696" i="20"/>
  <c r="T696" i="20"/>
  <c r="U696" i="20"/>
  <c r="V696" i="20"/>
  <c r="W696" i="20"/>
  <c r="X696" i="20"/>
  <c r="Y696" i="20"/>
  <c r="AC696" i="20"/>
  <c r="M697" i="20"/>
  <c r="O697" i="20"/>
  <c r="S697" i="20"/>
  <c r="T697" i="20"/>
  <c r="U697" i="20"/>
  <c r="V697" i="20"/>
  <c r="W697" i="20"/>
  <c r="X697" i="20"/>
  <c r="Y697" i="20"/>
  <c r="AC697" i="20"/>
  <c r="M698" i="20"/>
  <c r="O698" i="20"/>
  <c r="S698" i="20"/>
  <c r="T698" i="20"/>
  <c r="U698" i="20"/>
  <c r="V698" i="20"/>
  <c r="W698" i="20"/>
  <c r="X698" i="20"/>
  <c r="Y698" i="20"/>
  <c r="AC698" i="20"/>
  <c r="M699" i="20"/>
  <c r="O699" i="20"/>
  <c r="S699" i="20"/>
  <c r="T699" i="20"/>
  <c r="U699" i="20"/>
  <c r="V699" i="20"/>
  <c r="W699" i="20"/>
  <c r="X699" i="20"/>
  <c r="Y699" i="20"/>
  <c r="AC699" i="20"/>
  <c r="M700" i="20"/>
  <c r="O700" i="20"/>
  <c r="S700" i="20"/>
  <c r="T700" i="20"/>
  <c r="U700" i="20"/>
  <c r="V700" i="20"/>
  <c r="W700" i="20"/>
  <c r="X700" i="20"/>
  <c r="Y700" i="20"/>
  <c r="AC700" i="20"/>
  <c r="M701" i="20"/>
  <c r="O701" i="20"/>
  <c r="S701" i="20"/>
  <c r="T701" i="20"/>
  <c r="U701" i="20"/>
  <c r="V701" i="20"/>
  <c r="W701" i="20"/>
  <c r="X701" i="20"/>
  <c r="Y701" i="20"/>
  <c r="AC701" i="20"/>
  <c r="M702" i="20"/>
  <c r="O702" i="20"/>
  <c r="S702" i="20"/>
  <c r="T702" i="20"/>
  <c r="U702" i="20"/>
  <c r="V702" i="20"/>
  <c r="W702" i="20"/>
  <c r="X702" i="20"/>
  <c r="Y702" i="20"/>
  <c r="AC702" i="20"/>
  <c r="M703" i="20"/>
  <c r="O703" i="20"/>
  <c r="S703" i="20"/>
  <c r="T703" i="20"/>
  <c r="U703" i="20"/>
  <c r="V703" i="20"/>
  <c r="W703" i="20"/>
  <c r="X703" i="20"/>
  <c r="Y703" i="20"/>
  <c r="AC703" i="20"/>
  <c r="M704" i="20"/>
  <c r="O704" i="20"/>
  <c r="S704" i="20"/>
  <c r="T704" i="20"/>
  <c r="U704" i="20"/>
  <c r="V704" i="20"/>
  <c r="W704" i="20"/>
  <c r="X704" i="20"/>
  <c r="Y704" i="20"/>
  <c r="AC704" i="20"/>
  <c r="M705" i="20"/>
  <c r="O705" i="20"/>
  <c r="S705" i="20"/>
  <c r="T705" i="20"/>
  <c r="U705" i="20"/>
  <c r="V705" i="20"/>
  <c r="W705" i="20"/>
  <c r="X705" i="20"/>
  <c r="Y705" i="20"/>
  <c r="AC705" i="20"/>
  <c r="M706" i="20"/>
  <c r="O706" i="20"/>
  <c r="S706" i="20"/>
  <c r="T706" i="20"/>
  <c r="U706" i="20"/>
  <c r="V706" i="20"/>
  <c r="W706" i="20"/>
  <c r="X706" i="20"/>
  <c r="Y706" i="20"/>
  <c r="AC706" i="20"/>
  <c r="M707" i="20"/>
  <c r="O707" i="20"/>
  <c r="S707" i="20"/>
  <c r="T707" i="20"/>
  <c r="U707" i="20"/>
  <c r="V707" i="20"/>
  <c r="W707" i="20"/>
  <c r="X707" i="20"/>
  <c r="Y707" i="20"/>
  <c r="AC707" i="20"/>
  <c r="M708" i="20"/>
  <c r="O708" i="20"/>
  <c r="S708" i="20"/>
  <c r="T708" i="20"/>
  <c r="U708" i="20"/>
  <c r="V708" i="20"/>
  <c r="W708" i="20"/>
  <c r="X708" i="20"/>
  <c r="Y708" i="20"/>
  <c r="AC708" i="20"/>
  <c r="M709" i="20"/>
  <c r="O709" i="20"/>
  <c r="S709" i="20"/>
  <c r="T709" i="20"/>
  <c r="U709" i="20"/>
  <c r="V709" i="20"/>
  <c r="W709" i="20"/>
  <c r="X709" i="20"/>
  <c r="Y709" i="20"/>
  <c r="AC709" i="20"/>
  <c r="M710" i="20"/>
  <c r="O710" i="20"/>
  <c r="S710" i="20"/>
  <c r="T710" i="20"/>
  <c r="U710" i="20"/>
  <c r="V710" i="20"/>
  <c r="W710" i="20"/>
  <c r="X710" i="20"/>
  <c r="Y710" i="20"/>
  <c r="AC710" i="20"/>
  <c r="M711" i="20"/>
  <c r="O711" i="20"/>
  <c r="S711" i="20"/>
  <c r="T711" i="20"/>
  <c r="U711" i="20"/>
  <c r="V711" i="20"/>
  <c r="W711" i="20"/>
  <c r="X711" i="20"/>
  <c r="Y711" i="20"/>
  <c r="AC711" i="20"/>
  <c r="M712" i="20"/>
  <c r="O712" i="20"/>
  <c r="S712" i="20"/>
  <c r="T712" i="20"/>
  <c r="U712" i="20"/>
  <c r="V712" i="20"/>
  <c r="W712" i="20"/>
  <c r="X712" i="20"/>
  <c r="Y712" i="20"/>
  <c r="AC712" i="20"/>
  <c r="M713" i="20"/>
  <c r="O713" i="20"/>
  <c r="S713" i="20"/>
  <c r="T713" i="20"/>
  <c r="U713" i="20"/>
  <c r="V713" i="20"/>
  <c r="W713" i="20"/>
  <c r="X713" i="20"/>
  <c r="Y713" i="20"/>
  <c r="AC713" i="20"/>
  <c r="M714" i="20"/>
  <c r="O714" i="20"/>
  <c r="S714" i="20"/>
  <c r="T714" i="20"/>
  <c r="U714" i="20"/>
  <c r="V714" i="20"/>
  <c r="W714" i="20"/>
  <c r="X714" i="20"/>
  <c r="Y714" i="20"/>
  <c r="AC714" i="20"/>
  <c r="M715" i="20"/>
  <c r="O715" i="20"/>
  <c r="S715" i="20"/>
  <c r="T715" i="20"/>
  <c r="U715" i="20"/>
  <c r="V715" i="20"/>
  <c r="W715" i="20"/>
  <c r="X715" i="20"/>
  <c r="Y715" i="20"/>
  <c r="AC715" i="20"/>
  <c r="M716" i="20"/>
  <c r="O716" i="20"/>
  <c r="S716" i="20"/>
  <c r="T716" i="20"/>
  <c r="U716" i="20"/>
  <c r="V716" i="20"/>
  <c r="W716" i="20"/>
  <c r="X716" i="20"/>
  <c r="Y716" i="20"/>
  <c r="AC716" i="20"/>
  <c r="M717" i="20"/>
  <c r="O717" i="20"/>
  <c r="S717" i="20"/>
  <c r="T717" i="20"/>
  <c r="U717" i="20"/>
  <c r="V717" i="20"/>
  <c r="W717" i="20"/>
  <c r="X717" i="20"/>
  <c r="Y717" i="20"/>
  <c r="AC717" i="20"/>
  <c r="M718" i="20"/>
  <c r="O718" i="20"/>
  <c r="S718" i="20"/>
  <c r="T718" i="20"/>
  <c r="U718" i="20"/>
  <c r="V718" i="20"/>
  <c r="W718" i="20"/>
  <c r="X718" i="20"/>
  <c r="Y718" i="20"/>
  <c r="AC718" i="20"/>
  <c r="M719" i="20"/>
  <c r="O719" i="20"/>
  <c r="S719" i="20"/>
  <c r="T719" i="20"/>
  <c r="U719" i="20"/>
  <c r="V719" i="20"/>
  <c r="W719" i="20"/>
  <c r="X719" i="20"/>
  <c r="Y719" i="20"/>
  <c r="AC719" i="20"/>
  <c r="M720" i="20"/>
  <c r="O720" i="20"/>
  <c r="S720" i="20"/>
  <c r="T720" i="20"/>
  <c r="U720" i="20"/>
  <c r="V720" i="20"/>
  <c r="W720" i="20"/>
  <c r="X720" i="20"/>
  <c r="Y720" i="20"/>
  <c r="AC720" i="20"/>
  <c r="M721" i="20"/>
  <c r="O721" i="20"/>
  <c r="S721" i="20"/>
  <c r="T721" i="20"/>
  <c r="U721" i="20"/>
  <c r="V721" i="20"/>
  <c r="W721" i="20"/>
  <c r="X721" i="20"/>
  <c r="Y721" i="20"/>
  <c r="AC721" i="20"/>
  <c r="M722" i="20"/>
  <c r="O722" i="20"/>
  <c r="S722" i="20"/>
  <c r="T722" i="20"/>
  <c r="U722" i="20"/>
  <c r="V722" i="20"/>
  <c r="W722" i="20"/>
  <c r="X722" i="20"/>
  <c r="Y722" i="20"/>
  <c r="AC722" i="20"/>
  <c r="M723" i="20"/>
  <c r="O723" i="20"/>
  <c r="S723" i="20"/>
  <c r="T723" i="20"/>
  <c r="U723" i="20"/>
  <c r="V723" i="20"/>
  <c r="W723" i="20"/>
  <c r="X723" i="20"/>
  <c r="Y723" i="20"/>
  <c r="AC723" i="20"/>
  <c r="M724" i="20"/>
  <c r="O724" i="20"/>
  <c r="S724" i="20"/>
  <c r="T724" i="20"/>
  <c r="U724" i="20"/>
  <c r="V724" i="20"/>
  <c r="W724" i="20"/>
  <c r="X724" i="20"/>
  <c r="Y724" i="20"/>
  <c r="AC724" i="20"/>
  <c r="M725" i="20"/>
  <c r="O725" i="20"/>
  <c r="S725" i="20"/>
  <c r="T725" i="20"/>
  <c r="U725" i="20"/>
  <c r="V725" i="20"/>
  <c r="W725" i="20"/>
  <c r="X725" i="20"/>
  <c r="Y725" i="20"/>
  <c r="AC725" i="20"/>
  <c r="M726" i="20"/>
  <c r="O726" i="20"/>
  <c r="S726" i="20"/>
  <c r="T726" i="20"/>
  <c r="U726" i="20"/>
  <c r="V726" i="20"/>
  <c r="W726" i="20"/>
  <c r="X726" i="20"/>
  <c r="Y726" i="20"/>
  <c r="AC726" i="20"/>
  <c r="M727" i="20"/>
  <c r="O727" i="20"/>
  <c r="S727" i="20"/>
  <c r="T727" i="20"/>
  <c r="U727" i="20"/>
  <c r="V727" i="20"/>
  <c r="W727" i="20"/>
  <c r="X727" i="20"/>
  <c r="Y727" i="20"/>
  <c r="AC727" i="20"/>
  <c r="M728" i="20"/>
  <c r="O728" i="20"/>
  <c r="S728" i="20"/>
  <c r="T728" i="20"/>
  <c r="U728" i="20"/>
  <c r="V728" i="20"/>
  <c r="W728" i="20"/>
  <c r="X728" i="20"/>
  <c r="Y728" i="20"/>
  <c r="AC728" i="20"/>
  <c r="M729" i="20"/>
  <c r="O729" i="20"/>
  <c r="S729" i="20"/>
  <c r="T729" i="20"/>
  <c r="U729" i="20"/>
  <c r="V729" i="20"/>
  <c r="W729" i="20"/>
  <c r="X729" i="20"/>
  <c r="Y729" i="20"/>
  <c r="AC729" i="20"/>
  <c r="M730" i="20"/>
  <c r="O730" i="20"/>
  <c r="S730" i="20"/>
  <c r="T730" i="20"/>
  <c r="U730" i="20"/>
  <c r="V730" i="20"/>
  <c r="W730" i="20"/>
  <c r="X730" i="20"/>
  <c r="Y730" i="20"/>
  <c r="AC730" i="20"/>
  <c r="M731" i="20"/>
  <c r="O731" i="20"/>
  <c r="S731" i="20"/>
  <c r="T731" i="20"/>
  <c r="U731" i="20"/>
  <c r="V731" i="20"/>
  <c r="W731" i="20"/>
  <c r="X731" i="20"/>
  <c r="Y731" i="20"/>
  <c r="AC731" i="20"/>
  <c r="M732" i="20"/>
  <c r="O732" i="20"/>
  <c r="S732" i="20"/>
  <c r="T732" i="20"/>
  <c r="U732" i="20"/>
  <c r="V732" i="20"/>
  <c r="W732" i="20"/>
  <c r="X732" i="20"/>
  <c r="Y732" i="20"/>
  <c r="AC732" i="20"/>
  <c r="M733" i="20"/>
  <c r="O733" i="20"/>
  <c r="S733" i="20"/>
  <c r="T733" i="20"/>
  <c r="U733" i="20"/>
  <c r="V733" i="20"/>
  <c r="W733" i="20"/>
  <c r="X733" i="20"/>
  <c r="Y733" i="20"/>
  <c r="AC733" i="20"/>
  <c r="M734" i="20"/>
  <c r="O734" i="20"/>
  <c r="S734" i="20"/>
  <c r="T734" i="20"/>
  <c r="U734" i="20"/>
  <c r="V734" i="20"/>
  <c r="W734" i="20"/>
  <c r="X734" i="20"/>
  <c r="Y734" i="20"/>
  <c r="AC734" i="20"/>
  <c r="M735" i="20"/>
  <c r="O735" i="20"/>
  <c r="S735" i="20"/>
  <c r="T735" i="20"/>
  <c r="U735" i="20"/>
  <c r="V735" i="20"/>
  <c r="W735" i="20"/>
  <c r="X735" i="20"/>
  <c r="Y735" i="20"/>
  <c r="AC735" i="20"/>
  <c r="M736" i="20"/>
  <c r="O736" i="20"/>
  <c r="S736" i="20"/>
  <c r="T736" i="20"/>
  <c r="U736" i="20"/>
  <c r="V736" i="20"/>
  <c r="W736" i="20"/>
  <c r="X736" i="20"/>
  <c r="Y736" i="20"/>
  <c r="AC736" i="20"/>
  <c r="M737" i="20"/>
  <c r="O737" i="20"/>
  <c r="S737" i="20"/>
  <c r="T737" i="20"/>
  <c r="U737" i="20"/>
  <c r="V737" i="20"/>
  <c r="W737" i="20"/>
  <c r="X737" i="20"/>
  <c r="Y737" i="20"/>
  <c r="AC737" i="20"/>
  <c r="M738" i="20"/>
  <c r="O738" i="20"/>
  <c r="S738" i="20"/>
  <c r="T738" i="20"/>
  <c r="U738" i="20"/>
  <c r="V738" i="20"/>
  <c r="W738" i="20"/>
  <c r="X738" i="20"/>
  <c r="Y738" i="20"/>
  <c r="AC738" i="20"/>
  <c r="M739" i="20"/>
  <c r="O739" i="20"/>
  <c r="S739" i="20"/>
  <c r="T739" i="20"/>
  <c r="U739" i="20"/>
  <c r="V739" i="20"/>
  <c r="W739" i="20"/>
  <c r="X739" i="20"/>
  <c r="Y739" i="20"/>
  <c r="AC739" i="20"/>
  <c r="M740" i="20"/>
  <c r="O740" i="20"/>
  <c r="S740" i="20"/>
  <c r="T740" i="20"/>
  <c r="U740" i="20"/>
  <c r="V740" i="20"/>
  <c r="W740" i="20"/>
  <c r="X740" i="20"/>
  <c r="Y740" i="20"/>
  <c r="AC740" i="20"/>
  <c r="M741" i="20"/>
  <c r="O741" i="20"/>
  <c r="S741" i="20"/>
  <c r="T741" i="20"/>
  <c r="U741" i="20"/>
  <c r="V741" i="20"/>
  <c r="W741" i="20"/>
  <c r="X741" i="20"/>
  <c r="Y741" i="20"/>
  <c r="AC741" i="20"/>
  <c r="M742" i="20"/>
  <c r="O742" i="20"/>
  <c r="S742" i="20"/>
  <c r="T742" i="20"/>
  <c r="U742" i="20"/>
  <c r="V742" i="20"/>
  <c r="W742" i="20"/>
  <c r="X742" i="20"/>
  <c r="Y742" i="20"/>
  <c r="AC742" i="20"/>
  <c r="M743" i="20"/>
  <c r="O743" i="20"/>
  <c r="S743" i="20"/>
  <c r="T743" i="20"/>
  <c r="U743" i="20"/>
  <c r="V743" i="20"/>
  <c r="W743" i="20"/>
  <c r="X743" i="20"/>
  <c r="Y743" i="20"/>
  <c r="AC743" i="20"/>
  <c r="M744" i="20"/>
  <c r="O744" i="20"/>
  <c r="S744" i="20"/>
  <c r="T744" i="20"/>
  <c r="U744" i="20"/>
  <c r="V744" i="20"/>
  <c r="W744" i="20"/>
  <c r="X744" i="20"/>
  <c r="Y744" i="20"/>
  <c r="AC744" i="20"/>
  <c r="M745" i="20"/>
  <c r="O745" i="20"/>
  <c r="S745" i="20"/>
  <c r="T745" i="20"/>
  <c r="U745" i="20"/>
  <c r="V745" i="20"/>
  <c r="W745" i="20"/>
  <c r="X745" i="20"/>
  <c r="Y745" i="20"/>
  <c r="AC745" i="20"/>
  <c r="M746" i="20"/>
  <c r="O746" i="20"/>
  <c r="S746" i="20"/>
  <c r="T746" i="20"/>
  <c r="U746" i="20"/>
  <c r="V746" i="20"/>
  <c r="W746" i="20"/>
  <c r="X746" i="20"/>
  <c r="Y746" i="20"/>
  <c r="AC746" i="20"/>
  <c r="M747" i="20"/>
  <c r="O747" i="20"/>
  <c r="S747" i="20"/>
  <c r="T747" i="20"/>
  <c r="U747" i="20"/>
  <c r="V747" i="20"/>
  <c r="W747" i="20"/>
  <c r="X747" i="20"/>
  <c r="Y747" i="20"/>
  <c r="AC747" i="20"/>
  <c r="M748" i="20"/>
  <c r="O748" i="20"/>
  <c r="S748" i="20"/>
  <c r="T748" i="20"/>
  <c r="U748" i="20"/>
  <c r="V748" i="20"/>
  <c r="W748" i="20"/>
  <c r="X748" i="20"/>
  <c r="Y748" i="20"/>
  <c r="AC748" i="20"/>
  <c r="M749" i="20"/>
  <c r="O749" i="20"/>
  <c r="S749" i="20"/>
  <c r="T749" i="20"/>
  <c r="U749" i="20"/>
  <c r="V749" i="20"/>
  <c r="W749" i="20"/>
  <c r="X749" i="20"/>
  <c r="Y749" i="20"/>
  <c r="AC749" i="20"/>
  <c r="M750" i="20"/>
  <c r="O750" i="20"/>
  <c r="S750" i="20"/>
  <c r="T750" i="20"/>
  <c r="U750" i="20"/>
  <c r="V750" i="20"/>
  <c r="W750" i="20"/>
  <c r="X750" i="20"/>
  <c r="Y750" i="20"/>
  <c r="AC750" i="20"/>
  <c r="M751" i="20"/>
  <c r="O751" i="20"/>
  <c r="S751" i="20"/>
  <c r="T751" i="20"/>
  <c r="U751" i="20"/>
  <c r="V751" i="20"/>
  <c r="W751" i="20"/>
  <c r="X751" i="20"/>
  <c r="Y751" i="20"/>
  <c r="AC751" i="20"/>
  <c r="M752" i="20"/>
  <c r="O752" i="20"/>
  <c r="S752" i="20"/>
  <c r="T752" i="20"/>
  <c r="U752" i="20"/>
  <c r="V752" i="20"/>
  <c r="W752" i="20"/>
  <c r="X752" i="20"/>
  <c r="Y752" i="20"/>
  <c r="AC752" i="20"/>
  <c r="M753" i="20"/>
  <c r="O753" i="20"/>
  <c r="S753" i="20"/>
  <c r="T753" i="20"/>
  <c r="U753" i="20"/>
  <c r="V753" i="20"/>
  <c r="W753" i="20"/>
  <c r="X753" i="20"/>
  <c r="Y753" i="20"/>
  <c r="AC753" i="20"/>
  <c r="M754" i="20"/>
  <c r="O754" i="20"/>
  <c r="S754" i="20"/>
  <c r="T754" i="20"/>
  <c r="U754" i="20"/>
  <c r="V754" i="20"/>
  <c r="W754" i="20"/>
  <c r="X754" i="20"/>
  <c r="Y754" i="20"/>
  <c r="AC754" i="20"/>
  <c r="M755" i="20"/>
  <c r="O755" i="20"/>
  <c r="S755" i="20"/>
  <c r="T755" i="20"/>
  <c r="U755" i="20"/>
  <c r="V755" i="20"/>
  <c r="W755" i="20"/>
  <c r="X755" i="20"/>
  <c r="Y755" i="20"/>
  <c r="AC755" i="20"/>
  <c r="M756" i="20"/>
  <c r="O756" i="20"/>
  <c r="S756" i="20"/>
  <c r="T756" i="20"/>
  <c r="U756" i="20"/>
  <c r="V756" i="20"/>
  <c r="W756" i="20"/>
  <c r="X756" i="20"/>
  <c r="Y756" i="20"/>
  <c r="AC756" i="20"/>
  <c r="M757" i="20"/>
  <c r="O757" i="20"/>
  <c r="S757" i="20"/>
  <c r="T757" i="20"/>
  <c r="U757" i="20"/>
  <c r="V757" i="20"/>
  <c r="W757" i="20"/>
  <c r="X757" i="20"/>
  <c r="Y757" i="20"/>
  <c r="AC757" i="20"/>
  <c r="M758" i="20"/>
  <c r="O758" i="20"/>
  <c r="S758" i="20"/>
  <c r="T758" i="20"/>
  <c r="U758" i="20"/>
  <c r="V758" i="20"/>
  <c r="W758" i="20"/>
  <c r="X758" i="20"/>
  <c r="Y758" i="20"/>
  <c r="AC758" i="20"/>
  <c r="M759" i="20"/>
  <c r="O759" i="20"/>
  <c r="S759" i="20"/>
  <c r="T759" i="20"/>
  <c r="U759" i="20"/>
  <c r="V759" i="20"/>
  <c r="W759" i="20"/>
  <c r="X759" i="20"/>
  <c r="Y759" i="20"/>
  <c r="AC759" i="20"/>
  <c r="M760" i="20"/>
  <c r="O760" i="20"/>
  <c r="S760" i="20"/>
  <c r="T760" i="20"/>
  <c r="U760" i="20"/>
  <c r="V760" i="20"/>
  <c r="W760" i="20"/>
  <c r="X760" i="20"/>
  <c r="Y760" i="20"/>
  <c r="AC760" i="20"/>
  <c r="M761" i="20"/>
  <c r="O761" i="20"/>
  <c r="S761" i="20"/>
  <c r="T761" i="20"/>
  <c r="U761" i="20"/>
  <c r="V761" i="20"/>
  <c r="W761" i="20"/>
  <c r="X761" i="20"/>
  <c r="Y761" i="20"/>
  <c r="AC761" i="20"/>
  <c r="M762" i="20"/>
  <c r="O762" i="20"/>
  <c r="S762" i="20"/>
  <c r="T762" i="20"/>
  <c r="U762" i="20"/>
  <c r="V762" i="20"/>
  <c r="W762" i="20"/>
  <c r="X762" i="20"/>
  <c r="Y762" i="20"/>
  <c r="AC762" i="20"/>
  <c r="M763" i="20"/>
  <c r="O763" i="20"/>
  <c r="S763" i="20"/>
  <c r="T763" i="20"/>
  <c r="U763" i="20"/>
  <c r="V763" i="20"/>
  <c r="W763" i="20"/>
  <c r="X763" i="20"/>
  <c r="Y763" i="20"/>
  <c r="AC763" i="20"/>
  <c r="M764" i="20"/>
  <c r="O764" i="20"/>
  <c r="S764" i="20"/>
  <c r="T764" i="20"/>
  <c r="U764" i="20"/>
  <c r="V764" i="20"/>
  <c r="W764" i="20"/>
  <c r="X764" i="20"/>
  <c r="Y764" i="20"/>
  <c r="AC764" i="20"/>
  <c r="M765" i="20"/>
  <c r="O765" i="20"/>
  <c r="S765" i="20"/>
  <c r="T765" i="20"/>
  <c r="U765" i="20"/>
  <c r="V765" i="20"/>
  <c r="W765" i="20"/>
  <c r="X765" i="20"/>
  <c r="Y765" i="20"/>
  <c r="AC765" i="20"/>
  <c r="M766" i="20"/>
  <c r="O766" i="20"/>
  <c r="S766" i="20"/>
  <c r="T766" i="20"/>
  <c r="U766" i="20"/>
  <c r="V766" i="20"/>
  <c r="W766" i="20"/>
  <c r="X766" i="20"/>
  <c r="Y766" i="20"/>
  <c r="AC766" i="20"/>
  <c r="M767" i="20"/>
  <c r="O767" i="20"/>
  <c r="S767" i="20"/>
  <c r="T767" i="20"/>
  <c r="U767" i="20"/>
  <c r="V767" i="20"/>
  <c r="W767" i="20"/>
  <c r="X767" i="20"/>
  <c r="Y767" i="20"/>
  <c r="AC767" i="20"/>
  <c r="M768" i="20"/>
  <c r="O768" i="20"/>
  <c r="S768" i="20"/>
  <c r="T768" i="20"/>
  <c r="U768" i="20"/>
  <c r="V768" i="20"/>
  <c r="W768" i="20"/>
  <c r="X768" i="20"/>
  <c r="Y768" i="20"/>
  <c r="AC768" i="20"/>
  <c r="M769" i="20"/>
  <c r="O769" i="20"/>
  <c r="S769" i="20"/>
  <c r="T769" i="20"/>
  <c r="U769" i="20"/>
  <c r="V769" i="20"/>
  <c r="W769" i="20"/>
  <c r="X769" i="20"/>
  <c r="Y769" i="20"/>
  <c r="AC769" i="20"/>
  <c r="M770" i="20"/>
  <c r="O770" i="20"/>
  <c r="S770" i="20"/>
  <c r="T770" i="20"/>
  <c r="U770" i="20"/>
  <c r="V770" i="20"/>
  <c r="W770" i="20"/>
  <c r="X770" i="20"/>
  <c r="Y770" i="20"/>
  <c r="AC770" i="20"/>
  <c r="M771" i="20"/>
  <c r="O771" i="20"/>
  <c r="S771" i="20"/>
  <c r="T771" i="20"/>
  <c r="U771" i="20"/>
  <c r="V771" i="20"/>
  <c r="W771" i="20"/>
  <c r="X771" i="20"/>
  <c r="Y771" i="20"/>
  <c r="AC771" i="20"/>
  <c r="M772" i="20"/>
  <c r="O772" i="20"/>
  <c r="S772" i="20"/>
  <c r="T772" i="20"/>
  <c r="U772" i="20"/>
  <c r="V772" i="20"/>
  <c r="W772" i="20"/>
  <c r="X772" i="20"/>
  <c r="Y772" i="20"/>
  <c r="AC772" i="20"/>
  <c r="M773" i="20"/>
  <c r="O773" i="20"/>
  <c r="S773" i="20"/>
  <c r="T773" i="20"/>
  <c r="U773" i="20"/>
  <c r="V773" i="20"/>
  <c r="W773" i="20"/>
  <c r="X773" i="20"/>
  <c r="Y773" i="20"/>
  <c r="AC773" i="20"/>
  <c r="M774" i="20"/>
  <c r="O774" i="20"/>
  <c r="S774" i="20"/>
  <c r="T774" i="20"/>
  <c r="U774" i="20"/>
  <c r="V774" i="20"/>
  <c r="W774" i="20"/>
  <c r="X774" i="20"/>
  <c r="Y774" i="20"/>
  <c r="AC774" i="20"/>
  <c r="M775" i="20"/>
  <c r="O775" i="20"/>
  <c r="S775" i="20"/>
  <c r="T775" i="20"/>
  <c r="U775" i="20"/>
  <c r="V775" i="20"/>
  <c r="W775" i="20"/>
  <c r="X775" i="20"/>
  <c r="Y775" i="20"/>
  <c r="AC775" i="20"/>
  <c r="M776" i="20"/>
  <c r="O776" i="20"/>
  <c r="S776" i="20"/>
  <c r="T776" i="20"/>
  <c r="U776" i="20"/>
  <c r="V776" i="20"/>
  <c r="W776" i="20"/>
  <c r="X776" i="20"/>
  <c r="Y776" i="20"/>
  <c r="AC776" i="20"/>
  <c r="M777" i="20"/>
  <c r="O777" i="20"/>
  <c r="S777" i="20"/>
  <c r="T777" i="20"/>
  <c r="U777" i="20"/>
  <c r="V777" i="20"/>
  <c r="W777" i="20"/>
  <c r="X777" i="20"/>
  <c r="Y777" i="20"/>
  <c r="AC777" i="20"/>
  <c r="M778" i="20"/>
  <c r="O778" i="20"/>
  <c r="S778" i="20"/>
  <c r="T778" i="20"/>
  <c r="U778" i="20"/>
  <c r="V778" i="20"/>
  <c r="W778" i="20"/>
  <c r="X778" i="20"/>
  <c r="Y778" i="20"/>
  <c r="AC778" i="20"/>
  <c r="M779" i="20"/>
  <c r="O779" i="20"/>
  <c r="S779" i="20"/>
  <c r="T779" i="20"/>
  <c r="U779" i="20"/>
  <c r="V779" i="20"/>
  <c r="W779" i="20"/>
  <c r="X779" i="20"/>
  <c r="Y779" i="20"/>
  <c r="AC779" i="20"/>
  <c r="M780" i="20"/>
  <c r="O780" i="20"/>
  <c r="S780" i="20"/>
  <c r="T780" i="20"/>
  <c r="U780" i="20"/>
  <c r="V780" i="20"/>
  <c r="W780" i="20"/>
  <c r="X780" i="20"/>
  <c r="Y780" i="20"/>
  <c r="AC780" i="20"/>
  <c r="M781" i="20"/>
  <c r="O781" i="20"/>
  <c r="S781" i="20"/>
  <c r="T781" i="20"/>
  <c r="U781" i="20"/>
  <c r="V781" i="20"/>
  <c r="W781" i="20"/>
  <c r="X781" i="20"/>
  <c r="Y781" i="20"/>
  <c r="AC781" i="20"/>
  <c r="M782" i="20"/>
  <c r="O782" i="20"/>
  <c r="S782" i="20"/>
  <c r="T782" i="20"/>
  <c r="U782" i="20"/>
  <c r="V782" i="20"/>
  <c r="W782" i="20"/>
  <c r="X782" i="20"/>
  <c r="Y782" i="20"/>
  <c r="AC782" i="20"/>
  <c r="M783" i="20"/>
  <c r="O783" i="20"/>
  <c r="S783" i="20"/>
  <c r="T783" i="20"/>
  <c r="U783" i="20"/>
  <c r="V783" i="20"/>
  <c r="W783" i="20"/>
  <c r="X783" i="20"/>
  <c r="Y783" i="20"/>
  <c r="AC783" i="20"/>
  <c r="M784" i="20"/>
  <c r="O784" i="20"/>
  <c r="S784" i="20"/>
  <c r="T784" i="20"/>
  <c r="U784" i="20"/>
  <c r="V784" i="20"/>
  <c r="W784" i="20"/>
  <c r="X784" i="20"/>
  <c r="Y784" i="20"/>
  <c r="AC784" i="20"/>
  <c r="M785" i="20"/>
  <c r="O785" i="20"/>
  <c r="S785" i="20"/>
  <c r="T785" i="20"/>
  <c r="U785" i="20"/>
  <c r="V785" i="20"/>
  <c r="W785" i="20"/>
  <c r="X785" i="20"/>
  <c r="Y785" i="20"/>
  <c r="AC785" i="20"/>
  <c r="M786" i="20"/>
  <c r="O786" i="20"/>
  <c r="S786" i="20"/>
  <c r="T786" i="20"/>
  <c r="U786" i="20"/>
  <c r="V786" i="20"/>
  <c r="W786" i="20"/>
  <c r="X786" i="20"/>
  <c r="Y786" i="20"/>
  <c r="AC786" i="20"/>
  <c r="M787" i="20"/>
  <c r="O787" i="20"/>
  <c r="S787" i="20"/>
  <c r="T787" i="20"/>
  <c r="U787" i="20"/>
  <c r="V787" i="20"/>
  <c r="W787" i="20"/>
  <c r="X787" i="20"/>
  <c r="Y787" i="20"/>
  <c r="AC787" i="20"/>
  <c r="M788" i="20"/>
  <c r="O788" i="20"/>
  <c r="S788" i="20"/>
  <c r="T788" i="20"/>
  <c r="U788" i="20"/>
  <c r="V788" i="20"/>
  <c r="W788" i="20"/>
  <c r="X788" i="20"/>
  <c r="Y788" i="20"/>
  <c r="AC788" i="20"/>
  <c r="M789" i="20"/>
  <c r="O789" i="20"/>
  <c r="S789" i="20"/>
  <c r="T789" i="20"/>
  <c r="U789" i="20"/>
  <c r="V789" i="20"/>
  <c r="W789" i="20"/>
  <c r="X789" i="20"/>
  <c r="Y789" i="20"/>
  <c r="AC789" i="20"/>
  <c r="M790" i="20"/>
  <c r="O790" i="20"/>
  <c r="S790" i="20"/>
  <c r="T790" i="20"/>
  <c r="U790" i="20"/>
  <c r="V790" i="20"/>
  <c r="W790" i="20"/>
  <c r="X790" i="20"/>
  <c r="Y790" i="20"/>
  <c r="AC790" i="20"/>
  <c r="M791" i="20"/>
  <c r="O791" i="20"/>
  <c r="S791" i="20"/>
  <c r="T791" i="20"/>
  <c r="U791" i="20"/>
  <c r="V791" i="20"/>
  <c r="W791" i="20"/>
  <c r="X791" i="20"/>
  <c r="Y791" i="20"/>
  <c r="AC791" i="20"/>
  <c r="M792" i="20"/>
  <c r="O792" i="20"/>
  <c r="S792" i="20"/>
  <c r="T792" i="20"/>
  <c r="U792" i="20"/>
  <c r="V792" i="20"/>
  <c r="W792" i="20"/>
  <c r="X792" i="20"/>
  <c r="Y792" i="20"/>
  <c r="AC792" i="20"/>
  <c r="M793" i="20"/>
  <c r="O793" i="20"/>
  <c r="S793" i="20"/>
  <c r="T793" i="20"/>
  <c r="U793" i="20"/>
  <c r="V793" i="20"/>
  <c r="W793" i="20"/>
  <c r="X793" i="20"/>
  <c r="Y793" i="20"/>
  <c r="AC793" i="20"/>
  <c r="M794" i="20"/>
  <c r="O794" i="20"/>
  <c r="S794" i="20"/>
  <c r="T794" i="20"/>
  <c r="U794" i="20"/>
  <c r="V794" i="20"/>
  <c r="W794" i="20"/>
  <c r="X794" i="20"/>
  <c r="Y794" i="20"/>
  <c r="AC794" i="20"/>
  <c r="M795" i="20"/>
  <c r="O795" i="20"/>
  <c r="S795" i="20"/>
  <c r="T795" i="20"/>
  <c r="U795" i="20"/>
  <c r="V795" i="20"/>
  <c r="W795" i="20"/>
  <c r="X795" i="20"/>
  <c r="Y795" i="20"/>
  <c r="AC795" i="20"/>
  <c r="M796" i="20"/>
  <c r="O796" i="20"/>
  <c r="S796" i="20"/>
  <c r="T796" i="20"/>
  <c r="U796" i="20"/>
  <c r="V796" i="20"/>
  <c r="W796" i="20"/>
  <c r="X796" i="20"/>
  <c r="Y796" i="20"/>
  <c r="AC796" i="20"/>
  <c r="M797" i="20"/>
  <c r="O797" i="20"/>
  <c r="S797" i="20"/>
  <c r="T797" i="20"/>
  <c r="U797" i="20"/>
  <c r="V797" i="20"/>
  <c r="W797" i="20"/>
  <c r="X797" i="20"/>
  <c r="Y797" i="20"/>
  <c r="AC797" i="20"/>
  <c r="M798" i="20"/>
  <c r="O798" i="20"/>
  <c r="S798" i="20"/>
  <c r="T798" i="20"/>
  <c r="U798" i="20"/>
  <c r="V798" i="20"/>
  <c r="W798" i="20"/>
  <c r="X798" i="20"/>
  <c r="Y798" i="20"/>
  <c r="AC798" i="20"/>
  <c r="M799" i="20"/>
  <c r="O799" i="20"/>
  <c r="S799" i="20"/>
  <c r="T799" i="20"/>
  <c r="U799" i="20"/>
  <c r="V799" i="20"/>
  <c r="W799" i="20"/>
  <c r="X799" i="20"/>
  <c r="Y799" i="20"/>
  <c r="AC799" i="20"/>
  <c r="M800" i="20"/>
  <c r="O800" i="20"/>
  <c r="S800" i="20"/>
  <c r="T800" i="20"/>
  <c r="U800" i="20"/>
  <c r="V800" i="20"/>
  <c r="W800" i="20"/>
  <c r="X800" i="20"/>
  <c r="Y800" i="20"/>
  <c r="AC800" i="20"/>
  <c r="M801" i="20"/>
  <c r="O801" i="20"/>
  <c r="S801" i="20"/>
  <c r="T801" i="20"/>
  <c r="U801" i="20"/>
  <c r="V801" i="20"/>
  <c r="W801" i="20"/>
  <c r="X801" i="20"/>
  <c r="Y801" i="20"/>
  <c r="AC801" i="20"/>
  <c r="M802" i="20"/>
  <c r="O802" i="20"/>
  <c r="S802" i="20"/>
  <c r="T802" i="20"/>
  <c r="U802" i="20"/>
  <c r="V802" i="20"/>
  <c r="W802" i="20"/>
  <c r="X802" i="20"/>
  <c r="Y802" i="20"/>
  <c r="AC802" i="20"/>
  <c r="M803" i="20"/>
  <c r="O803" i="20"/>
  <c r="S803" i="20"/>
  <c r="T803" i="20"/>
  <c r="U803" i="20"/>
  <c r="V803" i="20"/>
  <c r="W803" i="20"/>
  <c r="X803" i="20"/>
  <c r="Y803" i="20"/>
  <c r="AC803" i="20"/>
  <c r="M804" i="20"/>
  <c r="O804" i="20"/>
  <c r="S804" i="20"/>
  <c r="T804" i="20"/>
  <c r="U804" i="20"/>
  <c r="V804" i="20"/>
  <c r="W804" i="20"/>
  <c r="X804" i="20"/>
  <c r="Y804" i="20"/>
  <c r="AC804" i="20"/>
  <c r="M805" i="20"/>
  <c r="O805" i="20"/>
  <c r="S805" i="20"/>
  <c r="T805" i="20"/>
  <c r="U805" i="20"/>
  <c r="V805" i="20"/>
  <c r="W805" i="20"/>
  <c r="X805" i="20"/>
  <c r="Y805" i="20"/>
  <c r="AC805" i="20"/>
  <c r="M806" i="20"/>
  <c r="O806" i="20"/>
  <c r="S806" i="20"/>
  <c r="T806" i="20"/>
  <c r="U806" i="20"/>
  <c r="V806" i="20"/>
  <c r="W806" i="20"/>
  <c r="X806" i="20"/>
  <c r="Y806" i="20"/>
  <c r="AC806" i="20"/>
  <c r="M807" i="20"/>
  <c r="O807" i="20"/>
  <c r="S807" i="20"/>
  <c r="T807" i="20"/>
  <c r="U807" i="20"/>
  <c r="V807" i="20"/>
  <c r="W807" i="20"/>
  <c r="X807" i="20"/>
  <c r="Y807" i="20"/>
  <c r="AC807" i="20"/>
  <c r="M808" i="20"/>
  <c r="O808" i="20"/>
  <c r="S808" i="20"/>
  <c r="T808" i="20"/>
  <c r="U808" i="20"/>
  <c r="V808" i="20"/>
  <c r="W808" i="20"/>
  <c r="X808" i="20"/>
  <c r="Y808" i="20"/>
  <c r="AC808" i="20"/>
  <c r="M809" i="20"/>
  <c r="O809" i="20"/>
  <c r="S809" i="20"/>
  <c r="T809" i="20"/>
  <c r="U809" i="20"/>
  <c r="V809" i="20"/>
  <c r="W809" i="20"/>
  <c r="X809" i="20"/>
  <c r="Y809" i="20"/>
  <c r="AC809" i="20"/>
  <c r="M810" i="20"/>
  <c r="O810" i="20"/>
  <c r="S810" i="20"/>
  <c r="T810" i="20"/>
  <c r="U810" i="20"/>
  <c r="V810" i="20"/>
  <c r="W810" i="20"/>
  <c r="X810" i="20"/>
  <c r="Y810" i="20"/>
  <c r="AC810" i="20"/>
  <c r="M811" i="20"/>
  <c r="O811" i="20"/>
  <c r="S811" i="20"/>
  <c r="T811" i="20"/>
  <c r="U811" i="20"/>
  <c r="V811" i="20"/>
  <c r="W811" i="20"/>
  <c r="X811" i="20"/>
  <c r="Y811" i="20"/>
  <c r="AC811" i="20"/>
  <c r="M812" i="20"/>
  <c r="O812" i="20"/>
  <c r="S812" i="20"/>
  <c r="T812" i="20"/>
  <c r="U812" i="20"/>
  <c r="V812" i="20"/>
  <c r="W812" i="20"/>
  <c r="X812" i="20"/>
  <c r="Y812" i="20"/>
  <c r="AC812" i="20"/>
  <c r="M813" i="20"/>
  <c r="O813" i="20"/>
  <c r="S813" i="20"/>
  <c r="T813" i="20"/>
  <c r="U813" i="20"/>
  <c r="V813" i="20"/>
  <c r="W813" i="20"/>
  <c r="X813" i="20"/>
  <c r="Y813" i="20"/>
  <c r="AC813" i="20"/>
  <c r="M814" i="20"/>
  <c r="O814" i="20"/>
  <c r="S814" i="20"/>
  <c r="T814" i="20"/>
  <c r="U814" i="20"/>
  <c r="V814" i="20"/>
  <c r="W814" i="20"/>
  <c r="X814" i="20"/>
  <c r="Y814" i="20"/>
  <c r="AC814" i="20"/>
  <c r="M815" i="20"/>
  <c r="O815" i="20"/>
  <c r="S815" i="20"/>
  <c r="T815" i="20"/>
  <c r="U815" i="20"/>
  <c r="V815" i="20"/>
  <c r="W815" i="20"/>
  <c r="X815" i="20"/>
  <c r="Y815" i="20"/>
  <c r="AC815" i="20"/>
  <c r="M816" i="20"/>
  <c r="O816" i="20"/>
  <c r="S816" i="20"/>
  <c r="T816" i="20"/>
  <c r="U816" i="20"/>
  <c r="V816" i="20"/>
  <c r="W816" i="20"/>
  <c r="X816" i="20"/>
  <c r="Y816" i="20"/>
  <c r="AC816" i="20"/>
  <c r="M817" i="20"/>
  <c r="O817" i="20"/>
  <c r="S817" i="20"/>
  <c r="T817" i="20"/>
  <c r="U817" i="20"/>
  <c r="V817" i="20"/>
  <c r="W817" i="20"/>
  <c r="X817" i="20"/>
  <c r="Y817" i="20"/>
  <c r="AC817" i="20"/>
  <c r="M818" i="20"/>
  <c r="O818" i="20"/>
  <c r="S818" i="20"/>
  <c r="T818" i="20"/>
  <c r="U818" i="20"/>
  <c r="V818" i="20"/>
  <c r="W818" i="20"/>
  <c r="X818" i="20"/>
  <c r="Y818" i="20"/>
  <c r="AC818" i="20"/>
  <c r="M819" i="20"/>
  <c r="O819" i="20"/>
  <c r="S819" i="20"/>
  <c r="T819" i="20"/>
  <c r="U819" i="20"/>
  <c r="V819" i="20"/>
  <c r="W819" i="20"/>
  <c r="X819" i="20"/>
  <c r="Y819" i="20"/>
  <c r="AC819" i="20"/>
  <c r="M820" i="20"/>
  <c r="O820" i="20"/>
  <c r="S820" i="20"/>
  <c r="T820" i="20"/>
  <c r="U820" i="20"/>
  <c r="V820" i="20"/>
  <c r="W820" i="20"/>
  <c r="X820" i="20"/>
  <c r="Y820" i="20"/>
  <c r="AC820" i="20"/>
  <c r="M821" i="20"/>
  <c r="O821" i="20"/>
  <c r="S821" i="20"/>
  <c r="T821" i="20"/>
  <c r="U821" i="20"/>
  <c r="V821" i="20"/>
  <c r="W821" i="20"/>
  <c r="X821" i="20"/>
  <c r="Y821" i="20"/>
  <c r="AC821" i="20"/>
  <c r="M822" i="20"/>
  <c r="O822" i="20"/>
  <c r="S822" i="20"/>
  <c r="T822" i="20"/>
  <c r="U822" i="20"/>
  <c r="V822" i="20"/>
  <c r="W822" i="20"/>
  <c r="X822" i="20"/>
  <c r="Y822" i="20"/>
  <c r="AC822" i="20"/>
  <c r="M823" i="20"/>
  <c r="O823" i="20"/>
  <c r="S823" i="20"/>
  <c r="T823" i="20"/>
  <c r="U823" i="20"/>
  <c r="V823" i="20"/>
  <c r="W823" i="20"/>
  <c r="X823" i="20"/>
  <c r="Y823" i="20"/>
  <c r="AC823" i="20"/>
  <c r="M824" i="20"/>
  <c r="O824" i="20"/>
  <c r="S824" i="20"/>
  <c r="T824" i="20"/>
  <c r="U824" i="20"/>
  <c r="V824" i="20"/>
  <c r="W824" i="20"/>
  <c r="X824" i="20"/>
  <c r="Y824" i="20"/>
  <c r="AC824" i="20"/>
  <c r="M825" i="20"/>
  <c r="O825" i="20"/>
  <c r="S825" i="20"/>
  <c r="T825" i="20"/>
  <c r="U825" i="20"/>
  <c r="V825" i="20"/>
  <c r="W825" i="20"/>
  <c r="X825" i="20"/>
  <c r="Y825" i="20"/>
  <c r="AC825" i="20"/>
  <c r="M826" i="20"/>
  <c r="O826" i="20"/>
  <c r="S826" i="20"/>
  <c r="T826" i="20"/>
  <c r="U826" i="20"/>
  <c r="V826" i="20"/>
  <c r="W826" i="20"/>
  <c r="X826" i="20"/>
  <c r="Y826" i="20"/>
  <c r="AC826" i="20"/>
  <c r="M827" i="20"/>
  <c r="O827" i="20"/>
  <c r="S827" i="20"/>
  <c r="T827" i="20"/>
  <c r="U827" i="20"/>
  <c r="V827" i="20"/>
  <c r="W827" i="20"/>
  <c r="X827" i="20"/>
  <c r="Y827" i="20"/>
  <c r="AC827" i="20"/>
  <c r="M828" i="20"/>
  <c r="O828" i="20"/>
  <c r="S828" i="20"/>
  <c r="T828" i="20"/>
  <c r="U828" i="20"/>
  <c r="V828" i="20"/>
  <c r="W828" i="20"/>
  <c r="X828" i="20"/>
  <c r="Y828" i="20"/>
  <c r="AC828" i="20"/>
  <c r="M829" i="20"/>
  <c r="O829" i="20"/>
  <c r="S829" i="20"/>
  <c r="T829" i="20"/>
  <c r="U829" i="20"/>
  <c r="V829" i="20"/>
  <c r="W829" i="20"/>
  <c r="X829" i="20"/>
  <c r="Y829" i="20"/>
  <c r="AC829" i="20"/>
  <c r="M830" i="20"/>
  <c r="O830" i="20"/>
  <c r="S830" i="20"/>
  <c r="T830" i="20"/>
  <c r="U830" i="20"/>
  <c r="V830" i="20"/>
  <c r="W830" i="20"/>
  <c r="X830" i="20"/>
  <c r="Y830" i="20"/>
  <c r="AC830" i="20"/>
  <c r="M831" i="20"/>
  <c r="O831" i="20"/>
  <c r="S831" i="20"/>
  <c r="T831" i="20"/>
  <c r="U831" i="20"/>
  <c r="V831" i="20"/>
  <c r="W831" i="20"/>
  <c r="X831" i="20"/>
  <c r="Y831" i="20"/>
  <c r="AC831" i="20"/>
  <c r="M832" i="20"/>
  <c r="O832" i="20"/>
  <c r="S832" i="20"/>
  <c r="T832" i="20"/>
  <c r="U832" i="20"/>
  <c r="V832" i="20"/>
  <c r="W832" i="20"/>
  <c r="X832" i="20"/>
  <c r="Y832" i="20"/>
  <c r="AC832" i="20"/>
  <c r="M833" i="20"/>
  <c r="O833" i="20"/>
  <c r="S833" i="20"/>
  <c r="T833" i="20"/>
  <c r="U833" i="20"/>
  <c r="V833" i="20"/>
  <c r="W833" i="20"/>
  <c r="X833" i="20"/>
  <c r="Y833" i="20"/>
  <c r="AC833" i="20"/>
  <c r="M834" i="20"/>
  <c r="O834" i="20"/>
  <c r="S834" i="20"/>
  <c r="T834" i="20"/>
  <c r="U834" i="20"/>
  <c r="V834" i="20"/>
  <c r="W834" i="20"/>
  <c r="X834" i="20"/>
  <c r="Y834" i="20"/>
  <c r="AC834" i="20"/>
  <c r="M835" i="20"/>
  <c r="O835" i="20"/>
  <c r="S835" i="20"/>
  <c r="T835" i="20"/>
  <c r="U835" i="20"/>
  <c r="V835" i="20"/>
  <c r="W835" i="20"/>
  <c r="X835" i="20"/>
  <c r="Y835" i="20"/>
  <c r="AC835" i="20"/>
  <c r="M836" i="20"/>
  <c r="O836" i="20"/>
  <c r="S836" i="20"/>
  <c r="T836" i="20"/>
  <c r="U836" i="20"/>
  <c r="V836" i="20"/>
  <c r="W836" i="20"/>
  <c r="X836" i="20"/>
  <c r="Y836" i="20"/>
  <c r="AC836" i="20"/>
  <c r="M837" i="20"/>
  <c r="O837" i="20"/>
  <c r="S837" i="20"/>
  <c r="T837" i="20"/>
  <c r="U837" i="20"/>
  <c r="V837" i="20"/>
  <c r="W837" i="20"/>
  <c r="X837" i="20"/>
  <c r="Y837" i="20"/>
  <c r="AC837" i="20"/>
  <c r="M838" i="20"/>
  <c r="O838" i="20"/>
  <c r="S838" i="20"/>
  <c r="T838" i="20"/>
  <c r="U838" i="20"/>
  <c r="V838" i="20"/>
  <c r="W838" i="20"/>
  <c r="X838" i="20"/>
  <c r="Y838" i="20"/>
  <c r="AC838" i="20"/>
  <c r="M839" i="20"/>
  <c r="O839" i="20"/>
  <c r="S839" i="20"/>
  <c r="T839" i="20"/>
  <c r="U839" i="20"/>
  <c r="V839" i="20"/>
  <c r="W839" i="20"/>
  <c r="X839" i="20"/>
  <c r="Y839" i="20"/>
  <c r="AC839" i="20"/>
  <c r="M840" i="20"/>
  <c r="O840" i="20"/>
  <c r="S840" i="20"/>
  <c r="T840" i="20"/>
  <c r="U840" i="20"/>
  <c r="V840" i="20"/>
  <c r="W840" i="20"/>
  <c r="X840" i="20"/>
  <c r="Y840" i="20"/>
  <c r="AC840" i="20"/>
  <c r="M841" i="20"/>
  <c r="O841" i="20"/>
  <c r="S841" i="20"/>
  <c r="T841" i="20"/>
  <c r="U841" i="20"/>
  <c r="V841" i="20"/>
  <c r="W841" i="20"/>
  <c r="X841" i="20"/>
  <c r="Y841" i="20"/>
  <c r="AC841" i="20"/>
  <c r="M842" i="20"/>
  <c r="O842" i="20"/>
  <c r="S842" i="20"/>
  <c r="T842" i="20"/>
  <c r="U842" i="20"/>
  <c r="V842" i="20"/>
  <c r="W842" i="20"/>
  <c r="X842" i="20"/>
  <c r="Y842" i="20"/>
  <c r="AC842" i="20"/>
  <c r="M843" i="20"/>
  <c r="O843" i="20"/>
  <c r="S843" i="20"/>
  <c r="T843" i="20"/>
  <c r="U843" i="20"/>
  <c r="V843" i="20"/>
  <c r="W843" i="20"/>
  <c r="X843" i="20"/>
  <c r="Y843" i="20"/>
  <c r="AC843" i="20"/>
  <c r="M844" i="20"/>
  <c r="O844" i="20"/>
  <c r="S844" i="20"/>
  <c r="T844" i="20"/>
  <c r="U844" i="20"/>
  <c r="V844" i="20"/>
  <c r="W844" i="20"/>
  <c r="X844" i="20"/>
  <c r="Y844" i="20"/>
  <c r="AC844" i="20"/>
  <c r="M845" i="20"/>
  <c r="O845" i="20"/>
  <c r="S845" i="20"/>
  <c r="T845" i="20"/>
  <c r="U845" i="20"/>
  <c r="V845" i="20"/>
  <c r="W845" i="20"/>
  <c r="X845" i="20"/>
  <c r="Y845" i="20"/>
  <c r="AC845" i="20"/>
  <c r="M846" i="20"/>
  <c r="O846" i="20"/>
  <c r="S846" i="20"/>
  <c r="T846" i="20"/>
  <c r="U846" i="20"/>
  <c r="V846" i="20"/>
  <c r="W846" i="20"/>
  <c r="X846" i="20"/>
  <c r="Y846" i="20"/>
  <c r="AC846" i="20"/>
  <c r="M847" i="20"/>
  <c r="O847" i="20"/>
  <c r="S847" i="20"/>
  <c r="T847" i="20"/>
  <c r="U847" i="20"/>
  <c r="V847" i="20"/>
  <c r="W847" i="20"/>
  <c r="X847" i="20"/>
  <c r="Y847" i="20"/>
  <c r="AC847" i="20"/>
  <c r="M848" i="20"/>
  <c r="O848" i="20"/>
  <c r="S848" i="20"/>
  <c r="T848" i="20"/>
  <c r="U848" i="20"/>
  <c r="V848" i="20"/>
  <c r="W848" i="20"/>
  <c r="X848" i="20"/>
  <c r="Y848" i="20"/>
  <c r="AC848" i="20"/>
  <c r="M849" i="20"/>
  <c r="O849" i="20"/>
  <c r="S849" i="20"/>
  <c r="T849" i="20"/>
  <c r="U849" i="20"/>
  <c r="V849" i="20"/>
  <c r="W849" i="20"/>
  <c r="X849" i="20"/>
  <c r="Y849" i="20"/>
  <c r="AC849" i="20"/>
  <c r="M850" i="20"/>
  <c r="O850" i="20"/>
  <c r="S850" i="20"/>
  <c r="T850" i="20"/>
  <c r="U850" i="20"/>
  <c r="V850" i="20"/>
  <c r="W850" i="20"/>
  <c r="X850" i="20"/>
  <c r="Y850" i="20"/>
  <c r="AC850" i="20"/>
  <c r="M851" i="20"/>
  <c r="O851" i="20"/>
  <c r="S851" i="20"/>
  <c r="T851" i="20"/>
  <c r="U851" i="20"/>
  <c r="V851" i="20"/>
  <c r="W851" i="20"/>
  <c r="X851" i="20"/>
  <c r="Y851" i="20"/>
  <c r="AC851" i="20"/>
  <c r="M852" i="20"/>
  <c r="O852" i="20"/>
  <c r="S852" i="20"/>
  <c r="T852" i="20"/>
  <c r="U852" i="20"/>
  <c r="V852" i="20"/>
  <c r="W852" i="20"/>
  <c r="X852" i="20"/>
  <c r="Y852" i="20"/>
  <c r="AC852" i="20"/>
  <c r="M853" i="20"/>
  <c r="O853" i="20"/>
  <c r="S853" i="20"/>
  <c r="T853" i="20"/>
  <c r="U853" i="20"/>
  <c r="V853" i="20"/>
  <c r="W853" i="20"/>
  <c r="X853" i="20"/>
  <c r="Y853" i="20"/>
  <c r="AC853" i="20"/>
  <c r="M854" i="20"/>
  <c r="O854" i="20"/>
  <c r="S854" i="20"/>
  <c r="T854" i="20"/>
  <c r="U854" i="20"/>
  <c r="V854" i="20"/>
  <c r="W854" i="20"/>
  <c r="X854" i="20"/>
  <c r="Y854" i="20"/>
  <c r="AC854" i="20"/>
  <c r="M855" i="20"/>
  <c r="O855" i="20"/>
  <c r="S855" i="20"/>
  <c r="T855" i="20"/>
  <c r="U855" i="20"/>
  <c r="V855" i="20"/>
  <c r="W855" i="20"/>
  <c r="X855" i="20"/>
  <c r="Y855" i="20"/>
  <c r="AC855" i="20"/>
  <c r="M856" i="20"/>
  <c r="O856" i="20"/>
  <c r="S856" i="20"/>
  <c r="T856" i="20"/>
  <c r="U856" i="20"/>
  <c r="V856" i="20"/>
  <c r="W856" i="20"/>
  <c r="X856" i="20"/>
  <c r="Y856" i="20"/>
  <c r="AC856" i="20"/>
  <c r="M857" i="20"/>
  <c r="O857" i="20"/>
  <c r="S857" i="20"/>
  <c r="T857" i="20"/>
  <c r="U857" i="20"/>
  <c r="V857" i="20"/>
  <c r="W857" i="20"/>
  <c r="X857" i="20"/>
  <c r="Y857" i="20"/>
  <c r="AC857" i="20"/>
  <c r="M858" i="20"/>
  <c r="O858" i="20"/>
  <c r="S858" i="20"/>
  <c r="T858" i="20"/>
  <c r="U858" i="20"/>
  <c r="V858" i="20"/>
  <c r="W858" i="20"/>
  <c r="X858" i="20"/>
  <c r="Y858" i="20"/>
  <c r="AC858" i="20"/>
  <c r="M859" i="20"/>
  <c r="O859" i="20"/>
  <c r="S859" i="20"/>
  <c r="T859" i="20"/>
  <c r="U859" i="20"/>
  <c r="V859" i="20"/>
  <c r="W859" i="20"/>
  <c r="X859" i="20"/>
  <c r="Y859" i="20"/>
  <c r="AC859" i="20"/>
  <c r="M860" i="20"/>
  <c r="O860" i="20"/>
  <c r="S860" i="20"/>
  <c r="T860" i="20"/>
  <c r="U860" i="20"/>
  <c r="V860" i="20"/>
  <c r="W860" i="20"/>
  <c r="X860" i="20"/>
  <c r="Y860" i="20"/>
  <c r="AC860" i="20"/>
  <c r="M861" i="20"/>
  <c r="O861" i="20"/>
  <c r="S861" i="20"/>
  <c r="T861" i="20"/>
  <c r="U861" i="20"/>
  <c r="V861" i="20"/>
  <c r="W861" i="20"/>
  <c r="X861" i="20"/>
  <c r="Y861" i="20"/>
  <c r="AC861" i="20"/>
  <c r="M862" i="20"/>
  <c r="O862" i="20"/>
  <c r="S862" i="20"/>
  <c r="T862" i="20"/>
  <c r="U862" i="20"/>
  <c r="V862" i="20"/>
  <c r="W862" i="20"/>
  <c r="X862" i="20"/>
  <c r="Y862" i="20"/>
  <c r="AC862" i="20"/>
  <c r="M863" i="20"/>
  <c r="O863" i="20"/>
  <c r="S863" i="20"/>
  <c r="T863" i="20"/>
  <c r="U863" i="20"/>
  <c r="V863" i="20"/>
  <c r="W863" i="20"/>
  <c r="X863" i="20"/>
  <c r="Y863" i="20"/>
  <c r="AC863" i="20"/>
  <c r="M864" i="20"/>
  <c r="O864" i="20"/>
  <c r="S864" i="20"/>
  <c r="T864" i="20"/>
  <c r="U864" i="20"/>
  <c r="V864" i="20"/>
  <c r="W864" i="20"/>
  <c r="X864" i="20"/>
  <c r="Y864" i="20"/>
  <c r="AC864" i="20"/>
  <c r="M865" i="20"/>
  <c r="O865" i="20"/>
  <c r="S865" i="20"/>
  <c r="T865" i="20"/>
  <c r="U865" i="20"/>
  <c r="V865" i="20"/>
  <c r="W865" i="20"/>
  <c r="X865" i="20"/>
  <c r="Y865" i="20"/>
  <c r="AC865" i="20"/>
  <c r="M866" i="20"/>
  <c r="O866" i="20"/>
  <c r="S866" i="20"/>
  <c r="T866" i="20"/>
  <c r="U866" i="20"/>
  <c r="V866" i="20"/>
  <c r="W866" i="20"/>
  <c r="X866" i="20"/>
  <c r="Y866" i="20"/>
  <c r="AC866" i="20"/>
  <c r="M867" i="20"/>
  <c r="O867" i="20"/>
  <c r="S867" i="20"/>
  <c r="T867" i="20"/>
  <c r="U867" i="20"/>
  <c r="V867" i="20"/>
  <c r="W867" i="20"/>
  <c r="X867" i="20"/>
  <c r="Y867" i="20"/>
  <c r="AC867" i="20"/>
  <c r="M868" i="20"/>
  <c r="O868" i="20"/>
  <c r="S868" i="20"/>
  <c r="T868" i="20"/>
  <c r="U868" i="20"/>
  <c r="V868" i="20"/>
  <c r="W868" i="20"/>
  <c r="X868" i="20"/>
  <c r="Y868" i="20"/>
  <c r="AC868" i="20"/>
  <c r="M869" i="20"/>
  <c r="O869" i="20"/>
  <c r="S869" i="20"/>
  <c r="T869" i="20"/>
  <c r="U869" i="20"/>
  <c r="V869" i="20"/>
  <c r="W869" i="20"/>
  <c r="X869" i="20"/>
  <c r="Y869" i="20"/>
  <c r="AC869" i="20"/>
  <c r="M870" i="20"/>
  <c r="O870" i="20"/>
  <c r="S870" i="20"/>
  <c r="T870" i="20"/>
  <c r="U870" i="20"/>
  <c r="V870" i="20"/>
  <c r="W870" i="20"/>
  <c r="X870" i="20"/>
  <c r="Y870" i="20"/>
  <c r="AC870" i="20"/>
  <c r="M871" i="20"/>
  <c r="O871" i="20"/>
  <c r="S871" i="20"/>
  <c r="T871" i="20"/>
  <c r="U871" i="20"/>
  <c r="V871" i="20"/>
  <c r="W871" i="20"/>
  <c r="X871" i="20"/>
  <c r="Y871" i="20"/>
  <c r="AC871" i="20"/>
  <c r="M872" i="20"/>
  <c r="O872" i="20"/>
  <c r="S872" i="20"/>
  <c r="T872" i="20"/>
  <c r="U872" i="20"/>
  <c r="V872" i="20"/>
  <c r="W872" i="20"/>
  <c r="X872" i="20"/>
  <c r="Y872" i="20"/>
  <c r="AC872" i="20"/>
  <c r="M873" i="20"/>
  <c r="O873" i="20"/>
  <c r="S873" i="20"/>
  <c r="T873" i="20"/>
  <c r="U873" i="20"/>
  <c r="V873" i="20"/>
  <c r="W873" i="20"/>
  <c r="X873" i="20"/>
  <c r="Y873" i="20"/>
  <c r="AC873" i="20"/>
  <c r="M874" i="20"/>
  <c r="O874" i="20"/>
  <c r="S874" i="20"/>
  <c r="T874" i="20"/>
  <c r="U874" i="20"/>
  <c r="V874" i="20"/>
  <c r="W874" i="20"/>
  <c r="X874" i="20"/>
  <c r="Y874" i="20"/>
  <c r="AC874" i="20"/>
  <c r="M875" i="20"/>
  <c r="O875" i="20"/>
  <c r="S875" i="20"/>
  <c r="T875" i="20"/>
  <c r="U875" i="20"/>
  <c r="V875" i="20"/>
  <c r="W875" i="20"/>
  <c r="X875" i="20"/>
  <c r="Y875" i="20"/>
  <c r="AC875" i="20"/>
  <c r="M876" i="20"/>
  <c r="O876" i="20"/>
  <c r="S876" i="20"/>
  <c r="T876" i="20"/>
  <c r="U876" i="20"/>
  <c r="V876" i="20"/>
  <c r="W876" i="20"/>
  <c r="X876" i="20"/>
  <c r="Y876" i="20"/>
  <c r="AC876" i="20"/>
  <c r="M877" i="20"/>
  <c r="O877" i="20"/>
  <c r="S877" i="20"/>
  <c r="T877" i="20"/>
  <c r="U877" i="20"/>
  <c r="V877" i="20"/>
  <c r="W877" i="20"/>
  <c r="X877" i="20"/>
  <c r="Y877" i="20"/>
  <c r="AC877" i="20"/>
  <c r="M878" i="20"/>
  <c r="O878" i="20"/>
  <c r="S878" i="20"/>
  <c r="T878" i="20"/>
  <c r="U878" i="20"/>
  <c r="V878" i="20"/>
  <c r="W878" i="20"/>
  <c r="X878" i="20"/>
  <c r="Y878" i="20"/>
  <c r="AC878" i="20"/>
  <c r="M879" i="20"/>
  <c r="O879" i="20"/>
  <c r="S879" i="20"/>
  <c r="T879" i="20"/>
  <c r="U879" i="20"/>
  <c r="V879" i="20"/>
  <c r="W879" i="20"/>
  <c r="X879" i="20"/>
  <c r="Y879" i="20"/>
  <c r="AC879" i="20"/>
  <c r="M880" i="20"/>
  <c r="O880" i="20"/>
  <c r="S880" i="20"/>
  <c r="T880" i="20"/>
  <c r="U880" i="20"/>
  <c r="V880" i="20"/>
  <c r="W880" i="20"/>
  <c r="X880" i="20"/>
  <c r="Y880" i="20"/>
  <c r="AC880" i="20"/>
  <c r="M881" i="20"/>
  <c r="O881" i="20"/>
  <c r="S881" i="20"/>
  <c r="T881" i="20"/>
  <c r="U881" i="20"/>
  <c r="V881" i="20"/>
  <c r="W881" i="20"/>
  <c r="X881" i="20"/>
  <c r="Y881" i="20"/>
  <c r="AC881" i="20"/>
  <c r="M882" i="20"/>
  <c r="O882" i="20"/>
  <c r="S882" i="20"/>
  <c r="T882" i="20"/>
  <c r="U882" i="20"/>
  <c r="V882" i="20"/>
  <c r="W882" i="20"/>
  <c r="X882" i="20"/>
  <c r="Y882" i="20"/>
  <c r="AC882" i="20"/>
  <c r="M883" i="20"/>
  <c r="O883" i="20"/>
  <c r="S883" i="20"/>
  <c r="T883" i="20"/>
  <c r="U883" i="20"/>
  <c r="V883" i="20"/>
  <c r="W883" i="20"/>
  <c r="X883" i="20"/>
  <c r="Y883" i="20"/>
  <c r="AC883" i="20"/>
  <c r="M884" i="20"/>
  <c r="O884" i="20"/>
  <c r="S884" i="20"/>
  <c r="T884" i="20"/>
  <c r="U884" i="20"/>
  <c r="V884" i="20"/>
  <c r="W884" i="20"/>
  <c r="X884" i="20"/>
  <c r="Y884" i="20"/>
  <c r="AC884" i="20"/>
  <c r="M885" i="20"/>
  <c r="O885" i="20"/>
  <c r="S885" i="20"/>
  <c r="T885" i="20"/>
  <c r="U885" i="20"/>
  <c r="V885" i="20"/>
  <c r="W885" i="20"/>
  <c r="X885" i="20"/>
  <c r="Y885" i="20"/>
  <c r="AC885" i="20"/>
  <c r="M886" i="20"/>
  <c r="O886" i="20"/>
  <c r="S886" i="20"/>
  <c r="T886" i="20"/>
  <c r="U886" i="20"/>
  <c r="V886" i="20"/>
  <c r="W886" i="20"/>
  <c r="X886" i="20"/>
  <c r="Y886" i="20"/>
  <c r="AC886" i="20"/>
  <c r="M887" i="20"/>
  <c r="O887" i="20"/>
  <c r="S887" i="20"/>
  <c r="T887" i="20"/>
  <c r="U887" i="20"/>
  <c r="V887" i="20"/>
  <c r="W887" i="20"/>
  <c r="X887" i="20"/>
  <c r="Y887" i="20"/>
  <c r="AC887" i="20"/>
  <c r="M888" i="20"/>
  <c r="O888" i="20"/>
  <c r="S888" i="20"/>
  <c r="T888" i="20"/>
  <c r="U888" i="20"/>
  <c r="V888" i="20"/>
  <c r="W888" i="20"/>
  <c r="X888" i="20"/>
  <c r="Y888" i="20"/>
  <c r="AC888" i="20"/>
  <c r="M889" i="20"/>
  <c r="O889" i="20"/>
  <c r="S889" i="20"/>
  <c r="T889" i="20"/>
  <c r="U889" i="20"/>
  <c r="V889" i="20"/>
  <c r="W889" i="20"/>
  <c r="X889" i="20"/>
  <c r="Y889" i="20"/>
  <c r="AC889" i="20"/>
  <c r="M890" i="20"/>
  <c r="O890" i="20"/>
  <c r="S890" i="20"/>
  <c r="T890" i="20"/>
  <c r="U890" i="20"/>
  <c r="V890" i="20"/>
  <c r="W890" i="20"/>
  <c r="X890" i="20"/>
  <c r="Y890" i="20"/>
  <c r="AC890" i="20"/>
  <c r="M891" i="20"/>
  <c r="O891" i="20"/>
  <c r="S891" i="20"/>
  <c r="T891" i="20"/>
  <c r="U891" i="20"/>
  <c r="V891" i="20"/>
  <c r="W891" i="20"/>
  <c r="X891" i="20"/>
  <c r="Y891" i="20"/>
  <c r="AC891" i="20"/>
  <c r="M892" i="20"/>
  <c r="O892" i="20"/>
  <c r="S892" i="20"/>
  <c r="T892" i="20"/>
  <c r="U892" i="20"/>
  <c r="V892" i="20"/>
  <c r="W892" i="20"/>
  <c r="X892" i="20"/>
  <c r="Y892" i="20"/>
  <c r="AC892" i="20"/>
  <c r="M893" i="20"/>
  <c r="O893" i="20"/>
  <c r="S893" i="20"/>
  <c r="T893" i="20"/>
  <c r="U893" i="20"/>
  <c r="V893" i="20"/>
  <c r="W893" i="20"/>
  <c r="X893" i="20"/>
  <c r="Y893" i="20"/>
  <c r="AC893" i="20"/>
  <c r="M894" i="20"/>
  <c r="O894" i="20"/>
  <c r="S894" i="20"/>
  <c r="T894" i="20"/>
  <c r="U894" i="20"/>
  <c r="V894" i="20"/>
  <c r="W894" i="20"/>
  <c r="X894" i="20"/>
  <c r="Y894" i="20"/>
  <c r="AC894" i="20"/>
  <c r="M895" i="20"/>
  <c r="O895" i="20"/>
  <c r="S895" i="20"/>
  <c r="T895" i="20"/>
  <c r="U895" i="20"/>
  <c r="V895" i="20"/>
  <c r="W895" i="20"/>
  <c r="X895" i="20"/>
  <c r="Y895" i="20"/>
  <c r="AC895" i="20"/>
  <c r="M896" i="20"/>
  <c r="O896" i="20"/>
  <c r="S896" i="20"/>
  <c r="T896" i="20"/>
  <c r="U896" i="20"/>
  <c r="V896" i="20"/>
  <c r="W896" i="20"/>
  <c r="X896" i="20"/>
  <c r="Y896" i="20"/>
  <c r="AC896" i="20"/>
  <c r="M897" i="20"/>
  <c r="O897" i="20"/>
  <c r="S897" i="20"/>
  <c r="T897" i="20"/>
  <c r="U897" i="20"/>
  <c r="V897" i="20"/>
  <c r="W897" i="20"/>
  <c r="X897" i="20"/>
  <c r="Y897" i="20"/>
  <c r="AC897" i="20"/>
  <c r="M898" i="20"/>
  <c r="O898" i="20"/>
  <c r="S898" i="20"/>
  <c r="T898" i="20"/>
  <c r="U898" i="20"/>
  <c r="V898" i="20"/>
  <c r="W898" i="20"/>
  <c r="X898" i="20"/>
  <c r="Y898" i="20"/>
  <c r="AC898" i="20"/>
  <c r="M899" i="20"/>
  <c r="O899" i="20"/>
  <c r="S899" i="20"/>
  <c r="T899" i="20"/>
  <c r="U899" i="20"/>
  <c r="V899" i="20"/>
  <c r="W899" i="20"/>
  <c r="X899" i="20"/>
  <c r="Y899" i="20"/>
  <c r="AC899" i="20"/>
  <c r="M900" i="20"/>
  <c r="O900" i="20"/>
  <c r="S900" i="20"/>
  <c r="T900" i="20"/>
  <c r="U900" i="20"/>
  <c r="V900" i="20"/>
  <c r="W900" i="20"/>
  <c r="X900" i="20"/>
  <c r="Y900" i="20"/>
  <c r="AC900" i="20"/>
  <c r="M901" i="20"/>
  <c r="O901" i="20"/>
  <c r="S901" i="20"/>
  <c r="T901" i="20"/>
  <c r="U901" i="20"/>
  <c r="V901" i="20"/>
  <c r="W901" i="20"/>
  <c r="X901" i="20"/>
  <c r="Y901" i="20"/>
  <c r="AC901" i="20"/>
  <c r="M902" i="20"/>
  <c r="O902" i="20"/>
  <c r="S902" i="20"/>
  <c r="T902" i="20"/>
  <c r="U902" i="20"/>
  <c r="V902" i="20"/>
  <c r="W902" i="20"/>
  <c r="X902" i="20"/>
  <c r="Y902" i="20"/>
  <c r="AC902" i="20"/>
  <c r="M903" i="20"/>
  <c r="O903" i="20"/>
  <c r="S903" i="20"/>
  <c r="T903" i="20"/>
  <c r="U903" i="20"/>
  <c r="V903" i="20"/>
  <c r="W903" i="20"/>
  <c r="X903" i="20"/>
  <c r="Y903" i="20"/>
  <c r="AC903" i="20"/>
  <c r="M904" i="20"/>
  <c r="O904" i="20"/>
  <c r="S904" i="20"/>
  <c r="T904" i="20"/>
  <c r="U904" i="20"/>
  <c r="V904" i="20"/>
  <c r="W904" i="20"/>
  <c r="X904" i="20"/>
  <c r="Y904" i="20"/>
  <c r="AC904" i="20"/>
  <c r="M905" i="20"/>
  <c r="O905" i="20"/>
  <c r="S905" i="20"/>
  <c r="T905" i="20"/>
  <c r="U905" i="20"/>
  <c r="V905" i="20"/>
  <c r="W905" i="20"/>
  <c r="X905" i="20"/>
  <c r="Y905" i="20"/>
  <c r="AC905" i="20"/>
  <c r="M906" i="20"/>
  <c r="O906" i="20"/>
  <c r="S906" i="20"/>
  <c r="T906" i="20"/>
  <c r="U906" i="20"/>
  <c r="V906" i="20"/>
  <c r="W906" i="20"/>
  <c r="X906" i="20"/>
  <c r="Y906" i="20"/>
  <c r="AC906" i="20"/>
  <c r="M907" i="20"/>
  <c r="O907" i="20"/>
  <c r="S907" i="20"/>
  <c r="T907" i="20"/>
  <c r="U907" i="20"/>
  <c r="V907" i="20"/>
  <c r="W907" i="20"/>
  <c r="X907" i="20"/>
  <c r="Y907" i="20"/>
  <c r="AC907" i="20"/>
  <c r="M908" i="20"/>
  <c r="O908" i="20"/>
  <c r="S908" i="20"/>
  <c r="T908" i="20"/>
  <c r="U908" i="20"/>
  <c r="V908" i="20"/>
  <c r="W908" i="20"/>
  <c r="X908" i="20"/>
  <c r="Y908" i="20"/>
  <c r="AC908" i="20"/>
  <c r="M909" i="20"/>
  <c r="O909" i="20"/>
  <c r="S909" i="20"/>
  <c r="T909" i="20"/>
  <c r="U909" i="20"/>
  <c r="V909" i="20"/>
  <c r="W909" i="20"/>
  <c r="X909" i="20"/>
  <c r="Y909" i="20"/>
  <c r="AC909" i="20"/>
  <c r="M910" i="20"/>
  <c r="O910" i="20"/>
  <c r="S910" i="20"/>
  <c r="T910" i="20"/>
  <c r="U910" i="20"/>
  <c r="V910" i="20"/>
  <c r="W910" i="20"/>
  <c r="X910" i="20"/>
  <c r="Y910" i="20"/>
  <c r="AC910" i="20"/>
  <c r="M911" i="20"/>
  <c r="O911" i="20"/>
  <c r="S911" i="20"/>
  <c r="T911" i="20"/>
  <c r="U911" i="20"/>
  <c r="V911" i="20"/>
  <c r="W911" i="20"/>
  <c r="X911" i="20"/>
  <c r="Y911" i="20"/>
  <c r="AC911" i="20"/>
  <c r="M912" i="20"/>
  <c r="O912" i="20"/>
  <c r="S912" i="20"/>
  <c r="T912" i="20"/>
  <c r="U912" i="20"/>
  <c r="V912" i="20"/>
  <c r="W912" i="20"/>
  <c r="X912" i="20"/>
  <c r="Y912" i="20"/>
  <c r="AC912" i="20"/>
  <c r="M913" i="20"/>
  <c r="O913" i="20"/>
  <c r="S913" i="20"/>
  <c r="T913" i="20"/>
  <c r="U913" i="20"/>
  <c r="V913" i="20"/>
  <c r="W913" i="20"/>
  <c r="X913" i="20"/>
  <c r="Y913" i="20"/>
  <c r="AC913" i="20"/>
  <c r="M914" i="20"/>
  <c r="O914" i="20"/>
  <c r="S914" i="20"/>
  <c r="T914" i="20"/>
  <c r="U914" i="20"/>
  <c r="V914" i="20"/>
  <c r="W914" i="20"/>
  <c r="X914" i="20"/>
  <c r="Y914" i="20"/>
  <c r="AC914" i="20"/>
  <c r="M915" i="20"/>
  <c r="O915" i="20"/>
  <c r="S915" i="20"/>
  <c r="T915" i="20"/>
  <c r="U915" i="20"/>
  <c r="V915" i="20"/>
  <c r="W915" i="20"/>
  <c r="X915" i="20"/>
  <c r="Y915" i="20"/>
  <c r="AC915" i="20"/>
  <c r="M916" i="20"/>
  <c r="O916" i="20"/>
  <c r="S916" i="20"/>
  <c r="T916" i="20"/>
  <c r="U916" i="20"/>
  <c r="V916" i="20"/>
  <c r="W916" i="20"/>
  <c r="X916" i="20"/>
  <c r="Y916" i="20"/>
  <c r="AC916" i="20"/>
  <c r="M917" i="20"/>
  <c r="O917" i="20"/>
  <c r="S917" i="20"/>
  <c r="T917" i="20"/>
  <c r="U917" i="20"/>
  <c r="V917" i="20"/>
  <c r="W917" i="20"/>
  <c r="X917" i="20"/>
  <c r="Y917" i="20"/>
  <c r="AC917" i="20"/>
  <c r="M918" i="20"/>
  <c r="O918" i="20"/>
  <c r="S918" i="20"/>
  <c r="T918" i="20"/>
  <c r="U918" i="20"/>
  <c r="V918" i="20"/>
  <c r="W918" i="20"/>
  <c r="X918" i="20"/>
  <c r="Y918" i="20"/>
  <c r="AC918" i="20"/>
  <c r="M919" i="20"/>
  <c r="O919" i="20"/>
  <c r="S919" i="20"/>
  <c r="T919" i="20"/>
  <c r="U919" i="20"/>
  <c r="V919" i="20"/>
  <c r="W919" i="20"/>
  <c r="X919" i="20"/>
  <c r="Y919" i="20"/>
  <c r="AC919" i="20"/>
  <c r="M920" i="20"/>
  <c r="O920" i="20"/>
  <c r="S920" i="20"/>
  <c r="T920" i="20"/>
  <c r="U920" i="20"/>
  <c r="V920" i="20"/>
  <c r="W920" i="20"/>
  <c r="X920" i="20"/>
  <c r="Y920" i="20"/>
  <c r="AC920" i="20"/>
  <c r="M921" i="20"/>
  <c r="O921" i="20"/>
  <c r="S921" i="20"/>
  <c r="T921" i="20"/>
  <c r="U921" i="20"/>
  <c r="V921" i="20"/>
  <c r="W921" i="20"/>
  <c r="X921" i="20"/>
  <c r="Y921" i="20"/>
  <c r="AC921" i="20"/>
  <c r="M922" i="20"/>
  <c r="O922" i="20"/>
  <c r="S922" i="20"/>
  <c r="T922" i="20"/>
  <c r="U922" i="20"/>
  <c r="V922" i="20"/>
  <c r="W922" i="20"/>
  <c r="X922" i="20"/>
  <c r="Y922" i="20"/>
  <c r="AC922" i="20"/>
  <c r="M923" i="20"/>
  <c r="O923" i="20"/>
  <c r="S923" i="20"/>
  <c r="T923" i="20"/>
  <c r="U923" i="20"/>
  <c r="V923" i="20"/>
  <c r="W923" i="20"/>
  <c r="X923" i="20"/>
  <c r="Y923" i="20"/>
  <c r="AC923" i="20"/>
  <c r="M924" i="20"/>
  <c r="O924" i="20"/>
  <c r="S924" i="20"/>
  <c r="T924" i="20"/>
  <c r="U924" i="20"/>
  <c r="V924" i="20"/>
  <c r="W924" i="20"/>
  <c r="X924" i="20"/>
  <c r="Y924" i="20"/>
  <c r="AC924" i="20"/>
  <c r="M925" i="20"/>
  <c r="O925" i="20"/>
  <c r="S925" i="20"/>
  <c r="T925" i="20"/>
  <c r="U925" i="20"/>
  <c r="V925" i="20"/>
  <c r="W925" i="20"/>
  <c r="X925" i="20"/>
  <c r="Y925" i="20"/>
  <c r="AC925" i="20"/>
  <c r="M926" i="20"/>
  <c r="O926" i="20"/>
  <c r="S926" i="20"/>
  <c r="T926" i="20"/>
  <c r="U926" i="20"/>
  <c r="V926" i="20"/>
  <c r="W926" i="20"/>
  <c r="X926" i="20"/>
  <c r="Y926" i="20"/>
  <c r="AC926" i="20"/>
  <c r="M927" i="20"/>
  <c r="O927" i="20"/>
  <c r="S927" i="20"/>
  <c r="T927" i="20"/>
  <c r="U927" i="20"/>
  <c r="V927" i="20"/>
  <c r="W927" i="20"/>
  <c r="X927" i="20"/>
  <c r="Y927" i="20"/>
  <c r="AC927" i="20"/>
  <c r="M928" i="20"/>
  <c r="O928" i="20"/>
  <c r="S928" i="20"/>
  <c r="T928" i="20"/>
  <c r="U928" i="20"/>
  <c r="V928" i="20"/>
  <c r="W928" i="20"/>
  <c r="X928" i="20"/>
  <c r="Y928" i="20"/>
  <c r="AC928" i="20"/>
  <c r="M929" i="20"/>
  <c r="O929" i="20"/>
  <c r="S929" i="20"/>
  <c r="T929" i="20"/>
  <c r="U929" i="20"/>
  <c r="V929" i="20"/>
  <c r="W929" i="20"/>
  <c r="X929" i="20"/>
  <c r="Y929" i="20"/>
  <c r="AC929" i="20"/>
  <c r="M930" i="20"/>
  <c r="O930" i="20"/>
  <c r="S930" i="20"/>
  <c r="T930" i="20"/>
  <c r="U930" i="20"/>
  <c r="V930" i="20"/>
  <c r="W930" i="20"/>
  <c r="X930" i="20"/>
  <c r="Y930" i="20"/>
  <c r="AC930" i="20"/>
  <c r="M931" i="20"/>
  <c r="O931" i="20"/>
  <c r="S931" i="20"/>
  <c r="T931" i="20"/>
  <c r="U931" i="20"/>
  <c r="V931" i="20"/>
  <c r="W931" i="20"/>
  <c r="X931" i="20"/>
  <c r="Y931" i="20"/>
  <c r="AC931" i="20"/>
  <c r="M932" i="20"/>
  <c r="O932" i="20"/>
  <c r="S932" i="20"/>
  <c r="T932" i="20"/>
  <c r="U932" i="20"/>
  <c r="V932" i="20"/>
  <c r="W932" i="20"/>
  <c r="X932" i="20"/>
  <c r="Y932" i="20"/>
  <c r="AC932" i="20"/>
  <c r="M933" i="20"/>
  <c r="O933" i="20"/>
  <c r="S933" i="20"/>
  <c r="T933" i="20"/>
  <c r="U933" i="20"/>
  <c r="V933" i="20"/>
  <c r="W933" i="20"/>
  <c r="X933" i="20"/>
  <c r="Y933" i="20"/>
  <c r="AC933" i="20"/>
  <c r="M934" i="20"/>
  <c r="O934" i="20"/>
  <c r="S934" i="20"/>
  <c r="T934" i="20"/>
  <c r="U934" i="20"/>
  <c r="V934" i="20"/>
  <c r="W934" i="20"/>
  <c r="X934" i="20"/>
  <c r="Y934" i="20"/>
  <c r="AC934" i="20"/>
  <c r="M935" i="20"/>
  <c r="O935" i="20"/>
  <c r="S935" i="20"/>
  <c r="T935" i="20"/>
  <c r="U935" i="20"/>
  <c r="V935" i="20"/>
  <c r="W935" i="20"/>
  <c r="X935" i="20"/>
  <c r="Y935" i="20"/>
  <c r="AC935" i="20"/>
  <c r="M936" i="20"/>
  <c r="O936" i="20"/>
  <c r="S936" i="20"/>
  <c r="T936" i="20"/>
  <c r="U936" i="20"/>
  <c r="V936" i="20"/>
  <c r="W936" i="20"/>
  <c r="X936" i="20"/>
  <c r="Y936" i="20"/>
  <c r="AC936" i="20"/>
  <c r="M937" i="20"/>
  <c r="O937" i="20"/>
  <c r="S937" i="20"/>
  <c r="T937" i="20"/>
  <c r="U937" i="20"/>
  <c r="V937" i="20"/>
  <c r="W937" i="20"/>
  <c r="X937" i="20"/>
  <c r="Y937" i="20"/>
  <c r="AC937" i="20"/>
  <c r="M938" i="20"/>
  <c r="O938" i="20"/>
  <c r="S938" i="20"/>
  <c r="T938" i="20"/>
  <c r="U938" i="20"/>
  <c r="V938" i="20"/>
  <c r="W938" i="20"/>
  <c r="X938" i="20"/>
  <c r="Y938" i="20"/>
  <c r="AC938" i="20"/>
  <c r="M939" i="20"/>
  <c r="O939" i="20"/>
  <c r="S939" i="20"/>
  <c r="T939" i="20"/>
  <c r="U939" i="20"/>
  <c r="V939" i="20"/>
  <c r="W939" i="20"/>
  <c r="X939" i="20"/>
  <c r="Y939" i="20"/>
  <c r="AC939" i="20"/>
  <c r="M940" i="20"/>
  <c r="O940" i="20"/>
  <c r="S940" i="20"/>
  <c r="T940" i="20"/>
  <c r="U940" i="20"/>
  <c r="V940" i="20"/>
  <c r="W940" i="20"/>
  <c r="X940" i="20"/>
  <c r="Y940" i="20"/>
  <c r="AC940" i="20"/>
  <c r="M941" i="20"/>
  <c r="O941" i="20"/>
  <c r="S941" i="20"/>
  <c r="T941" i="20"/>
  <c r="U941" i="20"/>
  <c r="V941" i="20"/>
  <c r="W941" i="20"/>
  <c r="X941" i="20"/>
  <c r="Y941" i="20"/>
  <c r="AC941" i="20"/>
  <c r="M942" i="20"/>
  <c r="O942" i="20"/>
  <c r="S942" i="20"/>
  <c r="T942" i="20"/>
  <c r="U942" i="20"/>
  <c r="V942" i="20"/>
  <c r="W942" i="20"/>
  <c r="X942" i="20"/>
  <c r="Y942" i="20"/>
  <c r="AC942" i="20"/>
  <c r="M943" i="20"/>
  <c r="O943" i="20"/>
  <c r="S943" i="20"/>
  <c r="T943" i="20"/>
  <c r="U943" i="20"/>
  <c r="V943" i="20"/>
  <c r="W943" i="20"/>
  <c r="X943" i="20"/>
  <c r="Y943" i="20"/>
  <c r="AC943" i="20"/>
  <c r="M944" i="20"/>
  <c r="O944" i="20"/>
  <c r="S944" i="20"/>
  <c r="T944" i="20"/>
  <c r="U944" i="20"/>
  <c r="V944" i="20"/>
  <c r="W944" i="20"/>
  <c r="X944" i="20"/>
  <c r="Y944" i="20"/>
  <c r="AC944" i="20"/>
  <c r="M945" i="20"/>
  <c r="O945" i="20"/>
  <c r="S945" i="20"/>
  <c r="T945" i="20"/>
  <c r="U945" i="20"/>
  <c r="V945" i="20"/>
  <c r="W945" i="20"/>
  <c r="X945" i="20"/>
  <c r="Y945" i="20"/>
  <c r="AC945" i="20"/>
  <c r="M946" i="20"/>
  <c r="O946" i="20"/>
  <c r="S946" i="20"/>
  <c r="T946" i="20"/>
  <c r="U946" i="20"/>
  <c r="V946" i="20"/>
  <c r="W946" i="20"/>
  <c r="X946" i="20"/>
  <c r="Y946" i="20"/>
  <c r="AC946" i="20"/>
  <c r="M947" i="20"/>
  <c r="O947" i="20"/>
  <c r="S947" i="20"/>
  <c r="T947" i="20"/>
  <c r="U947" i="20"/>
  <c r="V947" i="20"/>
  <c r="W947" i="20"/>
  <c r="X947" i="20"/>
  <c r="Y947" i="20"/>
  <c r="AC947" i="20"/>
  <c r="M948" i="20"/>
  <c r="O948" i="20"/>
  <c r="S948" i="20"/>
  <c r="T948" i="20"/>
  <c r="U948" i="20"/>
  <c r="V948" i="20"/>
  <c r="W948" i="20"/>
  <c r="X948" i="20"/>
  <c r="Y948" i="20"/>
  <c r="AC948" i="20"/>
  <c r="M949" i="20"/>
  <c r="O949" i="20"/>
  <c r="S949" i="20"/>
  <c r="T949" i="20"/>
  <c r="U949" i="20"/>
  <c r="V949" i="20"/>
  <c r="W949" i="20"/>
  <c r="X949" i="20"/>
  <c r="Y949" i="20"/>
  <c r="AC949" i="20"/>
  <c r="M950" i="20"/>
  <c r="O950" i="20"/>
  <c r="S950" i="20"/>
  <c r="T950" i="20"/>
  <c r="U950" i="20"/>
  <c r="V950" i="20"/>
  <c r="W950" i="20"/>
  <c r="X950" i="20"/>
  <c r="Y950" i="20"/>
  <c r="AC950" i="20"/>
  <c r="M951" i="20"/>
  <c r="O951" i="20"/>
  <c r="S951" i="20"/>
  <c r="T951" i="20"/>
  <c r="U951" i="20"/>
  <c r="V951" i="20"/>
  <c r="W951" i="20"/>
  <c r="X951" i="20"/>
  <c r="Y951" i="20"/>
  <c r="AC951" i="20"/>
  <c r="M952" i="20"/>
  <c r="O952" i="20"/>
  <c r="S952" i="20"/>
  <c r="T952" i="20"/>
  <c r="U952" i="20"/>
  <c r="V952" i="20"/>
  <c r="W952" i="20"/>
  <c r="X952" i="20"/>
  <c r="Y952" i="20"/>
  <c r="AC952" i="20"/>
  <c r="M953" i="20"/>
  <c r="O953" i="20"/>
  <c r="S953" i="20"/>
  <c r="T953" i="20"/>
  <c r="U953" i="20"/>
  <c r="V953" i="20"/>
  <c r="W953" i="20"/>
  <c r="X953" i="20"/>
  <c r="Y953" i="20"/>
  <c r="AC953" i="20"/>
  <c r="M954" i="20"/>
  <c r="O954" i="20"/>
  <c r="S954" i="20"/>
  <c r="T954" i="20"/>
  <c r="U954" i="20"/>
  <c r="V954" i="20"/>
  <c r="W954" i="20"/>
  <c r="X954" i="20"/>
  <c r="Y954" i="20"/>
  <c r="AC954" i="20"/>
  <c r="M955" i="20"/>
  <c r="O955" i="20"/>
  <c r="S955" i="20"/>
  <c r="T955" i="20"/>
  <c r="U955" i="20"/>
  <c r="V955" i="20"/>
  <c r="W955" i="20"/>
  <c r="X955" i="20"/>
  <c r="Y955" i="20"/>
  <c r="AC955" i="20"/>
  <c r="M956" i="20"/>
  <c r="O956" i="20"/>
  <c r="S956" i="20"/>
  <c r="T956" i="20"/>
  <c r="U956" i="20"/>
  <c r="V956" i="20"/>
  <c r="W956" i="20"/>
  <c r="X956" i="20"/>
  <c r="Y956" i="20"/>
  <c r="AC956" i="20"/>
  <c r="M957" i="20"/>
  <c r="O957" i="20"/>
  <c r="S957" i="20"/>
  <c r="T957" i="20"/>
  <c r="U957" i="20"/>
  <c r="V957" i="20"/>
  <c r="W957" i="20"/>
  <c r="X957" i="20"/>
  <c r="Y957" i="20"/>
  <c r="AC957" i="20"/>
  <c r="M958" i="20"/>
  <c r="O958" i="20"/>
  <c r="S958" i="20"/>
  <c r="T958" i="20"/>
  <c r="U958" i="20"/>
  <c r="V958" i="20"/>
  <c r="W958" i="20"/>
  <c r="X958" i="20"/>
  <c r="Y958" i="20"/>
  <c r="AC958" i="20"/>
  <c r="M959" i="20"/>
  <c r="O959" i="20"/>
  <c r="S959" i="20"/>
  <c r="T959" i="20"/>
  <c r="U959" i="20"/>
  <c r="V959" i="20"/>
  <c r="W959" i="20"/>
  <c r="X959" i="20"/>
  <c r="Y959" i="20"/>
  <c r="AC959" i="20"/>
  <c r="M960" i="20"/>
  <c r="O960" i="20"/>
  <c r="S960" i="20"/>
  <c r="T960" i="20"/>
  <c r="U960" i="20"/>
  <c r="V960" i="20"/>
  <c r="W960" i="20"/>
  <c r="X960" i="20"/>
  <c r="Y960" i="20"/>
  <c r="AC960" i="20"/>
  <c r="M961" i="20"/>
  <c r="O961" i="20"/>
  <c r="S961" i="20"/>
  <c r="T961" i="20"/>
  <c r="U961" i="20"/>
  <c r="V961" i="20"/>
  <c r="W961" i="20"/>
  <c r="X961" i="20"/>
  <c r="Y961" i="20"/>
  <c r="AC961" i="20"/>
  <c r="M962" i="20"/>
  <c r="O962" i="20"/>
  <c r="S962" i="20"/>
  <c r="T962" i="20"/>
  <c r="U962" i="20"/>
  <c r="V962" i="20"/>
  <c r="W962" i="20"/>
  <c r="X962" i="20"/>
  <c r="Y962" i="20"/>
  <c r="AC962" i="20"/>
  <c r="M963" i="20"/>
  <c r="O963" i="20"/>
  <c r="S963" i="20"/>
  <c r="T963" i="20"/>
  <c r="U963" i="20"/>
  <c r="V963" i="20"/>
  <c r="W963" i="20"/>
  <c r="X963" i="20"/>
  <c r="Y963" i="20"/>
  <c r="AC963" i="20"/>
  <c r="M964" i="20"/>
  <c r="O964" i="20"/>
  <c r="S964" i="20"/>
  <c r="T964" i="20"/>
  <c r="U964" i="20"/>
  <c r="V964" i="20"/>
  <c r="W964" i="20"/>
  <c r="X964" i="20"/>
  <c r="Y964" i="20"/>
  <c r="AC964" i="20"/>
  <c r="M965" i="20"/>
  <c r="O965" i="20"/>
  <c r="S965" i="20"/>
  <c r="T965" i="20"/>
  <c r="U965" i="20"/>
  <c r="V965" i="20"/>
  <c r="W965" i="20"/>
  <c r="X965" i="20"/>
  <c r="Y965" i="20"/>
  <c r="AC965" i="20"/>
  <c r="M966" i="20"/>
  <c r="O966" i="20"/>
  <c r="S966" i="20"/>
  <c r="T966" i="20"/>
  <c r="U966" i="20"/>
  <c r="V966" i="20"/>
  <c r="W966" i="20"/>
  <c r="X966" i="20"/>
  <c r="Y966" i="20"/>
  <c r="AC966" i="20"/>
  <c r="M967" i="20"/>
  <c r="O967" i="20"/>
  <c r="S967" i="20"/>
  <c r="T967" i="20"/>
  <c r="U967" i="20"/>
  <c r="V967" i="20"/>
  <c r="W967" i="20"/>
  <c r="X967" i="20"/>
  <c r="Y967" i="20"/>
  <c r="AC967" i="20"/>
  <c r="M968" i="20"/>
  <c r="O968" i="20"/>
  <c r="S968" i="20"/>
  <c r="T968" i="20"/>
  <c r="U968" i="20"/>
  <c r="V968" i="20"/>
  <c r="W968" i="20"/>
  <c r="X968" i="20"/>
  <c r="Y968" i="20"/>
  <c r="AC968" i="20"/>
  <c r="M969" i="20"/>
  <c r="O969" i="20"/>
  <c r="S969" i="20"/>
  <c r="T969" i="20"/>
  <c r="U969" i="20"/>
  <c r="V969" i="20"/>
  <c r="W969" i="20"/>
  <c r="X969" i="20"/>
  <c r="Y969" i="20"/>
  <c r="AC969" i="20"/>
  <c r="M970" i="20"/>
  <c r="O970" i="20"/>
  <c r="S970" i="20"/>
  <c r="T970" i="20"/>
  <c r="U970" i="20"/>
  <c r="V970" i="20"/>
  <c r="W970" i="20"/>
  <c r="X970" i="20"/>
  <c r="Y970" i="20"/>
  <c r="AC970" i="20"/>
  <c r="M971" i="20"/>
  <c r="O971" i="20"/>
  <c r="S971" i="20"/>
  <c r="T971" i="20"/>
  <c r="U971" i="20"/>
  <c r="V971" i="20"/>
  <c r="W971" i="20"/>
  <c r="X971" i="20"/>
  <c r="Y971" i="20"/>
  <c r="AC971" i="20"/>
  <c r="M972" i="20"/>
  <c r="O972" i="20"/>
  <c r="S972" i="20"/>
  <c r="T972" i="20"/>
  <c r="U972" i="20"/>
  <c r="V972" i="20"/>
  <c r="W972" i="20"/>
  <c r="X972" i="20"/>
  <c r="Y972" i="20"/>
  <c r="AC972" i="20"/>
  <c r="M973" i="20"/>
  <c r="O973" i="20"/>
  <c r="S973" i="20"/>
  <c r="T973" i="20"/>
  <c r="U973" i="20"/>
  <c r="V973" i="20"/>
  <c r="W973" i="20"/>
  <c r="X973" i="20"/>
  <c r="Y973" i="20"/>
  <c r="AC973" i="20"/>
  <c r="M974" i="20"/>
  <c r="O974" i="20"/>
  <c r="S974" i="20"/>
  <c r="T974" i="20"/>
  <c r="U974" i="20"/>
  <c r="V974" i="20"/>
  <c r="W974" i="20"/>
  <c r="X974" i="20"/>
  <c r="Y974" i="20"/>
  <c r="AC974" i="20"/>
  <c r="M975" i="20"/>
  <c r="O975" i="20"/>
  <c r="S975" i="20"/>
  <c r="T975" i="20"/>
  <c r="U975" i="20"/>
  <c r="V975" i="20"/>
  <c r="W975" i="20"/>
  <c r="X975" i="20"/>
  <c r="Y975" i="20"/>
  <c r="AC975" i="20"/>
  <c r="M976" i="20"/>
  <c r="O976" i="20"/>
  <c r="S976" i="20"/>
  <c r="T976" i="20"/>
  <c r="U976" i="20"/>
  <c r="V976" i="20"/>
  <c r="W976" i="20"/>
  <c r="X976" i="20"/>
  <c r="Y976" i="20"/>
  <c r="AC976" i="20"/>
  <c r="M977" i="20"/>
  <c r="O977" i="20"/>
  <c r="S977" i="20"/>
  <c r="T977" i="20"/>
  <c r="U977" i="20"/>
  <c r="V977" i="20"/>
  <c r="W977" i="20"/>
  <c r="X977" i="20"/>
  <c r="Y977" i="20"/>
  <c r="AC977" i="20"/>
  <c r="M978" i="20"/>
  <c r="O978" i="20"/>
  <c r="S978" i="20"/>
  <c r="T978" i="20"/>
  <c r="U978" i="20"/>
  <c r="V978" i="20"/>
  <c r="W978" i="20"/>
  <c r="X978" i="20"/>
  <c r="Y978" i="20"/>
  <c r="AC978" i="20"/>
  <c r="M979" i="20"/>
  <c r="O979" i="20"/>
  <c r="S979" i="20"/>
  <c r="T979" i="20"/>
  <c r="U979" i="20"/>
  <c r="V979" i="20"/>
  <c r="W979" i="20"/>
  <c r="X979" i="20"/>
  <c r="Y979" i="20"/>
  <c r="AC979" i="20"/>
  <c r="M980" i="20"/>
  <c r="O980" i="20"/>
  <c r="S980" i="20"/>
  <c r="T980" i="20"/>
  <c r="U980" i="20"/>
  <c r="V980" i="20"/>
  <c r="W980" i="20"/>
  <c r="X980" i="20"/>
  <c r="Y980" i="20"/>
  <c r="AC980" i="20"/>
  <c r="M981" i="20"/>
  <c r="O981" i="20"/>
  <c r="S981" i="20"/>
  <c r="T981" i="20"/>
  <c r="U981" i="20"/>
  <c r="V981" i="20"/>
  <c r="W981" i="20"/>
  <c r="X981" i="20"/>
  <c r="Y981" i="20"/>
  <c r="AC981" i="20"/>
  <c r="M982" i="20"/>
  <c r="O982" i="20"/>
  <c r="S982" i="20"/>
  <c r="T982" i="20"/>
  <c r="U982" i="20"/>
  <c r="V982" i="20"/>
  <c r="W982" i="20"/>
  <c r="X982" i="20"/>
  <c r="Y982" i="20"/>
  <c r="AC982" i="20"/>
  <c r="M983" i="20"/>
  <c r="O983" i="20"/>
  <c r="S983" i="20"/>
  <c r="T983" i="20"/>
  <c r="U983" i="20"/>
  <c r="V983" i="20"/>
  <c r="W983" i="20"/>
  <c r="X983" i="20"/>
  <c r="Y983" i="20"/>
  <c r="AC983" i="20"/>
  <c r="M984" i="20"/>
  <c r="O984" i="20"/>
  <c r="S984" i="20"/>
  <c r="T984" i="20"/>
  <c r="U984" i="20"/>
  <c r="V984" i="20"/>
  <c r="W984" i="20"/>
  <c r="X984" i="20"/>
  <c r="Y984" i="20"/>
  <c r="AC984" i="20"/>
  <c r="M985" i="20"/>
  <c r="O985" i="20"/>
  <c r="S985" i="20"/>
  <c r="T985" i="20"/>
  <c r="U985" i="20"/>
  <c r="V985" i="20"/>
  <c r="W985" i="20"/>
  <c r="X985" i="20"/>
  <c r="Y985" i="20"/>
  <c r="AC985" i="20"/>
  <c r="M986" i="20"/>
  <c r="O986" i="20"/>
  <c r="S986" i="20"/>
  <c r="T986" i="20"/>
  <c r="U986" i="20"/>
  <c r="V986" i="20"/>
  <c r="W986" i="20"/>
  <c r="X986" i="20"/>
  <c r="Y986" i="20"/>
  <c r="AC986" i="20"/>
  <c r="M987" i="20"/>
  <c r="O987" i="20"/>
  <c r="S987" i="20"/>
  <c r="T987" i="20"/>
  <c r="U987" i="20"/>
  <c r="V987" i="20"/>
  <c r="W987" i="20"/>
  <c r="X987" i="20"/>
  <c r="Y987" i="20"/>
  <c r="AC987" i="20"/>
  <c r="M988" i="20"/>
  <c r="O988" i="20"/>
  <c r="S988" i="20"/>
  <c r="T988" i="20"/>
  <c r="U988" i="20"/>
  <c r="V988" i="20"/>
  <c r="W988" i="20"/>
  <c r="X988" i="20"/>
  <c r="Y988" i="20"/>
  <c r="AC988" i="20"/>
  <c r="M989" i="20"/>
  <c r="O989" i="20"/>
  <c r="S989" i="20"/>
  <c r="T989" i="20"/>
  <c r="U989" i="20"/>
  <c r="V989" i="20"/>
  <c r="W989" i="20"/>
  <c r="X989" i="20"/>
  <c r="Y989" i="20"/>
  <c r="AC989" i="20"/>
  <c r="M990" i="20"/>
  <c r="O990" i="20"/>
  <c r="S990" i="20"/>
  <c r="T990" i="20"/>
  <c r="U990" i="20"/>
  <c r="V990" i="20"/>
  <c r="W990" i="20"/>
  <c r="X990" i="20"/>
  <c r="Y990" i="20"/>
  <c r="AC990" i="20"/>
  <c r="M991" i="20"/>
  <c r="O991" i="20"/>
  <c r="S991" i="20"/>
  <c r="T991" i="20"/>
  <c r="U991" i="20"/>
  <c r="V991" i="20"/>
  <c r="W991" i="20"/>
  <c r="X991" i="20"/>
  <c r="Y991" i="20"/>
  <c r="AC991" i="20"/>
  <c r="M992" i="20"/>
  <c r="O992" i="20"/>
  <c r="S992" i="20"/>
  <c r="T992" i="20"/>
  <c r="U992" i="20"/>
  <c r="V992" i="20"/>
  <c r="W992" i="20"/>
  <c r="X992" i="20"/>
  <c r="Y992" i="20"/>
  <c r="AC992" i="20"/>
  <c r="M993" i="20"/>
  <c r="O993" i="20"/>
  <c r="S993" i="20"/>
  <c r="T993" i="20"/>
  <c r="U993" i="20"/>
  <c r="V993" i="20"/>
  <c r="W993" i="20"/>
  <c r="X993" i="20"/>
  <c r="Y993" i="20"/>
  <c r="AC993" i="20"/>
  <c r="M994" i="20"/>
  <c r="O994" i="20"/>
  <c r="S994" i="20"/>
  <c r="T994" i="20"/>
  <c r="U994" i="20"/>
  <c r="V994" i="20"/>
  <c r="W994" i="20"/>
  <c r="X994" i="20"/>
  <c r="Y994" i="20"/>
  <c r="AC994" i="20"/>
  <c r="M995" i="20"/>
  <c r="O995" i="20"/>
  <c r="S995" i="20"/>
  <c r="T995" i="20"/>
  <c r="U995" i="20"/>
  <c r="V995" i="20"/>
  <c r="W995" i="20"/>
  <c r="X995" i="20"/>
  <c r="Y995" i="20"/>
  <c r="AC995" i="20"/>
  <c r="M996" i="20"/>
  <c r="O996" i="20"/>
  <c r="S996" i="20"/>
  <c r="T996" i="20"/>
  <c r="U996" i="20"/>
  <c r="V996" i="20"/>
  <c r="W996" i="20"/>
  <c r="X996" i="20"/>
  <c r="Y996" i="20"/>
  <c r="AC996" i="20"/>
  <c r="M997" i="20"/>
  <c r="O997" i="20"/>
  <c r="S997" i="20"/>
  <c r="T997" i="20"/>
  <c r="U997" i="20"/>
  <c r="V997" i="20"/>
  <c r="W997" i="20"/>
  <c r="X997" i="20"/>
  <c r="Y997" i="20"/>
  <c r="AC997" i="20"/>
  <c r="M998" i="20"/>
  <c r="O998" i="20"/>
  <c r="S998" i="20"/>
  <c r="T998" i="20"/>
  <c r="U998" i="20"/>
  <c r="V998" i="20"/>
  <c r="W998" i="20"/>
  <c r="X998" i="20"/>
  <c r="Y998" i="20"/>
  <c r="AC998" i="20"/>
  <c r="M999" i="20"/>
  <c r="O999" i="20"/>
  <c r="S999" i="20"/>
  <c r="T999" i="20"/>
  <c r="U999" i="20"/>
  <c r="V999" i="20"/>
  <c r="W999" i="20"/>
  <c r="X999" i="20"/>
  <c r="Y999" i="20"/>
  <c r="AC999" i="20"/>
  <c r="M1000" i="20"/>
  <c r="O1000" i="20"/>
  <c r="S1000" i="20"/>
  <c r="T1000" i="20"/>
  <c r="U1000" i="20"/>
  <c r="V1000" i="20"/>
  <c r="W1000" i="20"/>
  <c r="X1000" i="20"/>
  <c r="Y1000" i="20"/>
  <c r="AC1000" i="20"/>
  <c r="M1001" i="20"/>
  <c r="O1001" i="20"/>
  <c r="S1001" i="20"/>
  <c r="T1001" i="20"/>
  <c r="U1001" i="20"/>
  <c r="V1001" i="20"/>
  <c r="W1001" i="20"/>
  <c r="X1001" i="20"/>
  <c r="Y1001" i="20"/>
  <c r="AC1001" i="20"/>
  <c r="M1002" i="20"/>
  <c r="O1002" i="20"/>
  <c r="S1002" i="20"/>
  <c r="T1002" i="20"/>
  <c r="U1002" i="20"/>
  <c r="V1002" i="20"/>
  <c r="W1002" i="20"/>
  <c r="X1002" i="20"/>
  <c r="Y1002" i="20"/>
  <c r="AC1002" i="20"/>
  <c r="M1003" i="20"/>
  <c r="O1003" i="20"/>
  <c r="S1003" i="20"/>
  <c r="T1003" i="20"/>
  <c r="U1003" i="20"/>
  <c r="V1003" i="20"/>
  <c r="W1003" i="20"/>
  <c r="X1003" i="20"/>
  <c r="Y1003" i="20"/>
  <c r="AC1003" i="20"/>
  <c r="M1004" i="20"/>
  <c r="O1004" i="20"/>
  <c r="S1004" i="20"/>
  <c r="T1004" i="20"/>
  <c r="U1004" i="20"/>
  <c r="V1004" i="20"/>
  <c r="W1004" i="20"/>
  <c r="X1004" i="20"/>
  <c r="Y1004" i="20"/>
  <c r="AC1004" i="20"/>
  <c r="M1005" i="20"/>
  <c r="O1005" i="20"/>
  <c r="S1005" i="20"/>
  <c r="T1005" i="20"/>
  <c r="U1005" i="20"/>
  <c r="V1005" i="20"/>
  <c r="W1005" i="20"/>
  <c r="X1005" i="20"/>
  <c r="Y1005" i="20"/>
  <c r="AC1005" i="20"/>
  <c r="M1006" i="20"/>
  <c r="O1006" i="20"/>
  <c r="S1006" i="20"/>
  <c r="T1006" i="20"/>
  <c r="U1006" i="20"/>
  <c r="V1006" i="20"/>
  <c r="W1006" i="20"/>
  <c r="X1006" i="20"/>
  <c r="Y1006" i="20"/>
  <c r="AC1006" i="20"/>
  <c r="M1007" i="20"/>
  <c r="O1007" i="20"/>
  <c r="S1007" i="20"/>
  <c r="T1007" i="20"/>
  <c r="U1007" i="20"/>
  <c r="V1007" i="20"/>
  <c r="W1007" i="20"/>
  <c r="X1007" i="20"/>
  <c r="Y1007" i="20"/>
  <c r="AC1007" i="20"/>
  <c r="M1008" i="20"/>
  <c r="O1008" i="20"/>
  <c r="S1008" i="20"/>
  <c r="T1008" i="20"/>
  <c r="U1008" i="20"/>
  <c r="V1008" i="20"/>
  <c r="W1008" i="20"/>
  <c r="X1008" i="20"/>
  <c r="Y1008" i="20"/>
  <c r="AC1008" i="20"/>
  <c r="M1009" i="20"/>
  <c r="O1009" i="20"/>
  <c r="S1009" i="20"/>
  <c r="T1009" i="20"/>
  <c r="U1009" i="20"/>
  <c r="V1009" i="20"/>
  <c r="W1009" i="20"/>
  <c r="X1009" i="20"/>
  <c r="Y1009" i="20"/>
  <c r="AC1009" i="20"/>
  <c r="M1010" i="20"/>
  <c r="O1010" i="20"/>
  <c r="S1010" i="20"/>
  <c r="T1010" i="20"/>
  <c r="U1010" i="20"/>
  <c r="V1010" i="20"/>
  <c r="W1010" i="20"/>
  <c r="X1010" i="20"/>
  <c r="Y1010" i="20"/>
  <c r="AC1010" i="20"/>
  <c r="M1011" i="20"/>
  <c r="O1011" i="20"/>
  <c r="S1011" i="20"/>
  <c r="T1011" i="20"/>
  <c r="U1011" i="20"/>
  <c r="V1011" i="20"/>
  <c r="W1011" i="20"/>
  <c r="X1011" i="20"/>
  <c r="Y1011" i="20"/>
  <c r="AC1011" i="20"/>
  <c r="M1012" i="20"/>
  <c r="O1012" i="20"/>
  <c r="S1012" i="20"/>
  <c r="T1012" i="20"/>
  <c r="U1012" i="20"/>
  <c r="V1012" i="20"/>
  <c r="W1012" i="20"/>
  <c r="X1012" i="20"/>
  <c r="Y1012" i="20"/>
  <c r="AC1012" i="20"/>
  <c r="M1013" i="20"/>
  <c r="O1013" i="20"/>
  <c r="S1013" i="20"/>
  <c r="T1013" i="20"/>
  <c r="U1013" i="20"/>
  <c r="V1013" i="20"/>
  <c r="W1013" i="20"/>
  <c r="X1013" i="20"/>
  <c r="Y1013" i="20"/>
  <c r="AC1013" i="20"/>
  <c r="M1014" i="20"/>
  <c r="O1014" i="20"/>
  <c r="S1014" i="20"/>
  <c r="T1014" i="20"/>
  <c r="U1014" i="20"/>
  <c r="V1014" i="20"/>
  <c r="W1014" i="20"/>
  <c r="X1014" i="20"/>
  <c r="Y1014" i="20"/>
  <c r="AC1014" i="20"/>
  <c r="M1015" i="20"/>
  <c r="O1015" i="20"/>
  <c r="S1015" i="20"/>
  <c r="T1015" i="20"/>
  <c r="U1015" i="20"/>
  <c r="V1015" i="20"/>
  <c r="W1015" i="20"/>
  <c r="X1015" i="20"/>
  <c r="Y1015" i="20"/>
  <c r="AC1015" i="20"/>
  <c r="M1016" i="20"/>
  <c r="O1016" i="20"/>
  <c r="S1016" i="20"/>
  <c r="T1016" i="20"/>
  <c r="U1016" i="20"/>
  <c r="V1016" i="20"/>
  <c r="W1016" i="20"/>
  <c r="X1016" i="20"/>
  <c r="Y1016" i="20"/>
  <c r="AC1016" i="20"/>
  <c r="M1017" i="20"/>
  <c r="O1017" i="20"/>
  <c r="S1017" i="20"/>
  <c r="T1017" i="20"/>
  <c r="U1017" i="20"/>
  <c r="V1017" i="20"/>
  <c r="W1017" i="20"/>
  <c r="X1017" i="20"/>
  <c r="Y1017" i="20"/>
  <c r="AC1017" i="20"/>
  <c r="M1018" i="20"/>
  <c r="O1018" i="20"/>
  <c r="S1018" i="20"/>
  <c r="T1018" i="20"/>
  <c r="U1018" i="20"/>
  <c r="V1018" i="20"/>
  <c r="W1018" i="20"/>
  <c r="X1018" i="20"/>
  <c r="Y1018" i="20"/>
  <c r="AC1018" i="20"/>
  <c r="M1019" i="20"/>
  <c r="O1019" i="20"/>
  <c r="S1019" i="20"/>
  <c r="T1019" i="20"/>
  <c r="U1019" i="20"/>
  <c r="V1019" i="20"/>
  <c r="W1019" i="20"/>
  <c r="X1019" i="20"/>
  <c r="Y1019" i="20"/>
  <c r="AC1019" i="20"/>
  <c r="M1020" i="20"/>
  <c r="O1020" i="20"/>
  <c r="S1020" i="20"/>
  <c r="T1020" i="20"/>
  <c r="U1020" i="20"/>
  <c r="V1020" i="20"/>
  <c r="W1020" i="20"/>
  <c r="X1020" i="20"/>
  <c r="Y1020" i="20"/>
  <c r="AC1020" i="20"/>
  <c r="M1021" i="20"/>
  <c r="O1021" i="20"/>
  <c r="S1021" i="20"/>
  <c r="T1021" i="20"/>
  <c r="U1021" i="20"/>
  <c r="V1021" i="20"/>
  <c r="W1021" i="20"/>
  <c r="X1021" i="20"/>
  <c r="Y1021" i="20"/>
  <c r="AC1021" i="20"/>
  <c r="M1022" i="20"/>
  <c r="O1022" i="20"/>
  <c r="S1022" i="20"/>
  <c r="T1022" i="20"/>
  <c r="U1022" i="20"/>
  <c r="V1022" i="20"/>
  <c r="W1022" i="20"/>
  <c r="X1022" i="20"/>
  <c r="Y1022" i="20"/>
  <c r="AC1022" i="20"/>
  <c r="M1023" i="20"/>
  <c r="O1023" i="20"/>
  <c r="S1023" i="20"/>
  <c r="T1023" i="20"/>
  <c r="U1023" i="20"/>
  <c r="V1023" i="20"/>
  <c r="W1023" i="20"/>
  <c r="X1023" i="20"/>
  <c r="Y1023" i="20"/>
  <c r="AC1023" i="20"/>
  <c r="M1024" i="20"/>
  <c r="O1024" i="20"/>
  <c r="S1024" i="20"/>
  <c r="T1024" i="20"/>
  <c r="U1024" i="20"/>
  <c r="V1024" i="20"/>
  <c r="W1024" i="20"/>
  <c r="X1024" i="20"/>
  <c r="Y1024" i="20"/>
  <c r="AC1024" i="20"/>
  <c r="M1025" i="20"/>
  <c r="O1025" i="20"/>
  <c r="S1025" i="20"/>
  <c r="T1025" i="20"/>
  <c r="U1025" i="20"/>
  <c r="V1025" i="20"/>
  <c r="W1025" i="20"/>
  <c r="X1025" i="20"/>
  <c r="Y1025" i="20"/>
  <c r="AC1025" i="20"/>
  <c r="M1026" i="20"/>
  <c r="O1026" i="20"/>
  <c r="S1026" i="20"/>
  <c r="T1026" i="20"/>
  <c r="U1026" i="20"/>
  <c r="V1026" i="20"/>
  <c r="W1026" i="20"/>
  <c r="X1026" i="20"/>
  <c r="Y1026" i="20"/>
  <c r="AC1026" i="20"/>
  <c r="M1027" i="20"/>
  <c r="O1027" i="20"/>
  <c r="S1027" i="20"/>
  <c r="T1027" i="20"/>
  <c r="U1027" i="20"/>
  <c r="V1027" i="20"/>
  <c r="W1027" i="20"/>
  <c r="X1027" i="20"/>
  <c r="Y1027" i="20"/>
  <c r="AC1027" i="20"/>
  <c r="M1028" i="20"/>
  <c r="O1028" i="20"/>
  <c r="S1028" i="20"/>
  <c r="T1028" i="20"/>
  <c r="U1028" i="20"/>
  <c r="V1028" i="20"/>
  <c r="W1028" i="20"/>
  <c r="X1028" i="20"/>
  <c r="Y1028" i="20"/>
  <c r="AC1028" i="20"/>
  <c r="M1029" i="20"/>
  <c r="O1029" i="20"/>
  <c r="S1029" i="20"/>
  <c r="T1029" i="20"/>
  <c r="U1029" i="20"/>
  <c r="V1029" i="20"/>
  <c r="W1029" i="20"/>
  <c r="X1029" i="20"/>
  <c r="Y1029" i="20"/>
  <c r="AC1029" i="20"/>
  <c r="M1030" i="20"/>
  <c r="O1030" i="20"/>
  <c r="S1030" i="20"/>
  <c r="T1030" i="20"/>
  <c r="U1030" i="20"/>
  <c r="V1030" i="20"/>
  <c r="W1030" i="20"/>
  <c r="X1030" i="20"/>
  <c r="Y1030" i="20"/>
  <c r="AC1030" i="20"/>
  <c r="M1031" i="20"/>
  <c r="O1031" i="20"/>
  <c r="S1031" i="20"/>
  <c r="T1031" i="20"/>
  <c r="U1031" i="20"/>
  <c r="V1031" i="20"/>
  <c r="W1031" i="20"/>
  <c r="X1031" i="20"/>
  <c r="Y1031" i="20"/>
  <c r="AC1031" i="20"/>
  <c r="M1032" i="20"/>
  <c r="O1032" i="20"/>
  <c r="S1032" i="20"/>
  <c r="T1032" i="20"/>
  <c r="U1032" i="20"/>
  <c r="V1032" i="20"/>
  <c r="W1032" i="20"/>
  <c r="X1032" i="20"/>
  <c r="Y1032" i="20"/>
  <c r="AC1032" i="20"/>
  <c r="M1033" i="20"/>
  <c r="O1033" i="20"/>
  <c r="S1033" i="20"/>
  <c r="T1033" i="20"/>
  <c r="U1033" i="20"/>
  <c r="V1033" i="20"/>
  <c r="W1033" i="20"/>
  <c r="X1033" i="20"/>
  <c r="Y1033" i="20"/>
  <c r="AC1033" i="20"/>
  <c r="M1034" i="20"/>
  <c r="O1034" i="20"/>
  <c r="S1034" i="20"/>
  <c r="T1034" i="20"/>
  <c r="U1034" i="20"/>
  <c r="V1034" i="20"/>
  <c r="W1034" i="20"/>
  <c r="X1034" i="20"/>
  <c r="Y1034" i="20"/>
  <c r="AC1034" i="20"/>
  <c r="M1035" i="20"/>
  <c r="O1035" i="20"/>
  <c r="S1035" i="20"/>
  <c r="T1035" i="20"/>
  <c r="U1035" i="20"/>
  <c r="V1035" i="20"/>
  <c r="W1035" i="20"/>
  <c r="X1035" i="20"/>
  <c r="Y1035" i="20"/>
  <c r="AC1035" i="20"/>
  <c r="M1036" i="20"/>
  <c r="O1036" i="20"/>
  <c r="S1036" i="20"/>
  <c r="T1036" i="20"/>
  <c r="U1036" i="20"/>
  <c r="V1036" i="20"/>
  <c r="W1036" i="20"/>
  <c r="X1036" i="20"/>
  <c r="Y1036" i="20"/>
  <c r="AC1036" i="20"/>
  <c r="M1037" i="20"/>
  <c r="O1037" i="20"/>
  <c r="S1037" i="20"/>
  <c r="T1037" i="20"/>
  <c r="U1037" i="20"/>
  <c r="V1037" i="20"/>
  <c r="W1037" i="20"/>
  <c r="X1037" i="20"/>
  <c r="Y1037" i="20"/>
  <c r="AC1037" i="20"/>
  <c r="M1038" i="20"/>
  <c r="O1038" i="20"/>
  <c r="S1038" i="20"/>
  <c r="T1038" i="20"/>
  <c r="U1038" i="20"/>
  <c r="V1038" i="20"/>
  <c r="W1038" i="20"/>
  <c r="X1038" i="20"/>
  <c r="Y1038" i="20"/>
  <c r="AC1038" i="20"/>
  <c r="M1039" i="20"/>
  <c r="O1039" i="20"/>
  <c r="S1039" i="20"/>
  <c r="T1039" i="20"/>
  <c r="U1039" i="20"/>
  <c r="V1039" i="20"/>
  <c r="W1039" i="20"/>
  <c r="X1039" i="20"/>
  <c r="Y1039" i="20"/>
  <c r="AC1039" i="20"/>
  <c r="M1040" i="20"/>
  <c r="O1040" i="20"/>
  <c r="S1040" i="20"/>
  <c r="T1040" i="20"/>
  <c r="U1040" i="20"/>
  <c r="V1040" i="20"/>
  <c r="W1040" i="20"/>
  <c r="X1040" i="20"/>
  <c r="Y1040" i="20"/>
  <c r="AC1040" i="20"/>
  <c r="M1041" i="20"/>
  <c r="O1041" i="20"/>
  <c r="S1041" i="20"/>
  <c r="T1041" i="20"/>
  <c r="U1041" i="20"/>
  <c r="V1041" i="20"/>
  <c r="W1041" i="20"/>
  <c r="X1041" i="20"/>
  <c r="Y1041" i="20"/>
  <c r="AC1041" i="20"/>
  <c r="M1042" i="20"/>
  <c r="O1042" i="20"/>
  <c r="S1042" i="20"/>
  <c r="T1042" i="20"/>
  <c r="U1042" i="20"/>
  <c r="V1042" i="20"/>
  <c r="W1042" i="20"/>
  <c r="X1042" i="20"/>
  <c r="Y1042" i="20"/>
  <c r="AC1042" i="20"/>
  <c r="M1043" i="20"/>
  <c r="O1043" i="20"/>
  <c r="S1043" i="20"/>
  <c r="T1043" i="20"/>
  <c r="U1043" i="20"/>
  <c r="V1043" i="20"/>
  <c r="W1043" i="20"/>
  <c r="X1043" i="20"/>
  <c r="Y1043" i="20"/>
  <c r="AC1043" i="20"/>
  <c r="M1044" i="20"/>
  <c r="O1044" i="20"/>
  <c r="S1044" i="20"/>
  <c r="T1044" i="20"/>
  <c r="U1044" i="20"/>
  <c r="V1044" i="20"/>
  <c r="W1044" i="20"/>
  <c r="X1044" i="20"/>
  <c r="Y1044" i="20"/>
  <c r="AC1044" i="20"/>
  <c r="M1045" i="20"/>
  <c r="O1045" i="20"/>
  <c r="S1045" i="20"/>
  <c r="T1045" i="20"/>
  <c r="U1045" i="20"/>
  <c r="V1045" i="20"/>
  <c r="W1045" i="20"/>
  <c r="X1045" i="20"/>
  <c r="Y1045" i="20"/>
  <c r="AC1045" i="20"/>
  <c r="M1046" i="20"/>
  <c r="O1046" i="20"/>
  <c r="S1046" i="20"/>
  <c r="T1046" i="20"/>
  <c r="U1046" i="20"/>
  <c r="V1046" i="20"/>
  <c r="W1046" i="20"/>
  <c r="X1046" i="20"/>
  <c r="Y1046" i="20"/>
  <c r="AC1046" i="20"/>
  <c r="M1047" i="20"/>
  <c r="O1047" i="20"/>
  <c r="S1047" i="20"/>
  <c r="T1047" i="20"/>
  <c r="U1047" i="20"/>
  <c r="V1047" i="20"/>
  <c r="W1047" i="20"/>
  <c r="X1047" i="20"/>
  <c r="Y1047" i="20"/>
  <c r="AC1047" i="20"/>
  <c r="M1048" i="20"/>
  <c r="O1048" i="20"/>
  <c r="S1048" i="20"/>
  <c r="T1048" i="20"/>
  <c r="U1048" i="20"/>
  <c r="V1048" i="20"/>
  <c r="W1048" i="20"/>
  <c r="X1048" i="20"/>
  <c r="Y1048" i="20"/>
  <c r="AC1048" i="20"/>
  <c r="M1049" i="20"/>
  <c r="O1049" i="20"/>
  <c r="S1049" i="20"/>
  <c r="T1049" i="20"/>
  <c r="U1049" i="20"/>
  <c r="V1049" i="20"/>
  <c r="W1049" i="20"/>
  <c r="X1049" i="20"/>
  <c r="Y1049" i="20"/>
  <c r="AC1049" i="20"/>
  <c r="M1050" i="20"/>
  <c r="O1050" i="20"/>
  <c r="S1050" i="20"/>
  <c r="T1050" i="20"/>
  <c r="U1050" i="20"/>
  <c r="V1050" i="20"/>
  <c r="W1050" i="20"/>
  <c r="X1050" i="20"/>
  <c r="Y1050" i="20"/>
  <c r="AC1050" i="20"/>
  <c r="M1051" i="20"/>
  <c r="O1051" i="20"/>
  <c r="S1051" i="20"/>
  <c r="T1051" i="20"/>
  <c r="U1051" i="20"/>
  <c r="V1051" i="20"/>
  <c r="W1051" i="20"/>
  <c r="X1051" i="20"/>
  <c r="Y1051" i="20"/>
  <c r="AC1051" i="20"/>
  <c r="M1052" i="20"/>
  <c r="O1052" i="20"/>
  <c r="S1052" i="20"/>
  <c r="T1052" i="20"/>
  <c r="U1052" i="20"/>
  <c r="V1052" i="20"/>
  <c r="W1052" i="20"/>
  <c r="X1052" i="20"/>
  <c r="Y1052" i="20"/>
  <c r="AC1052" i="20"/>
  <c r="M1053" i="20"/>
  <c r="O1053" i="20"/>
  <c r="S1053" i="20"/>
  <c r="T1053" i="20"/>
  <c r="U1053" i="20"/>
  <c r="V1053" i="20"/>
  <c r="W1053" i="20"/>
  <c r="X1053" i="20"/>
  <c r="Y1053" i="20"/>
  <c r="AC1053" i="20"/>
  <c r="M1054" i="20"/>
  <c r="O1054" i="20"/>
  <c r="S1054" i="20"/>
  <c r="T1054" i="20"/>
  <c r="U1054" i="20"/>
  <c r="V1054" i="20"/>
  <c r="W1054" i="20"/>
  <c r="X1054" i="20"/>
  <c r="Y1054" i="20"/>
  <c r="AC1054" i="20"/>
  <c r="M1055" i="20"/>
  <c r="O1055" i="20"/>
  <c r="S1055" i="20"/>
  <c r="T1055" i="20"/>
  <c r="U1055" i="20"/>
  <c r="V1055" i="20"/>
  <c r="W1055" i="20"/>
  <c r="X1055" i="20"/>
  <c r="Y1055" i="20"/>
  <c r="AC1055" i="20"/>
  <c r="M1056" i="20"/>
  <c r="O1056" i="20"/>
  <c r="S1056" i="20"/>
  <c r="T1056" i="20"/>
  <c r="U1056" i="20"/>
  <c r="V1056" i="20"/>
  <c r="W1056" i="20"/>
  <c r="X1056" i="20"/>
  <c r="Y1056" i="20"/>
  <c r="AC1056" i="20"/>
  <c r="M1057" i="20"/>
  <c r="O1057" i="20"/>
  <c r="S1057" i="20"/>
  <c r="T1057" i="20"/>
  <c r="U1057" i="20"/>
  <c r="V1057" i="20"/>
  <c r="W1057" i="20"/>
  <c r="X1057" i="20"/>
  <c r="Y1057" i="20"/>
  <c r="AC1057" i="20"/>
  <c r="M1058" i="20"/>
  <c r="O1058" i="20"/>
  <c r="S1058" i="20"/>
  <c r="T1058" i="20"/>
  <c r="U1058" i="20"/>
  <c r="V1058" i="20"/>
  <c r="W1058" i="20"/>
  <c r="X1058" i="20"/>
  <c r="Y1058" i="20"/>
  <c r="AC1058" i="20"/>
  <c r="M1059" i="20"/>
  <c r="O1059" i="20"/>
  <c r="S1059" i="20"/>
  <c r="T1059" i="20"/>
  <c r="U1059" i="20"/>
  <c r="V1059" i="20"/>
  <c r="W1059" i="20"/>
  <c r="X1059" i="20"/>
  <c r="Y1059" i="20"/>
  <c r="AC1059" i="20"/>
  <c r="M1060" i="20"/>
  <c r="O1060" i="20"/>
  <c r="S1060" i="20"/>
  <c r="T1060" i="20"/>
  <c r="U1060" i="20"/>
  <c r="V1060" i="20"/>
  <c r="W1060" i="20"/>
  <c r="X1060" i="20"/>
  <c r="Y1060" i="20"/>
  <c r="AC1060" i="20"/>
  <c r="M1061" i="20"/>
  <c r="O1061" i="20"/>
  <c r="S1061" i="20"/>
  <c r="T1061" i="20"/>
  <c r="U1061" i="20"/>
  <c r="V1061" i="20"/>
  <c r="W1061" i="20"/>
  <c r="X1061" i="20"/>
  <c r="Y1061" i="20"/>
  <c r="AC1061" i="20"/>
  <c r="M1062" i="20"/>
  <c r="O1062" i="20"/>
  <c r="S1062" i="20"/>
  <c r="T1062" i="20"/>
  <c r="U1062" i="20"/>
  <c r="V1062" i="20"/>
  <c r="W1062" i="20"/>
  <c r="X1062" i="20"/>
  <c r="Y1062" i="20"/>
  <c r="AC1062" i="20"/>
  <c r="M1063" i="20"/>
  <c r="O1063" i="20"/>
  <c r="S1063" i="20"/>
  <c r="T1063" i="20"/>
  <c r="U1063" i="20"/>
  <c r="V1063" i="20"/>
  <c r="W1063" i="20"/>
  <c r="X1063" i="20"/>
  <c r="Y1063" i="20"/>
  <c r="AC1063" i="20"/>
  <c r="M1064" i="20"/>
  <c r="O1064" i="20"/>
  <c r="S1064" i="20"/>
  <c r="T1064" i="20"/>
  <c r="U1064" i="20"/>
  <c r="V1064" i="20"/>
  <c r="W1064" i="20"/>
  <c r="X1064" i="20"/>
  <c r="Y1064" i="20"/>
  <c r="AC1064" i="20"/>
  <c r="M1065" i="20"/>
  <c r="O1065" i="20"/>
  <c r="S1065" i="20"/>
  <c r="T1065" i="20"/>
  <c r="U1065" i="20"/>
  <c r="V1065" i="20"/>
  <c r="W1065" i="20"/>
  <c r="X1065" i="20"/>
  <c r="Y1065" i="20"/>
  <c r="AC1065" i="20"/>
  <c r="M1066" i="20"/>
  <c r="O1066" i="20"/>
  <c r="S1066" i="20"/>
  <c r="T1066" i="20"/>
  <c r="U1066" i="20"/>
  <c r="V1066" i="20"/>
  <c r="W1066" i="20"/>
  <c r="X1066" i="20"/>
  <c r="Y1066" i="20"/>
  <c r="AC1066" i="20"/>
  <c r="M1067" i="20"/>
  <c r="O1067" i="20"/>
  <c r="S1067" i="20"/>
  <c r="T1067" i="20"/>
  <c r="U1067" i="20"/>
  <c r="V1067" i="20"/>
  <c r="W1067" i="20"/>
  <c r="X1067" i="20"/>
  <c r="Y1067" i="20"/>
  <c r="AC1067" i="20"/>
  <c r="M1068" i="20"/>
  <c r="O1068" i="20"/>
  <c r="S1068" i="20"/>
  <c r="T1068" i="20"/>
  <c r="U1068" i="20"/>
  <c r="V1068" i="20"/>
  <c r="W1068" i="20"/>
  <c r="X1068" i="20"/>
  <c r="Y1068" i="20"/>
  <c r="AC1068" i="20"/>
  <c r="M1069" i="20"/>
  <c r="O1069" i="20"/>
  <c r="S1069" i="20"/>
  <c r="T1069" i="20"/>
  <c r="U1069" i="20"/>
  <c r="V1069" i="20"/>
  <c r="W1069" i="20"/>
  <c r="X1069" i="20"/>
  <c r="Y1069" i="20"/>
  <c r="AC1069" i="20"/>
  <c r="M1070" i="20"/>
  <c r="O1070" i="20"/>
  <c r="S1070" i="20"/>
  <c r="T1070" i="20"/>
  <c r="U1070" i="20"/>
  <c r="V1070" i="20"/>
  <c r="W1070" i="20"/>
  <c r="X1070" i="20"/>
  <c r="Y1070" i="20"/>
  <c r="AC1070" i="20"/>
  <c r="M1071" i="20"/>
  <c r="O1071" i="20"/>
  <c r="S1071" i="20"/>
  <c r="T1071" i="20"/>
  <c r="U1071" i="20"/>
  <c r="V1071" i="20"/>
  <c r="W1071" i="20"/>
  <c r="X1071" i="20"/>
  <c r="Y1071" i="20"/>
  <c r="AC1071" i="20"/>
  <c r="M1072" i="20"/>
  <c r="O1072" i="20"/>
  <c r="S1072" i="20"/>
  <c r="T1072" i="20"/>
  <c r="U1072" i="20"/>
  <c r="V1072" i="20"/>
  <c r="W1072" i="20"/>
  <c r="X1072" i="20"/>
  <c r="Y1072" i="20"/>
  <c r="AC1072" i="20"/>
  <c r="M1073" i="20"/>
  <c r="O1073" i="20"/>
  <c r="S1073" i="20"/>
  <c r="T1073" i="20"/>
  <c r="U1073" i="20"/>
  <c r="V1073" i="20"/>
  <c r="W1073" i="20"/>
  <c r="X1073" i="20"/>
  <c r="Y1073" i="20"/>
  <c r="AC1073" i="20"/>
  <c r="M1074" i="20"/>
  <c r="O1074" i="20"/>
  <c r="S1074" i="20"/>
  <c r="T1074" i="20"/>
  <c r="U1074" i="20"/>
  <c r="V1074" i="20"/>
  <c r="W1074" i="20"/>
  <c r="X1074" i="20"/>
  <c r="Y1074" i="20"/>
  <c r="AC1074" i="20"/>
  <c r="M1075" i="20"/>
  <c r="O1075" i="20"/>
  <c r="S1075" i="20"/>
  <c r="T1075" i="20"/>
  <c r="U1075" i="20"/>
  <c r="V1075" i="20"/>
  <c r="W1075" i="20"/>
  <c r="X1075" i="20"/>
  <c r="Y1075" i="20"/>
  <c r="AC1075" i="20"/>
  <c r="M1076" i="20"/>
  <c r="O1076" i="20"/>
  <c r="S1076" i="20"/>
  <c r="T1076" i="20"/>
  <c r="U1076" i="20"/>
  <c r="V1076" i="20"/>
  <c r="W1076" i="20"/>
  <c r="X1076" i="20"/>
  <c r="Y1076" i="20"/>
  <c r="AC1076" i="20"/>
  <c r="M1077" i="20"/>
  <c r="O1077" i="20"/>
  <c r="S1077" i="20"/>
  <c r="T1077" i="20"/>
  <c r="U1077" i="20"/>
  <c r="V1077" i="20"/>
  <c r="W1077" i="20"/>
  <c r="X1077" i="20"/>
  <c r="Y1077" i="20"/>
  <c r="AC1077" i="20"/>
  <c r="M1078" i="20"/>
  <c r="O1078" i="20"/>
  <c r="S1078" i="20"/>
  <c r="T1078" i="20"/>
  <c r="U1078" i="20"/>
  <c r="V1078" i="20"/>
  <c r="W1078" i="20"/>
  <c r="X1078" i="20"/>
  <c r="Y1078" i="20"/>
  <c r="AC1078" i="20"/>
  <c r="M1079" i="20"/>
  <c r="O1079" i="20"/>
  <c r="S1079" i="20"/>
  <c r="T1079" i="20"/>
  <c r="U1079" i="20"/>
  <c r="V1079" i="20"/>
  <c r="W1079" i="20"/>
  <c r="X1079" i="20"/>
  <c r="Y1079" i="20"/>
  <c r="AC1079" i="20"/>
  <c r="M1080" i="20"/>
  <c r="O1080" i="20"/>
  <c r="S1080" i="20"/>
  <c r="T1080" i="20"/>
  <c r="U1080" i="20"/>
  <c r="V1080" i="20"/>
  <c r="W1080" i="20"/>
  <c r="X1080" i="20"/>
  <c r="Y1080" i="20"/>
  <c r="AC1080" i="20"/>
  <c r="M1081" i="20"/>
  <c r="O1081" i="20"/>
  <c r="S1081" i="20"/>
  <c r="T1081" i="20"/>
  <c r="U1081" i="20"/>
  <c r="V1081" i="20"/>
  <c r="W1081" i="20"/>
  <c r="X1081" i="20"/>
  <c r="Y1081" i="20"/>
  <c r="AC1081" i="20"/>
  <c r="M1082" i="20"/>
  <c r="O1082" i="20"/>
  <c r="S1082" i="20"/>
  <c r="T1082" i="20"/>
  <c r="U1082" i="20"/>
  <c r="V1082" i="20"/>
  <c r="W1082" i="20"/>
  <c r="X1082" i="20"/>
  <c r="Y1082" i="20"/>
  <c r="AC1082" i="20"/>
  <c r="M1083" i="20"/>
  <c r="O1083" i="20"/>
  <c r="S1083" i="20"/>
  <c r="T1083" i="20"/>
  <c r="U1083" i="20"/>
  <c r="V1083" i="20"/>
  <c r="W1083" i="20"/>
  <c r="X1083" i="20"/>
  <c r="Y1083" i="20"/>
  <c r="AC1083" i="20"/>
  <c r="M1084" i="20"/>
  <c r="O1084" i="20"/>
  <c r="S1084" i="20"/>
  <c r="T1084" i="20"/>
  <c r="U1084" i="20"/>
  <c r="V1084" i="20"/>
  <c r="W1084" i="20"/>
  <c r="X1084" i="20"/>
  <c r="Y1084" i="20"/>
  <c r="AC1084" i="20"/>
  <c r="M1085" i="20"/>
  <c r="O1085" i="20"/>
  <c r="S1085" i="20"/>
  <c r="T1085" i="20"/>
  <c r="U1085" i="20"/>
  <c r="V1085" i="20"/>
  <c r="W1085" i="20"/>
  <c r="X1085" i="20"/>
  <c r="Y1085" i="20"/>
  <c r="AC1085" i="20"/>
  <c r="M1086" i="20"/>
  <c r="O1086" i="20"/>
  <c r="S1086" i="20"/>
  <c r="T1086" i="20"/>
  <c r="U1086" i="20"/>
  <c r="V1086" i="20"/>
  <c r="W1086" i="20"/>
  <c r="X1086" i="20"/>
  <c r="Y1086" i="20"/>
  <c r="AC1086" i="20"/>
  <c r="M1087" i="20"/>
  <c r="O1087" i="20"/>
  <c r="S1087" i="20"/>
  <c r="T1087" i="20"/>
  <c r="U1087" i="20"/>
  <c r="V1087" i="20"/>
  <c r="W1087" i="20"/>
  <c r="X1087" i="20"/>
  <c r="Y1087" i="20"/>
  <c r="AC1087" i="20"/>
  <c r="M1088" i="20"/>
  <c r="O1088" i="20"/>
  <c r="S1088" i="20"/>
  <c r="T1088" i="20"/>
  <c r="U1088" i="20"/>
  <c r="V1088" i="20"/>
  <c r="W1088" i="20"/>
  <c r="X1088" i="20"/>
  <c r="Y1088" i="20"/>
  <c r="AC1088" i="20"/>
  <c r="M1089" i="20"/>
  <c r="O1089" i="20"/>
  <c r="S1089" i="20"/>
  <c r="T1089" i="20"/>
  <c r="U1089" i="20"/>
  <c r="V1089" i="20"/>
  <c r="W1089" i="20"/>
  <c r="X1089" i="20"/>
  <c r="Y1089" i="20"/>
  <c r="AC1089" i="20"/>
  <c r="M1090" i="20"/>
  <c r="O1090" i="20"/>
  <c r="S1090" i="20"/>
  <c r="T1090" i="20"/>
  <c r="U1090" i="20"/>
  <c r="V1090" i="20"/>
  <c r="W1090" i="20"/>
  <c r="X1090" i="20"/>
  <c r="Y1090" i="20"/>
  <c r="AC1090" i="20"/>
  <c r="M1091" i="20"/>
  <c r="O1091" i="20"/>
  <c r="S1091" i="20"/>
  <c r="T1091" i="20"/>
  <c r="U1091" i="20"/>
  <c r="V1091" i="20"/>
  <c r="W1091" i="20"/>
  <c r="X1091" i="20"/>
  <c r="Y1091" i="20"/>
  <c r="AC1091" i="20"/>
  <c r="M1092" i="20"/>
  <c r="O1092" i="20"/>
  <c r="S1092" i="20"/>
  <c r="T1092" i="20"/>
  <c r="U1092" i="20"/>
  <c r="V1092" i="20"/>
  <c r="W1092" i="20"/>
  <c r="X1092" i="20"/>
  <c r="Y1092" i="20"/>
  <c r="AC1092" i="20"/>
  <c r="M1093" i="20"/>
  <c r="O1093" i="20"/>
  <c r="S1093" i="20"/>
  <c r="T1093" i="20"/>
  <c r="U1093" i="20"/>
  <c r="V1093" i="20"/>
  <c r="W1093" i="20"/>
  <c r="X1093" i="20"/>
  <c r="Y1093" i="20"/>
  <c r="AC1093" i="20"/>
  <c r="M1094" i="20"/>
  <c r="O1094" i="20"/>
  <c r="S1094" i="20"/>
  <c r="T1094" i="20"/>
  <c r="U1094" i="20"/>
  <c r="V1094" i="20"/>
  <c r="W1094" i="20"/>
  <c r="X1094" i="20"/>
  <c r="Y1094" i="20"/>
  <c r="AC1094" i="20"/>
  <c r="M1095" i="20"/>
  <c r="O1095" i="20"/>
  <c r="S1095" i="20"/>
  <c r="T1095" i="20"/>
  <c r="U1095" i="20"/>
  <c r="V1095" i="20"/>
  <c r="W1095" i="20"/>
  <c r="X1095" i="20"/>
  <c r="Y1095" i="20"/>
  <c r="AC1095" i="20"/>
  <c r="M1096" i="20"/>
  <c r="O1096" i="20"/>
  <c r="S1096" i="20"/>
  <c r="T1096" i="20"/>
  <c r="U1096" i="20"/>
  <c r="V1096" i="20"/>
  <c r="W1096" i="20"/>
  <c r="X1096" i="20"/>
  <c r="Y1096" i="20"/>
  <c r="AC1096" i="20"/>
  <c r="M1097" i="20"/>
  <c r="O1097" i="20"/>
  <c r="S1097" i="20"/>
  <c r="T1097" i="20"/>
  <c r="U1097" i="20"/>
  <c r="V1097" i="20"/>
  <c r="W1097" i="20"/>
  <c r="X1097" i="20"/>
  <c r="Y1097" i="20"/>
  <c r="AC1097" i="20"/>
  <c r="M1098" i="20"/>
  <c r="O1098" i="20"/>
  <c r="S1098" i="20"/>
  <c r="T1098" i="20"/>
  <c r="U1098" i="20"/>
  <c r="V1098" i="20"/>
  <c r="W1098" i="20"/>
  <c r="X1098" i="20"/>
  <c r="Y1098" i="20"/>
  <c r="AC1098" i="20"/>
  <c r="M1099" i="20"/>
  <c r="O1099" i="20"/>
  <c r="S1099" i="20"/>
  <c r="T1099" i="20"/>
  <c r="U1099" i="20"/>
  <c r="V1099" i="20"/>
  <c r="W1099" i="20"/>
  <c r="X1099" i="20"/>
  <c r="Y1099" i="20"/>
  <c r="AC1099" i="20"/>
  <c r="M1100" i="20"/>
  <c r="O1100" i="20"/>
  <c r="S1100" i="20"/>
  <c r="T1100" i="20"/>
  <c r="U1100" i="20"/>
  <c r="V1100" i="20"/>
  <c r="W1100" i="20"/>
  <c r="X1100" i="20"/>
  <c r="Y1100" i="20"/>
  <c r="AC1100" i="20"/>
  <c r="M1101" i="20"/>
  <c r="O1101" i="20"/>
  <c r="S1101" i="20"/>
  <c r="T1101" i="20"/>
  <c r="U1101" i="20"/>
  <c r="V1101" i="20"/>
  <c r="W1101" i="20"/>
  <c r="X1101" i="20"/>
  <c r="Y1101" i="20"/>
  <c r="AC1101" i="20"/>
  <c r="M1102" i="20"/>
  <c r="O1102" i="20"/>
  <c r="S1102" i="20"/>
  <c r="T1102" i="20"/>
  <c r="U1102" i="20"/>
  <c r="V1102" i="20"/>
  <c r="W1102" i="20"/>
  <c r="X1102" i="20"/>
  <c r="Y1102" i="20"/>
  <c r="AC1102" i="20"/>
  <c r="M1103" i="20"/>
  <c r="O1103" i="20"/>
  <c r="S1103" i="20"/>
  <c r="T1103" i="20"/>
  <c r="U1103" i="20"/>
  <c r="V1103" i="20"/>
  <c r="W1103" i="20"/>
  <c r="X1103" i="20"/>
  <c r="Y1103" i="20"/>
  <c r="AC1103" i="20"/>
  <c r="M1104" i="20"/>
  <c r="O1104" i="20"/>
  <c r="S1104" i="20"/>
  <c r="T1104" i="20"/>
  <c r="U1104" i="20"/>
  <c r="V1104" i="20"/>
  <c r="W1104" i="20"/>
  <c r="X1104" i="20"/>
  <c r="Y1104" i="20"/>
  <c r="AC1104" i="20"/>
  <c r="M1105" i="20"/>
  <c r="O1105" i="20"/>
  <c r="S1105" i="20"/>
  <c r="T1105" i="20"/>
  <c r="U1105" i="20"/>
  <c r="V1105" i="20"/>
  <c r="W1105" i="20"/>
  <c r="X1105" i="20"/>
  <c r="Y1105" i="20"/>
  <c r="AC1105" i="20"/>
  <c r="M1106" i="20"/>
  <c r="O1106" i="20"/>
  <c r="S1106" i="20"/>
  <c r="T1106" i="20"/>
  <c r="U1106" i="20"/>
  <c r="V1106" i="20"/>
  <c r="W1106" i="20"/>
  <c r="X1106" i="20"/>
  <c r="Y1106" i="20"/>
  <c r="AC1106" i="20"/>
  <c r="M1107" i="20"/>
  <c r="O1107" i="20"/>
  <c r="S1107" i="20"/>
  <c r="T1107" i="20"/>
  <c r="U1107" i="20"/>
  <c r="V1107" i="20"/>
  <c r="W1107" i="20"/>
  <c r="X1107" i="20"/>
  <c r="Y1107" i="20"/>
  <c r="AC1107" i="20"/>
  <c r="M1108" i="20"/>
  <c r="O1108" i="20"/>
  <c r="S1108" i="20"/>
  <c r="T1108" i="20"/>
  <c r="U1108" i="20"/>
  <c r="V1108" i="20"/>
  <c r="W1108" i="20"/>
  <c r="X1108" i="20"/>
  <c r="Y1108" i="20"/>
  <c r="AC1108" i="20"/>
  <c r="M1109" i="20"/>
  <c r="O1109" i="20"/>
  <c r="S1109" i="20"/>
  <c r="T1109" i="20"/>
  <c r="U1109" i="20"/>
  <c r="V1109" i="20"/>
  <c r="W1109" i="20"/>
  <c r="X1109" i="20"/>
  <c r="Y1109" i="20"/>
  <c r="AC1109" i="20"/>
  <c r="M1110" i="20"/>
  <c r="O1110" i="20"/>
  <c r="S1110" i="20"/>
  <c r="T1110" i="20"/>
  <c r="U1110" i="20"/>
  <c r="V1110" i="20"/>
  <c r="W1110" i="20"/>
  <c r="X1110" i="20"/>
  <c r="Y1110" i="20"/>
  <c r="AC1110" i="20"/>
  <c r="M1111" i="20"/>
  <c r="O1111" i="20"/>
  <c r="S1111" i="20"/>
  <c r="T1111" i="20"/>
  <c r="U1111" i="20"/>
  <c r="V1111" i="20"/>
  <c r="W1111" i="20"/>
  <c r="X1111" i="20"/>
  <c r="Y1111" i="20"/>
  <c r="AC1111" i="20"/>
  <c r="M1112" i="20"/>
  <c r="O1112" i="20"/>
  <c r="S1112" i="20"/>
  <c r="T1112" i="20"/>
  <c r="U1112" i="20"/>
  <c r="V1112" i="20"/>
  <c r="W1112" i="20"/>
  <c r="X1112" i="20"/>
  <c r="Y1112" i="20"/>
  <c r="AC1112" i="20"/>
  <c r="M1113" i="20"/>
  <c r="O1113" i="20"/>
  <c r="S1113" i="20"/>
  <c r="T1113" i="20"/>
  <c r="U1113" i="20"/>
  <c r="V1113" i="20"/>
  <c r="W1113" i="20"/>
  <c r="X1113" i="20"/>
  <c r="Y1113" i="20"/>
  <c r="AC1113" i="20"/>
  <c r="M1114" i="20"/>
  <c r="O1114" i="20"/>
  <c r="S1114" i="20"/>
  <c r="T1114" i="20"/>
  <c r="U1114" i="20"/>
  <c r="V1114" i="20"/>
  <c r="W1114" i="20"/>
  <c r="X1114" i="20"/>
  <c r="Y1114" i="20"/>
  <c r="AC1114" i="20"/>
  <c r="M1115" i="20"/>
  <c r="O1115" i="20"/>
  <c r="S1115" i="20"/>
  <c r="T1115" i="20"/>
  <c r="U1115" i="20"/>
  <c r="V1115" i="20"/>
  <c r="W1115" i="20"/>
  <c r="X1115" i="20"/>
  <c r="Y1115" i="20"/>
  <c r="AC1115" i="20"/>
  <c r="M1116" i="20"/>
  <c r="O1116" i="20"/>
  <c r="S1116" i="20"/>
  <c r="T1116" i="20"/>
  <c r="U1116" i="20"/>
  <c r="V1116" i="20"/>
  <c r="W1116" i="20"/>
  <c r="X1116" i="20"/>
  <c r="Y1116" i="20"/>
  <c r="AC1116" i="20"/>
  <c r="M1117" i="20"/>
  <c r="O1117" i="20"/>
  <c r="S1117" i="20"/>
  <c r="T1117" i="20"/>
  <c r="U1117" i="20"/>
  <c r="V1117" i="20"/>
  <c r="W1117" i="20"/>
  <c r="X1117" i="20"/>
  <c r="Y1117" i="20"/>
  <c r="AC1117" i="20"/>
  <c r="M1118" i="20"/>
  <c r="O1118" i="20"/>
  <c r="S1118" i="20"/>
  <c r="T1118" i="20"/>
  <c r="U1118" i="20"/>
  <c r="V1118" i="20"/>
  <c r="W1118" i="20"/>
  <c r="X1118" i="20"/>
  <c r="Y1118" i="20"/>
  <c r="AC1118" i="20"/>
  <c r="M1119" i="20"/>
  <c r="O1119" i="20"/>
  <c r="S1119" i="20"/>
  <c r="T1119" i="20"/>
  <c r="U1119" i="20"/>
  <c r="V1119" i="20"/>
  <c r="W1119" i="20"/>
  <c r="X1119" i="20"/>
  <c r="Y1119" i="20"/>
  <c r="AC1119" i="20"/>
  <c r="M1120" i="20"/>
  <c r="O1120" i="20"/>
  <c r="S1120" i="20"/>
  <c r="T1120" i="20"/>
  <c r="U1120" i="20"/>
  <c r="V1120" i="20"/>
  <c r="W1120" i="20"/>
  <c r="X1120" i="20"/>
  <c r="Y1120" i="20"/>
  <c r="AC1120" i="20"/>
  <c r="M1121" i="20"/>
  <c r="O1121" i="20"/>
  <c r="S1121" i="20"/>
  <c r="T1121" i="20"/>
  <c r="U1121" i="20"/>
  <c r="V1121" i="20"/>
  <c r="W1121" i="20"/>
  <c r="X1121" i="20"/>
  <c r="Y1121" i="20"/>
  <c r="AC1121" i="20"/>
  <c r="M1122" i="20"/>
  <c r="O1122" i="20"/>
  <c r="S1122" i="20"/>
  <c r="T1122" i="20"/>
  <c r="U1122" i="20"/>
  <c r="V1122" i="20"/>
  <c r="W1122" i="20"/>
  <c r="X1122" i="20"/>
  <c r="Y1122" i="20"/>
  <c r="AC1122" i="20"/>
  <c r="M1123" i="20"/>
  <c r="O1123" i="20"/>
  <c r="S1123" i="20"/>
  <c r="T1123" i="20"/>
  <c r="U1123" i="20"/>
  <c r="V1123" i="20"/>
  <c r="W1123" i="20"/>
  <c r="X1123" i="20"/>
  <c r="Y1123" i="20"/>
  <c r="AC1123" i="20"/>
  <c r="M1124" i="20"/>
  <c r="O1124" i="20"/>
  <c r="S1124" i="20"/>
  <c r="T1124" i="20"/>
  <c r="U1124" i="20"/>
  <c r="V1124" i="20"/>
  <c r="W1124" i="20"/>
  <c r="X1124" i="20"/>
  <c r="Y1124" i="20"/>
  <c r="AC1124" i="20"/>
  <c r="M1125" i="20"/>
  <c r="O1125" i="20"/>
  <c r="S1125" i="20"/>
  <c r="T1125" i="20"/>
  <c r="U1125" i="20"/>
  <c r="V1125" i="20"/>
  <c r="W1125" i="20"/>
  <c r="X1125" i="20"/>
  <c r="Y1125" i="20"/>
  <c r="AC1125" i="20"/>
  <c r="M1126" i="20"/>
  <c r="O1126" i="20"/>
  <c r="S1126" i="20"/>
  <c r="T1126" i="20"/>
  <c r="U1126" i="20"/>
  <c r="V1126" i="20"/>
  <c r="W1126" i="20"/>
  <c r="X1126" i="20"/>
  <c r="Y1126" i="20"/>
  <c r="AC1126" i="20"/>
  <c r="M1127" i="20"/>
  <c r="O1127" i="20"/>
  <c r="S1127" i="20"/>
  <c r="T1127" i="20"/>
  <c r="U1127" i="20"/>
  <c r="V1127" i="20"/>
  <c r="W1127" i="20"/>
  <c r="X1127" i="20"/>
  <c r="Y1127" i="20"/>
  <c r="AC1127" i="20"/>
  <c r="M1128" i="20"/>
  <c r="O1128" i="20"/>
  <c r="S1128" i="20"/>
  <c r="T1128" i="20"/>
  <c r="U1128" i="20"/>
  <c r="V1128" i="20"/>
  <c r="W1128" i="20"/>
  <c r="X1128" i="20"/>
  <c r="Y1128" i="20"/>
  <c r="AC1128" i="20"/>
  <c r="M1129" i="20"/>
  <c r="O1129" i="20"/>
  <c r="S1129" i="20"/>
  <c r="T1129" i="20"/>
  <c r="U1129" i="20"/>
  <c r="V1129" i="20"/>
  <c r="W1129" i="20"/>
  <c r="X1129" i="20"/>
  <c r="Y1129" i="20"/>
  <c r="AC1129" i="20"/>
  <c r="M1130" i="20"/>
  <c r="O1130" i="20"/>
  <c r="S1130" i="20"/>
  <c r="T1130" i="20"/>
  <c r="U1130" i="20"/>
  <c r="V1130" i="20"/>
  <c r="W1130" i="20"/>
  <c r="X1130" i="20"/>
  <c r="Y1130" i="20"/>
  <c r="AC1130" i="20"/>
  <c r="M1131" i="20"/>
  <c r="O1131" i="20"/>
  <c r="S1131" i="20"/>
  <c r="T1131" i="20"/>
  <c r="U1131" i="20"/>
  <c r="V1131" i="20"/>
  <c r="W1131" i="20"/>
  <c r="X1131" i="20"/>
  <c r="Y1131" i="20"/>
  <c r="AC1131" i="20"/>
  <c r="M1132" i="20"/>
  <c r="O1132" i="20"/>
  <c r="S1132" i="20"/>
  <c r="T1132" i="20"/>
  <c r="U1132" i="20"/>
  <c r="V1132" i="20"/>
  <c r="W1132" i="20"/>
  <c r="X1132" i="20"/>
  <c r="Y1132" i="20"/>
  <c r="AC1132" i="20"/>
  <c r="M1133" i="20"/>
  <c r="O1133" i="20"/>
  <c r="S1133" i="20"/>
  <c r="T1133" i="20"/>
  <c r="U1133" i="20"/>
  <c r="V1133" i="20"/>
  <c r="W1133" i="20"/>
  <c r="X1133" i="20"/>
  <c r="Y1133" i="20"/>
  <c r="AC1133" i="20"/>
  <c r="M1134" i="20"/>
  <c r="O1134" i="20"/>
  <c r="S1134" i="20"/>
  <c r="T1134" i="20"/>
  <c r="U1134" i="20"/>
  <c r="V1134" i="20"/>
  <c r="W1134" i="20"/>
  <c r="X1134" i="20"/>
  <c r="Y1134" i="20"/>
  <c r="AC1134" i="20"/>
  <c r="M1135" i="20"/>
  <c r="O1135" i="20"/>
  <c r="S1135" i="20"/>
  <c r="T1135" i="20"/>
  <c r="U1135" i="20"/>
  <c r="V1135" i="20"/>
  <c r="W1135" i="20"/>
  <c r="X1135" i="20"/>
  <c r="Y1135" i="20"/>
  <c r="AC1135" i="20"/>
  <c r="M1136" i="20"/>
  <c r="O1136" i="20"/>
  <c r="S1136" i="20"/>
  <c r="T1136" i="20"/>
  <c r="U1136" i="20"/>
  <c r="V1136" i="20"/>
  <c r="W1136" i="20"/>
  <c r="X1136" i="20"/>
  <c r="Y1136" i="20"/>
  <c r="AC1136" i="20"/>
  <c r="M1137" i="20"/>
  <c r="O1137" i="20"/>
  <c r="S1137" i="20"/>
  <c r="T1137" i="20"/>
  <c r="U1137" i="20"/>
  <c r="V1137" i="20"/>
  <c r="W1137" i="20"/>
  <c r="X1137" i="20"/>
  <c r="Y1137" i="20"/>
  <c r="AC1137" i="20"/>
  <c r="M1138" i="20"/>
  <c r="O1138" i="20"/>
  <c r="S1138" i="20"/>
  <c r="T1138" i="20"/>
  <c r="U1138" i="20"/>
  <c r="V1138" i="20"/>
  <c r="W1138" i="20"/>
  <c r="X1138" i="20"/>
  <c r="Y1138" i="20"/>
  <c r="AC1138" i="20"/>
  <c r="M1139" i="20"/>
  <c r="O1139" i="20"/>
  <c r="S1139" i="20"/>
  <c r="T1139" i="20"/>
  <c r="U1139" i="20"/>
  <c r="V1139" i="20"/>
  <c r="W1139" i="20"/>
  <c r="X1139" i="20"/>
  <c r="Y1139" i="20"/>
  <c r="AC1139" i="20"/>
  <c r="M1140" i="20"/>
  <c r="O1140" i="20"/>
  <c r="S1140" i="20"/>
  <c r="T1140" i="20"/>
  <c r="U1140" i="20"/>
  <c r="V1140" i="20"/>
  <c r="W1140" i="20"/>
  <c r="X1140" i="20"/>
  <c r="Y1140" i="20"/>
  <c r="AC1140" i="20"/>
  <c r="M1141" i="20"/>
  <c r="O1141" i="20"/>
  <c r="S1141" i="20"/>
  <c r="T1141" i="20"/>
  <c r="U1141" i="20"/>
  <c r="V1141" i="20"/>
  <c r="W1141" i="20"/>
  <c r="X1141" i="20"/>
  <c r="Y1141" i="20"/>
  <c r="AC1141" i="20"/>
  <c r="M1142" i="20"/>
  <c r="O1142" i="20"/>
  <c r="S1142" i="20"/>
  <c r="T1142" i="20"/>
  <c r="U1142" i="20"/>
  <c r="V1142" i="20"/>
  <c r="W1142" i="20"/>
  <c r="X1142" i="20"/>
  <c r="Y1142" i="20"/>
  <c r="AC1142" i="20"/>
  <c r="M1143" i="20"/>
  <c r="O1143" i="20"/>
  <c r="S1143" i="20"/>
  <c r="T1143" i="20"/>
  <c r="U1143" i="20"/>
  <c r="V1143" i="20"/>
  <c r="W1143" i="20"/>
  <c r="X1143" i="20"/>
  <c r="Y1143" i="20"/>
  <c r="AC1143" i="20"/>
  <c r="M1144" i="20"/>
  <c r="O1144" i="20"/>
  <c r="S1144" i="20"/>
  <c r="T1144" i="20"/>
  <c r="U1144" i="20"/>
  <c r="V1144" i="20"/>
  <c r="W1144" i="20"/>
  <c r="X1144" i="20"/>
  <c r="Y1144" i="20"/>
  <c r="AC1144" i="20"/>
  <c r="M1145" i="20"/>
  <c r="O1145" i="20"/>
  <c r="S1145" i="20"/>
  <c r="T1145" i="20"/>
  <c r="U1145" i="20"/>
  <c r="V1145" i="20"/>
  <c r="W1145" i="20"/>
  <c r="X1145" i="20"/>
  <c r="Y1145" i="20"/>
  <c r="AC1145" i="20"/>
  <c r="M1146" i="20"/>
  <c r="O1146" i="20"/>
  <c r="S1146" i="20"/>
  <c r="T1146" i="20"/>
  <c r="U1146" i="20"/>
  <c r="V1146" i="20"/>
  <c r="W1146" i="20"/>
  <c r="X1146" i="20"/>
  <c r="Y1146" i="20"/>
  <c r="AC1146" i="20"/>
  <c r="M1147" i="20"/>
  <c r="O1147" i="20"/>
  <c r="S1147" i="20"/>
  <c r="T1147" i="20"/>
  <c r="U1147" i="20"/>
  <c r="V1147" i="20"/>
  <c r="W1147" i="20"/>
  <c r="X1147" i="20"/>
  <c r="Y1147" i="20"/>
  <c r="AC1147" i="20"/>
  <c r="M1148" i="20"/>
  <c r="O1148" i="20"/>
  <c r="S1148" i="20"/>
  <c r="T1148" i="20"/>
  <c r="U1148" i="20"/>
  <c r="V1148" i="20"/>
  <c r="W1148" i="20"/>
  <c r="X1148" i="20"/>
  <c r="Y1148" i="20"/>
  <c r="AC1148" i="20"/>
  <c r="M1149" i="20"/>
  <c r="O1149" i="20"/>
  <c r="S1149" i="20"/>
  <c r="T1149" i="20"/>
  <c r="U1149" i="20"/>
  <c r="V1149" i="20"/>
  <c r="W1149" i="20"/>
  <c r="X1149" i="20"/>
  <c r="Y1149" i="20"/>
  <c r="AC1149" i="20"/>
  <c r="M1150" i="20"/>
  <c r="O1150" i="20"/>
  <c r="S1150" i="20"/>
  <c r="T1150" i="20"/>
  <c r="U1150" i="20"/>
  <c r="V1150" i="20"/>
  <c r="W1150" i="20"/>
  <c r="X1150" i="20"/>
  <c r="Y1150" i="20"/>
  <c r="AC1150" i="20"/>
  <c r="M1151" i="20"/>
  <c r="O1151" i="20"/>
  <c r="S1151" i="20"/>
  <c r="T1151" i="20"/>
  <c r="U1151" i="20"/>
  <c r="V1151" i="20"/>
  <c r="W1151" i="20"/>
  <c r="X1151" i="20"/>
  <c r="Y1151" i="20"/>
  <c r="AC1151" i="20"/>
  <c r="M1152" i="20"/>
  <c r="O1152" i="20"/>
  <c r="S1152" i="20"/>
  <c r="T1152" i="20"/>
  <c r="U1152" i="20"/>
  <c r="V1152" i="20"/>
  <c r="W1152" i="20"/>
  <c r="X1152" i="20"/>
  <c r="Y1152" i="20"/>
  <c r="AC1152" i="20"/>
  <c r="M1153" i="20"/>
  <c r="O1153" i="20"/>
  <c r="S1153" i="20"/>
  <c r="T1153" i="20"/>
  <c r="U1153" i="20"/>
  <c r="V1153" i="20"/>
  <c r="W1153" i="20"/>
  <c r="X1153" i="20"/>
  <c r="Y1153" i="20"/>
  <c r="AC1153" i="20"/>
  <c r="M1154" i="20"/>
  <c r="O1154" i="20"/>
  <c r="S1154" i="20"/>
  <c r="T1154" i="20"/>
  <c r="U1154" i="20"/>
  <c r="V1154" i="20"/>
  <c r="W1154" i="20"/>
  <c r="X1154" i="20"/>
  <c r="Y1154" i="20"/>
  <c r="AC1154" i="20"/>
  <c r="M1155" i="20"/>
  <c r="O1155" i="20"/>
  <c r="S1155" i="20"/>
  <c r="T1155" i="20"/>
  <c r="U1155" i="20"/>
  <c r="V1155" i="20"/>
  <c r="W1155" i="20"/>
  <c r="X1155" i="20"/>
  <c r="Y1155" i="20"/>
  <c r="AC1155" i="20"/>
  <c r="M1156" i="20"/>
  <c r="O1156" i="20"/>
  <c r="S1156" i="20"/>
  <c r="T1156" i="20"/>
  <c r="U1156" i="20"/>
  <c r="V1156" i="20"/>
  <c r="W1156" i="20"/>
  <c r="X1156" i="20"/>
  <c r="Y1156" i="20"/>
  <c r="AC1156" i="20"/>
  <c r="M1157" i="20"/>
  <c r="O1157" i="20"/>
  <c r="S1157" i="20"/>
  <c r="T1157" i="20"/>
  <c r="U1157" i="20"/>
  <c r="V1157" i="20"/>
  <c r="W1157" i="20"/>
  <c r="X1157" i="20"/>
  <c r="Y1157" i="20"/>
  <c r="AC1157" i="20"/>
  <c r="M1158" i="20"/>
  <c r="O1158" i="20"/>
  <c r="S1158" i="20"/>
  <c r="T1158" i="20"/>
  <c r="U1158" i="20"/>
  <c r="V1158" i="20"/>
  <c r="W1158" i="20"/>
  <c r="X1158" i="20"/>
  <c r="Y1158" i="20"/>
  <c r="AC1158" i="20"/>
  <c r="M1159" i="20"/>
  <c r="O1159" i="20"/>
  <c r="S1159" i="20"/>
  <c r="T1159" i="20"/>
  <c r="U1159" i="20"/>
  <c r="V1159" i="20"/>
  <c r="W1159" i="20"/>
  <c r="X1159" i="20"/>
  <c r="Y1159" i="20"/>
  <c r="AC1159" i="20"/>
  <c r="M1160" i="20"/>
  <c r="O1160" i="20"/>
  <c r="S1160" i="20"/>
  <c r="T1160" i="20"/>
  <c r="U1160" i="20"/>
  <c r="V1160" i="20"/>
  <c r="W1160" i="20"/>
  <c r="X1160" i="20"/>
  <c r="Y1160" i="20"/>
  <c r="AC1160" i="20"/>
  <c r="M1161" i="20"/>
  <c r="O1161" i="20"/>
  <c r="S1161" i="20"/>
  <c r="T1161" i="20"/>
  <c r="U1161" i="20"/>
  <c r="V1161" i="20"/>
  <c r="W1161" i="20"/>
  <c r="X1161" i="20"/>
  <c r="Y1161" i="20"/>
  <c r="AC1161" i="20"/>
  <c r="M1162" i="20"/>
  <c r="O1162" i="20"/>
  <c r="S1162" i="20"/>
  <c r="T1162" i="20"/>
  <c r="U1162" i="20"/>
  <c r="V1162" i="20"/>
  <c r="W1162" i="20"/>
  <c r="X1162" i="20"/>
  <c r="Y1162" i="20"/>
  <c r="AC1162" i="20"/>
  <c r="M1163" i="20"/>
  <c r="O1163" i="20"/>
  <c r="S1163" i="20"/>
  <c r="T1163" i="20"/>
  <c r="U1163" i="20"/>
  <c r="V1163" i="20"/>
  <c r="W1163" i="20"/>
  <c r="X1163" i="20"/>
  <c r="Y1163" i="20"/>
  <c r="AC1163" i="20"/>
  <c r="M1164" i="20"/>
  <c r="O1164" i="20"/>
  <c r="S1164" i="20"/>
  <c r="T1164" i="20"/>
  <c r="U1164" i="20"/>
  <c r="V1164" i="20"/>
  <c r="W1164" i="20"/>
  <c r="X1164" i="20"/>
  <c r="Y1164" i="20"/>
  <c r="AC1164" i="20"/>
  <c r="M1165" i="20"/>
  <c r="O1165" i="20"/>
  <c r="S1165" i="20"/>
  <c r="T1165" i="20"/>
  <c r="U1165" i="20"/>
  <c r="V1165" i="20"/>
  <c r="W1165" i="20"/>
  <c r="X1165" i="20"/>
  <c r="Y1165" i="20"/>
  <c r="AC1165" i="20"/>
  <c r="M1166" i="20"/>
  <c r="O1166" i="20"/>
  <c r="S1166" i="20"/>
  <c r="T1166" i="20"/>
  <c r="U1166" i="20"/>
  <c r="V1166" i="20"/>
  <c r="W1166" i="20"/>
  <c r="X1166" i="20"/>
  <c r="Y1166" i="20"/>
  <c r="AC1166" i="20"/>
  <c r="M1167" i="20"/>
  <c r="O1167" i="20"/>
  <c r="S1167" i="20"/>
  <c r="T1167" i="20"/>
  <c r="U1167" i="20"/>
  <c r="V1167" i="20"/>
  <c r="W1167" i="20"/>
  <c r="X1167" i="20"/>
  <c r="Y1167" i="20"/>
  <c r="AC1167" i="20"/>
  <c r="M1168" i="20"/>
  <c r="O1168" i="20"/>
  <c r="S1168" i="20"/>
  <c r="T1168" i="20"/>
  <c r="U1168" i="20"/>
  <c r="V1168" i="20"/>
  <c r="W1168" i="20"/>
  <c r="X1168" i="20"/>
  <c r="Y1168" i="20"/>
  <c r="AC1168" i="20"/>
  <c r="M1169" i="20"/>
  <c r="O1169" i="20"/>
  <c r="S1169" i="20"/>
  <c r="T1169" i="20"/>
  <c r="U1169" i="20"/>
  <c r="V1169" i="20"/>
  <c r="W1169" i="20"/>
  <c r="X1169" i="20"/>
  <c r="Y1169" i="20"/>
  <c r="AC1169" i="20"/>
  <c r="M1170" i="20"/>
  <c r="O1170" i="20"/>
  <c r="S1170" i="20"/>
  <c r="T1170" i="20"/>
  <c r="U1170" i="20"/>
  <c r="V1170" i="20"/>
  <c r="W1170" i="20"/>
  <c r="X1170" i="20"/>
  <c r="Y1170" i="20"/>
  <c r="AC1170" i="20"/>
  <c r="M1171" i="20"/>
  <c r="O1171" i="20"/>
  <c r="S1171" i="20"/>
  <c r="T1171" i="20"/>
  <c r="U1171" i="20"/>
  <c r="V1171" i="20"/>
  <c r="W1171" i="20"/>
  <c r="X1171" i="20"/>
  <c r="Y1171" i="20"/>
  <c r="AC1171" i="20"/>
  <c r="M1172" i="20"/>
  <c r="O1172" i="20"/>
  <c r="S1172" i="20"/>
  <c r="T1172" i="20"/>
  <c r="U1172" i="20"/>
  <c r="V1172" i="20"/>
  <c r="W1172" i="20"/>
  <c r="X1172" i="20"/>
  <c r="Y1172" i="20"/>
  <c r="AC1172" i="20"/>
  <c r="M1173" i="20"/>
  <c r="O1173" i="20"/>
  <c r="S1173" i="20"/>
  <c r="T1173" i="20"/>
  <c r="U1173" i="20"/>
  <c r="V1173" i="20"/>
  <c r="W1173" i="20"/>
  <c r="X1173" i="20"/>
  <c r="Y1173" i="20"/>
  <c r="AC1173" i="20"/>
  <c r="M1174" i="20"/>
  <c r="O1174" i="20"/>
  <c r="S1174" i="20"/>
  <c r="T1174" i="20"/>
  <c r="U1174" i="20"/>
  <c r="V1174" i="20"/>
  <c r="W1174" i="20"/>
  <c r="X1174" i="20"/>
  <c r="Y1174" i="20"/>
  <c r="AC1174" i="20"/>
  <c r="M1175" i="20"/>
  <c r="O1175" i="20"/>
  <c r="S1175" i="20"/>
  <c r="T1175" i="20"/>
  <c r="U1175" i="20"/>
  <c r="V1175" i="20"/>
  <c r="W1175" i="20"/>
  <c r="X1175" i="20"/>
  <c r="Y1175" i="20"/>
  <c r="AC1175" i="20"/>
  <c r="M1176" i="20"/>
  <c r="O1176" i="20"/>
  <c r="S1176" i="20"/>
  <c r="T1176" i="20"/>
  <c r="U1176" i="20"/>
  <c r="V1176" i="20"/>
  <c r="W1176" i="20"/>
  <c r="X1176" i="20"/>
  <c r="Y1176" i="20"/>
  <c r="AC1176" i="20"/>
  <c r="M1177" i="20"/>
  <c r="O1177" i="20"/>
  <c r="S1177" i="20"/>
  <c r="T1177" i="20"/>
  <c r="U1177" i="20"/>
  <c r="V1177" i="20"/>
  <c r="W1177" i="20"/>
  <c r="X1177" i="20"/>
  <c r="Y1177" i="20"/>
  <c r="AC1177" i="20"/>
  <c r="M1178" i="20"/>
  <c r="O1178" i="20"/>
  <c r="S1178" i="20"/>
  <c r="T1178" i="20"/>
  <c r="U1178" i="20"/>
  <c r="V1178" i="20"/>
  <c r="W1178" i="20"/>
  <c r="X1178" i="20"/>
  <c r="Y1178" i="20"/>
  <c r="AC1178" i="20"/>
  <c r="M1179" i="20"/>
  <c r="O1179" i="20"/>
  <c r="S1179" i="20"/>
  <c r="T1179" i="20"/>
  <c r="U1179" i="20"/>
  <c r="V1179" i="20"/>
  <c r="W1179" i="20"/>
  <c r="X1179" i="20"/>
  <c r="Y1179" i="20"/>
  <c r="AC1179" i="20"/>
  <c r="M1180" i="20"/>
  <c r="O1180" i="20"/>
  <c r="S1180" i="20"/>
  <c r="T1180" i="20"/>
  <c r="U1180" i="20"/>
  <c r="V1180" i="20"/>
  <c r="W1180" i="20"/>
  <c r="X1180" i="20"/>
  <c r="Y1180" i="20"/>
  <c r="AC1180" i="20"/>
  <c r="M1181" i="20"/>
  <c r="O1181" i="20"/>
  <c r="S1181" i="20"/>
  <c r="T1181" i="20"/>
  <c r="U1181" i="20"/>
  <c r="V1181" i="20"/>
  <c r="W1181" i="20"/>
  <c r="X1181" i="20"/>
  <c r="Y1181" i="20"/>
  <c r="AC1181" i="20"/>
  <c r="M1182" i="20"/>
  <c r="O1182" i="20"/>
  <c r="S1182" i="20"/>
  <c r="T1182" i="20"/>
  <c r="U1182" i="20"/>
  <c r="V1182" i="20"/>
  <c r="W1182" i="20"/>
  <c r="X1182" i="20"/>
  <c r="Y1182" i="20"/>
  <c r="AC1182" i="20"/>
  <c r="M1183" i="20"/>
  <c r="O1183" i="20"/>
  <c r="S1183" i="20"/>
  <c r="T1183" i="20"/>
  <c r="U1183" i="20"/>
  <c r="V1183" i="20"/>
  <c r="W1183" i="20"/>
  <c r="X1183" i="20"/>
  <c r="Y1183" i="20"/>
  <c r="AC1183" i="20"/>
  <c r="M1184" i="20"/>
  <c r="O1184" i="20"/>
  <c r="S1184" i="20"/>
  <c r="T1184" i="20"/>
  <c r="U1184" i="20"/>
  <c r="V1184" i="20"/>
  <c r="W1184" i="20"/>
  <c r="X1184" i="20"/>
  <c r="Y1184" i="20"/>
  <c r="AC1184" i="20"/>
  <c r="M1185" i="20"/>
  <c r="O1185" i="20"/>
  <c r="S1185" i="20"/>
  <c r="T1185" i="20"/>
  <c r="U1185" i="20"/>
  <c r="V1185" i="20"/>
  <c r="W1185" i="20"/>
  <c r="X1185" i="20"/>
  <c r="Y1185" i="20"/>
  <c r="AC1185" i="20"/>
  <c r="M1186" i="20"/>
  <c r="O1186" i="20"/>
  <c r="S1186" i="20"/>
  <c r="T1186" i="20"/>
  <c r="U1186" i="20"/>
  <c r="V1186" i="20"/>
  <c r="W1186" i="20"/>
  <c r="X1186" i="20"/>
  <c r="Y1186" i="20"/>
  <c r="AC1186" i="20"/>
  <c r="M1187" i="20"/>
  <c r="O1187" i="20"/>
  <c r="S1187" i="20"/>
  <c r="T1187" i="20"/>
  <c r="U1187" i="20"/>
  <c r="V1187" i="20"/>
  <c r="W1187" i="20"/>
  <c r="X1187" i="20"/>
  <c r="Y1187" i="20"/>
  <c r="AC1187" i="20"/>
  <c r="M1188" i="20"/>
  <c r="O1188" i="20"/>
  <c r="S1188" i="20"/>
  <c r="T1188" i="20"/>
  <c r="U1188" i="20"/>
  <c r="V1188" i="20"/>
  <c r="W1188" i="20"/>
  <c r="X1188" i="20"/>
  <c r="Y1188" i="20"/>
  <c r="AC1188" i="20"/>
  <c r="M1189" i="20"/>
  <c r="O1189" i="20"/>
  <c r="S1189" i="20"/>
  <c r="T1189" i="20"/>
  <c r="U1189" i="20"/>
  <c r="V1189" i="20"/>
  <c r="W1189" i="20"/>
  <c r="X1189" i="20"/>
  <c r="Y1189" i="20"/>
  <c r="AC1189" i="20"/>
  <c r="M1190" i="20"/>
  <c r="O1190" i="20"/>
  <c r="S1190" i="20"/>
  <c r="T1190" i="20"/>
  <c r="U1190" i="20"/>
  <c r="V1190" i="20"/>
  <c r="W1190" i="20"/>
  <c r="X1190" i="20"/>
  <c r="Y1190" i="20"/>
  <c r="AC1190" i="20"/>
  <c r="M1191" i="20"/>
  <c r="O1191" i="20"/>
  <c r="S1191" i="20"/>
  <c r="T1191" i="20"/>
  <c r="U1191" i="20"/>
  <c r="V1191" i="20"/>
  <c r="W1191" i="20"/>
  <c r="X1191" i="20"/>
  <c r="Y1191" i="20"/>
  <c r="AC1191" i="20"/>
  <c r="M1192" i="20"/>
  <c r="O1192" i="20"/>
  <c r="S1192" i="20"/>
  <c r="T1192" i="20"/>
  <c r="U1192" i="20"/>
  <c r="V1192" i="20"/>
  <c r="W1192" i="20"/>
  <c r="X1192" i="20"/>
  <c r="Y1192" i="20"/>
  <c r="AC1192" i="20"/>
  <c r="M1193" i="20"/>
  <c r="O1193" i="20"/>
  <c r="S1193" i="20"/>
  <c r="T1193" i="20"/>
  <c r="U1193" i="20"/>
  <c r="V1193" i="20"/>
  <c r="W1193" i="20"/>
  <c r="X1193" i="20"/>
  <c r="Y1193" i="20"/>
  <c r="AC1193" i="20"/>
  <c r="M1194" i="20"/>
  <c r="O1194" i="20"/>
  <c r="S1194" i="20"/>
  <c r="T1194" i="20"/>
  <c r="U1194" i="20"/>
  <c r="V1194" i="20"/>
  <c r="W1194" i="20"/>
  <c r="X1194" i="20"/>
  <c r="Y1194" i="20"/>
  <c r="AC1194" i="20"/>
  <c r="M1195" i="20"/>
  <c r="O1195" i="20"/>
  <c r="S1195" i="20"/>
  <c r="T1195" i="20"/>
  <c r="U1195" i="20"/>
  <c r="V1195" i="20"/>
  <c r="W1195" i="20"/>
  <c r="X1195" i="20"/>
  <c r="Y1195" i="20"/>
  <c r="AC1195" i="20"/>
  <c r="M1196" i="20"/>
  <c r="O1196" i="20"/>
  <c r="S1196" i="20"/>
  <c r="T1196" i="20"/>
  <c r="U1196" i="20"/>
  <c r="V1196" i="20"/>
  <c r="W1196" i="20"/>
  <c r="X1196" i="20"/>
  <c r="Y1196" i="20"/>
  <c r="AC1196" i="20"/>
  <c r="M1197" i="20"/>
  <c r="O1197" i="20"/>
  <c r="S1197" i="20"/>
  <c r="T1197" i="20"/>
  <c r="U1197" i="20"/>
  <c r="V1197" i="20"/>
  <c r="W1197" i="20"/>
  <c r="X1197" i="20"/>
  <c r="Y1197" i="20"/>
  <c r="AC1197" i="20"/>
  <c r="M1198" i="20"/>
  <c r="O1198" i="20"/>
  <c r="S1198" i="20"/>
  <c r="T1198" i="20"/>
  <c r="U1198" i="20"/>
  <c r="V1198" i="20"/>
  <c r="W1198" i="20"/>
  <c r="X1198" i="20"/>
  <c r="Y1198" i="20"/>
  <c r="AC1198" i="20"/>
  <c r="M1199" i="20"/>
  <c r="O1199" i="20"/>
  <c r="S1199" i="20"/>
  <c r="T1199" i="20"/>
  <c r="U1199" i="20"/>
  <c r="V1199" i="20"/>
  <c r="W1199" i="20"/>
  <c r="X1199" i="20"/>
  <c r="Y1199" i="20"/>
  <c r="AC1199" i="20"/>
  <c r="M1200" i="20"/>
  <c r="O1200" i="20"/>
  <c r="S1200" i="20"/>
  <c r="T1200" i="20"/>
  <c r="U1200" i="20"/>
  <c r="V1200" i="20"/>
  <c r="W1200" i="20"/>
  <c r="X1200" i="20"/>
  <c r="Y1200" i="20"/>
  <c r="AC1200" i="20"/>
  <c r="M1201" i="20"/>
  <c r="O1201" i="20"/>
  <c r="S1201" i="20"/>
  <c r="T1201" i="20"/>
  <c r="U1201" i="20"/>
  <c r="V1201" i="20"/>
  <c r="W1201" i="20"/>
  <c r="X1201" i="20"/>
  <c r="Y1201" i="20"/>
  <c r="AC1201" i="20"/>
  <c r="M1202" i="20"/>
  <c r="O1202" i="20"/>
  <c r="S1202" i="20"/>
  <c r="T1202" i="20"/>
  <c r="U1202" i="20"/>
  <c r="V1202" i="20"/>
  <c r="W1202" i="20"/>
  <c r="X1202" i="20"/>
  <c r="Y1202" i="20"/>
  <c r="AC1202" i="20"/>
  <c r="M1203" i="20"/>
  <c r="O1203" i="20"/>
  <c r="S1203" i="20"/>
  <c r="T1203" i="20"/>
  <c r="U1203" i="20"/>
  <c r="V1203" i="20"/>
  <c r="W1203" i="20"/>
  <c r="X1203" i="20"/>
  <c r="Y1203" i="20"/>
  <c r="AC1203" i="20"/>
  <c r="M1204" i="20"/>
  <c r="O1204" i="20"/>
  <c r="S1204" i="20"/>
  <c r="T1204" i="20"/>
  <c r="U1204" i="20"/>
  <c r="V1204" i="20"/>
  <c r="W1204" i="20"/>
  <c r="X1204" i="20"/>
  <c r="Y1204" i="20"/>
  <c r="AC1204" i="20"/>
  <c r="M1205" i="20"/>
  <c r="O1205" i="20"/>
  <c r="S1205" i="20"/>
  <c r="T1205" i="20"/>
  <c r="U1205" i="20"/>
  <c r="V1205" i="20"/>
  <c r="W1205" i="20"/>
  <c r="X1205" i="20"/>
  <c r="Y1205" i="20"/>
  <c r="AC1205" i="20"/>
  <c r="M1206" i="20"/>
  <c r="O1206" i="20"/>
  <c r="S1206" i="20"/>
  <c r="T1206" i="20"/>
  <c r="U1206" i="20"/>
  <c r="V1206" i="20"/>
  <c r="W1206" i="20"/>
  <c r="X1206" i="20"/>
  <c r="Y1206" i="20"/>
  <c r="AC1206" i="20"/>
  <c r="M1207" i="20"/>
  <c r="O1207" i="20"/>
  <c r="S1207" i="20"/>
  <c r="T1207" i="20"/>
  <c r="U1207" i="20"/>
  <c r="V1207" i="20"/>
  <c r="W1207" i="20"/>
  <c r="X1207" i="20"/>
  <c r="Y1207" i="20"/>
  <c r="AC1207" i="20"/>
  <c r="M1208" i="20"/>
  <c r="O1208" i="20"/>
  <c r="S1208" i="20"/>
  <c r="T1208" i="20"/>
  <c r="U1208" i="20"/>
  <c r="V1208" i="20"/>
  <c r="W1208" i="20"/>
  <c r="X1208" i="20"/>
  <c r="Y1208" i="20"/>
  <c r="AC1208" i="20"/>
  <c r="M1209" i="20"/>
  <c r="O1209" i="20"/>
  <c r="S1209" i="20"/>
  <c r="T1209" i="20"/>
  <c r="U1209" i="20"/>
  <c r="V1209" i="20"/>
  <c r="W1209" i="20"/>
  <c r="X1209" i="20"/>
  <c r="Y1209" i="20"/>
  <c r="AC1209" i="20"/>
  <c r="M1210" i="20"/>
  <c r="O1210" i="20"/>
  <c r="S1210" i="20"/>
  <c r="T1210" i="20"/>
  <c r="U1210" i="20"/>
  <c r="V1210" i="20"/>
  <c r="W1210" i="20"/>
  <c r="X1210" i="20"/>
  <c r="Y1210" i="20"/>
  <c r="AC1210" i="20"/>
  <c r="M1211" i="20"/>
  <c r="O1211" i="20"/>
  <c r="S1211" i="20"/>
  <c r="T1211" i="20"/>
  <c r="U1211" i="20"/>
  <c r="V1211" i="20"/>
  <c r="W1211" i="20"/>
  <c r="X1211" i="20"/>
  <c r="Y1211" i="20"/>
  <c r="AC1211" i="20"/>
  <c r="M1212" i="20"/>
  <c r="O1212" i="20"/>
  <c r="S1212" i="20"/>
  <c r="T1212" i="20"/>
  <c r="U1212" i="20"/>
  <c r="V1212" i="20"/>
  <c r="W1212" i="20"/>
  <c r="X1212" i="20"/>
  <c r="Y1212" i="20"/>
  <c r="AC1212" i="20"/>
  <c r="M1213" i="20"/>
  <c r="O1213" i="20"/>
  <c r="S1213" i="20"/>
  <c r="T1213" i="20"/>
  <c r="U1213" i="20"/>
  <c r="V1213" i="20"/>
  <c r="W1213" i="20"/>
  <c r="X1213" i="20"/>
  <c r="Y1213" i="20"/>
  <c r="AC1213" i="20"/>
  <c r="M1214" i="20"/>
  <c r="O1214" i="20"/>
  <c r="S1214" i="20"/>
  <c r="T1214" i="20"/>
  <c r="U1214" i="20"/>
  <c r="V1214" i="20"/>
  <c r="W1214" i="20"/>
  <c r="X1214" i="20"/>
  <c r="Y1214" i="20"/>
  <c r="AC1214" i="20"/>
  <c r="M1215" i="20"/>
  <c r="O1215" i="20"/>
  <c r="S1215" i="20"/>
  <c r="T1215" i="20"/>
  <c r="U1215" i="20"/>
  <c r="V1215" i="20"/>
  <c r="W1215" i="20"/>
  <c r="X1215" i="20"/>
  <c r="Y1215" i="20"/>
  <c r="AC1215" i="20"/>
  <c r="M1216" i="20"/>
  <c r="O1216" i="20"/>
  <c r="S1216" i="20"/>
  <c r="T1216" i="20"/>
  <c r="U1216" i="20"/>
  <c r="V1216" i="20"/>
  <c r="W1216" i="20"/>
  <c r="X1216" i="20"/>
  <c r="Y1216" i="20"/>
  <c r="AC1216" i="20"/>
  <c r="M1217" i="20"/>
  <c r="O1217" i="20"/>
  <c r="S1217" i="20"/>
  <c r="T1217" i="20"/>
  <c r="U1217" i="20"/>
  <c r="V1217" i="20"/>
  <c r="W1217" i="20"/>
  <c r="X1217" i="20"/>
  <c r="Y1217" i="20"/>
  <c r="AC1217" i="20"/>
  <c r="M1218" i="20"/>
  <c r="O1218" i="20"/>
  <c r="S1218" i="20"/>
  <c r="T1218" i="20"/>
  <c r="U1218" i="20"/>
  <c r="V1218" i="20"/>
  <c r="W1218" i="20"/>
  <c r="X1218" i="20"/>
  <c r="Y1218" i="20"/>
  <c r="AC1218" i="20"/>
  <c r="M1219" i="20"/>
  <c r="O1219" i="20"/>
  <c r="S1219" i="20"/>
  <c r="T1219" i="20"/>
  <c r="U1219" i="20"/>
  <c r="V1219" i="20"/>
  <c r="W1219" i="20"/>
  <c r="X1219" i="20"/>
  <c r="Y1219" i="20"/>
  <c r="AC1219" i="20"/>
  <c r="M1220" i="20"/>
  <c r="O1220" i="20"/>
  <c r="S1220" i="20"/>
  <c r="T1220" i="20"/>
  <c r="U1220" i="20"/>
  <c r="V1220" i="20"/>
  <c r="W1220" i="20"/>
  <c r="X1220" i="20"/>
  <c r="Y1220" i="20"/>
  <c r="AC1220" i="20"/>
  <c r="M1221" i="20"/>
  <c r="O1221" i="20"/>
  <c r="S1221" i="20"/>
  <c r="T1221" i="20"/>
  <c r="U1221" i="20"/>
  <c r="V1221" i="20"/>
  <c r="W1221" i="20"/>
  <c r="X1221" i="20"/>
  <c r="Y1221" i="20"/>
  <c r="AC1221" i="20"/>
  <c r="M1222" i="20"/>
  <c r="O1222" i="20"/>
  <c r="S1222" i="20"/>
  <c r="T1222" i="20"/>
  <c r="U1222" i="20"/>
  <c r="V1222" i="20"/>
  <c r="W1222" i="20"/>
  <c r="X1222" i="20"/>
  <c r="Y1222" i="20"/>
  <c r="AC1222" i="20"/>
  <c r="M1223" i="20"/>
  <c r="O1223" i="20"/>
  <c r="S1223" i="20"/>
  <c r="T1223" i="20"/>
  <c r="U1223" i="20"/>
  <c r="V1223" i="20"/>
  <c r="W1223" i="20"/>
  <c r="X1223" i="20"/>
  <c r="Y1223" i="20"/>
  <c r="AC1223" i="20"/>
  <c r="M1224" i="20"/>
  <c r="O1224" i="20"/>
  <c r="S1224" i="20"/>
  <c r="T1224" i="20"/>
  <c r="U1224" i="20"/>
  <c r="V1224" i="20"/>
  <c r="W1224" i="20"/>
  <c r="X1224" i="20"/>
  <c r="Y1224" i="20"/>
  <c r="AC1224" i="20"/>
  <c r="M1225" i="20"/>
  <c r="O1225" i="20"/>
  <c r="S1225" i="20"/>
  <c r="T1225" i="20"/>
  <c r="U1225" i="20"/>
  <c r="V1225" i="20"/>
  <c r="W1225" i="20"/>
  <c r="X1225" i="20"/>
  <c r="Y1225" i="20"/>
  <c r="AC1225" i="20"/>
  <c r="M1226" i="20"/>
  <c r="O1226" i="20"/>
  <c r="S1226" i="20"/>
  <c r="T1226" i="20"/>
  <c r="U1226" i="20"/>
  <c r="V1226" i="20"/>
  <c r="W1226" i="20"/>
  <c r="X1226" i="20"/>
  <c r="Y1226" i="20"/>
  <c r="AC1226" i="20"/>
  <c r="M1227" i="20"/>
  <c r="O1227" i="20"/>
  <c r="S1227" i="20"/>
  <c r="T1227" i="20"/>
  <c r="U1227" i="20"/>
  <c r="V1227" i="20"/>
  <c r="W1227" i="20"/>
  <c r="X1227" i="20"/>
  <c r="Y1227" i="20"/>
  <c r="AC1227" i="20"/>
  <c r="M1228" i="20"/>
  <c r="O1228" i="20"/>
  <c r="S1228" i="20"/>
  <c r="T1228" i="20"/>
  <c r="U1228" i="20"/>
  <c r="V1228" i="20"/>
  <c r="W1228" i="20"/>
  <c r="X1228" i="20"/>
  <c r="Y1228" i="20"/>
  <c r="AC1228" i="20"/>
  <c r="M1229" i="20"/>
  <c r="O1229" i="20"/>
  <c r="S1229" i="20"/>
  <c r="T1229" i="20"/>
  <c r="U1229" i="20"/>
  <c r="V1229" i="20"/>
  <c r="W1229" i="20"/>
  <c r="X1229" i="20"/>
  <c r="Y1229" i="20"/>
  <c r="AC1229" i="20"/>
  <c r="M1230" i="20"/>
  <c r="O1230" i="20"/>
  <c r="S1230" i="20"/>
  <c r="T1230" i="20"/>
  <c r="U1230" i="20"/>
  <c r="V1230" i="20"/>
  <c r="W1230" i="20"/>
  <c r="X1230" i="20"/>
  <c r="Y1230" i="20"/>
  <c r="AC1230" i="20"/>
  <c r="M1231" i="20"/>
  <c r="O1231" i="20"/>
  <c r="S1231" i="20"/>
  <c r="T1231" i="20"/>
  <c r="U1231" i="20"/>
  <c r="V1231" i="20"/>
  <c r="W1231" i="20"/>
  <c r="X1231" i="20"/>
  <c r="Y1231" i="20"/>
  <c r="AC1231" i="20"/>
  <c r="M1232" i="20"/>
  <c r="O1232" i="20"/>
  <c r="S1232" i="20"/>
  <c r="T1232" i="20"/>
  <c r="U1232" i="20"/>
  <c r="V1232" i="20"/>
  <c r="W1232" i="20"/>
  <c r="X1232" i="20"/>
  <c r="Y1232" i="20"/>
  <c r="AC1232" i="20"/>
  <c r="M1233" i="20"/>
  <c r="O1233" i="20"/>
  <c r="S1233" i="20"/>
  <c r="T1233" i="20"/>
  <c r="U1233" i="20"/>
  <c r="V1233" i="20"/>
  <c r="W1233" i="20"/>
  <c r="X1233" i="20"/>
  <c r="Y1233" i="20"/>
  <c r="AC1233" i="20"/>
  <c r="M1234" i="20"/>
  <c r="O1234" i="20"/>
  <c r="S1234" i="20"/>
  <c r="T1234" i="20"/>
  <c r="U1234" i="20"/>
  <c r="V1234" i="20"/>
  <c r="W1234" i="20"/>
  <c r="X1234" i="20"/>
  <c r="Y1234" i="20"/>
  <c r="AC1234" i="20"/>
  <c r="M1235" i="20"/>
  <c r="O1235" i="20"/>
  <c r="S1235" i="20"/>
  <c r="T1235" i="20"/>
  <c r="U1235" i="20"/>
  <c r="V1235" i="20"/>
  <c r="W1235" i="20"/>
  <c r="X1235" i="20"/>
  <c r="Y1235" i="20"/>
  <c r="AC1235" i="20"/>
  <c r="M1236" i="20"/>
  <c r="O1236" i="20"/>
  <c r="S1236" i="20"/>
  <c r="T1236" i="20"/>
  <c r="U1236" i="20"/>
  <c r="V1236" i="20"/>
  <c r="W1236" i="20"/>
  <c r="X1236" i="20"/>
  <c r="Y1236" i="20"/>
  <c r="AC1236" i="20"/>
  <c r="M1237" i="20"/>
  <c r="O1237" i="20"/>
  <c r="S1237" i="20"/>
  <c r="T1237" i="20"/>
  <c r="U1237" i="20"/>
  <c r="V1237" i="20"/>
  <c r="W1237" i="20"/>
  <c r="X1237" i="20"/>
  <c r="Y1237" i="20"/>
  <c r="AC1237" i="20"/>
  <c r="M1238" i="20"/>
  <c r="O1238" i="20"/>
  <c r="S1238" i="20"/>
  <c r="T1238" i="20"/>
  <c r="U1238" i="20"/>
  <c r="V1238" i="20"/>
  <c r="W1238" i="20"/>
  <c r="X1238" i="20"/>
  <c r="Y1238" i="20"/>
  <c r="AC1238" i="20"/>
  <c r="M1239" i="20"/>
  <c r="O1239" i="20"/>
  <c r="S1239" i="20"/>
  <c r="T1239" i="20"/>
  <c r="U1239" i="20"/>
  <c r="V1239" i="20"/>
  <c r="W1239" i="20"/>
  <c r="X1239" i="20"/>
  <c r="Y1239" i="20"/>
  <c r="AC1239" i="20"/>
  <c r="M1240" i="20"/>
  <c r="O1240" i="20"/>
  <c r="S1240" i="20"/>
  <c r="T1240" i="20"/>
  <c r="U1240" i="20"/>
  <c r="V1240" i="20"/>
  <c r="W1240" i="20"/>
  <c r="X1240" i="20"/>
  <c r="Y1240" i="20"/>
  <c r="AC1240" i="20"/>
  <c r="M1241" i="20"/>
  <c r="O1241" i="20"/>
  <c r="S1241" i="20"/>
  <c r="T1241" i="20"/>
  <c r="U1241" i="20"/>
  <c r="V1241" i="20"/>
  <c r="W1241" i="20"/>
  <c r="X1241" i="20"/>
  <c r="Y1241" i="20"/>
  <c r="AC1241" i="20"/>
  <c r="M1242" i="20"/>
  <c r="O1242" i="20"/>
  <c r="S1242" i="20"/>
  <c r="T1242" i="20"/>
  <c r="U1242" i="20"/>
  <c r="V1242" i="20"/>
  <c r="W1242" i="20"/>
  <c r="X1242" i="20"/>
  <c r="Y1242" i="20"/>
  <c r="AC1242" i="20"/>
  <c r="M1243" i="20"/>
  <c r="O1243" i="20"/>
  <c r="S1243" i="20"/>
  <c r="T1243" i="20"/>
  <c r="U1243" i="20"/>
  <c r="V1243" i="20"/>
  <c r="W1243" i="20"/>
  <c r="X1243" i="20"/>
  <c r="Y1243" i="20"/>
  <c r="AC1243" i="20"/>
  <c r="M1244" i="20"/>
  <c r="O1244" i="20"/>
  <c r="S1244" i="20"/>
  <c r="T1244" i="20"/>
  <c r="U1244" i="20"/>
  <c r="V1244" i="20"/>
  <c r="W1244" i="20"/>
  <c r="X1244" i="20"/>
  <c r="Y1244" i="20"/>
  <c r="AC1244" i="20"/>
  <c r="M1245" i="20"/>
  <c r="O1245" i="20"/>
  <c r="S1245" i="20"/>
  <c r="T1245" i="20"/>
  <c r="U1245" i="20"/>
  <c r="V1245" i="20"/>
  <c r="W1245" i="20"/>
  <c r="X1245" i="20"/>
  <c r="Y1245" i="20"/>
  <c r="AC1245" i="20"/>
  <c r="M1246" i="20"/>
  <c r="O1246" i="20"/>
  <c r="S1246" i="20"/>
  <c r="T1246" i="20"/>
  <c r="U1246" i="20"/>
  <c r="V1246" i="20"/>
  <c r="W1246" i="20"/>
  <c r="X1246" i="20"/>
  <c r="Y1246" i="20"/>
  <c r="AC1246" i="20"/>
  <c r="M1247" i="20"/>
  <c r="O1247" i="20"/>
  <c r="S1247" i="20"/>
  <c r="T1247" i="20"/>
  <c r="U1247" i="20"/>
  <c r="V1247" i="20"/>
  <c r="W1247" i="20"/>
  <c r="X1247" i="20"/>
  <c r="Y1247" i="20"/>
  <c r="AC1247" i="20"/>
  <c r="M1248" i="20"/>
  <c r="O1248" i="20"/>
  <c r="S1248" i="20"/>
  <c r="T1248" i="20"/>
  <c r="U1248" i="20"/>
  <c r="V1248" i="20"/>
  <c r="W1248" i="20"/>
  <c r="X1248" i="20"/>
  <c r="Y1248" i="20"/>
  <c r="AC1248" i="20"/>
  <c r="M1249" i="20"/>
  <c r="O1249" i="20"/>
  <c r="S1249" i="20"/>
  <c r="T1249" i="20"/>
  <c r="U1249" i="20"/>
  <c r="V1249" i="20"/>
  <c r="W1249" i="20"/>
  <c r="X1249" i="20"/>
  <c r="Y1249" i="20"/>
  <c r="AC1249" i="20"/>
  <c r="M1250" i="20"/>
  <c r="O1250" i="20"/>
  <c r="S1250" i="20"/>
  <c r="T1250" i="20"/>
  <c r="U1250" i="20"/>
  <c r="V1250" i="20"/>
  <c r="W1250" i="20"/>
  <c r="X1250" i="20"/>
  <c r="Y1250" i="20"/>
  <c r="AC1250" i="20"/>
  <c r="M1251" i="20"/>
  <c r="O1251" i="20"/>
  <c r="S1251" i="20"/>
  <c r="T1251" i="20"/>
  <c r="U1251" i="20"/>
  <c r="V1251" i="20"/>
  <c r="W1251" i="20"/>
  <c r="X1251" i="20"/>
  <c r="Y1251" i="20"/>
  <c r="AC1251" i="20"/>
  <c r="M1252" i="20"/>
  <c r="O1252" i="20"/>
  <c r="S1252" i="20"/>
  <c r="T1252" i="20"/>
  <c r="U1252" i="20"/>
  <c r="V1252" i="20"/>
  <c r="W1252" i="20"/>
  <c r="X1252" i="20"/>
  <c r="Y1252" i="20"/>
  <c r="AC1252" i="20"/>
  <c r="M1253" i="20"/>
  <c r="O1253" i="20"/>
  <c r="S1253" i="20"/>
  <c r="T1253" i="20"/>
  <c r="U1253" i="20"/>
  <c r="V1253" i="20"/>
  <c r="W1253" i="20"/>
  <c r="X1253" i="20"/>
  <c r="Y1253" i="20"/>
  <c r="AC1253" i="20"/>
  <c r="M1254" i="20"/>
  <c r="O1254" i="20"/>
  <c r="S1254" i="20"/>
  <c r="T1254" i="20"/>
  <c r="U1254" i="20"/>
  <c r="V1254" i="20"/>
  <c r="W1254" i="20"/>
  <c r="X1254" i="20"/>
  <c r="Y1254" i="20"/>
  <c r="AC1254" i="20"/>
  <c r="M1255" i="20"/>
  <c r="O1255" i="20"/>
  <c r="S1255" i="20"/>
  <c r="T1255" i="20"/>
  <c r="U1255" i="20"/>
  <c r="V1255" i="20"/>
  <c r="W1255" i="20"/>
  <c r="X1255" i="20"/>
  <c r="Y1255" i="20"/>
  <c r="AC1255" i="20"/>
  <c r="M1256" i="20"/>
  <c r="O1256" i="20"/>
  <c r="S1256" i="20"/>
  <c r="T1256" i="20"/>
  <c r="U1256" i="20"/>
  <c r="V1256" i="20"/>
  <c r="W1256" i="20"/>
  <c r="X1256" i="20"/>
  <c r="Y1256" i="20"/>
  <c r="AC1256" i="20"/>
  <c r="M1257" i="20"/>
  <c r="O1257" i="20"/>
  <c r="S1257" i="20"/>
  <c r="T1257" i="20"/>
  <c r="U1257" i="20"/>
  <c r="V1257" i="20"/>
  <c r="W1257" i="20"/>
  <c r="X1257" i="20"/>
  <c r="Y1257" i="20"/>
  <c r="AC1257" i="20"/>
  <c r="M1258" i="20"/>
  <c r="O1258" i="20"/>
  <c r="S1258" i="20"/>
  <c r="T1258" i="20"/>
  <c r="U1258" i="20"/>
  <c r="V1258" i="20"/>
  <c r="W1258" i="20"/>
  <c r="X1258" i="20"/>
  <c r="Y1258" i="20"/>
  <c r="AC1258" i="20"/>
  <c r="M1259" i="20"/>
  <c r="O1259" i="20"/>
  <c r="S1259" i="20"/>
  <c r="T1259" i="20"/>
  <c r="U1259" i="20"/>
  <c r="V1259" i="20"/>
  <c r="W1259" i="20"/>
  <c r="X1259" i="20"/>
  <c r="Y1259" i="20"/>
  <c r="AC1259" i="20"/>
  <c r="M1260" i="20"/>
  <c r="O1260" i="20"/>
  <c r="S1260" i="20"/>
  <c r="T1260" i="20"/>
  <c r="U1260" i="20"/>
  <c r="V1260" i="20"/>
  <c r="W1260" i="20"/>
  <c r="X1260" i="20"/>
  <c r="Y1260" i="20"/>
  <c r="AC1260" i="20"/>
  <c r="M1261" i="20"/>
  <c r="O1261" i="20"/>
  <c r="S1261" i="20"/>
  <c r="T1261" i="20"/>
  <c r="U1261" i="20"/>
  <c r="V1261" i="20"/>
  <c r="W1261" i="20"/>
  <c r="X1261" i="20"/>
  <c r="Y1261" i="20"/>
  <c r="AC1261" i="20"/>
  <c r="M1262" i="20"/>
  <c r="O1262" i="20"/>
  <c r="S1262" i="20"/>
  <c r="T1262" i="20"/>
  <c r="U1262" i="20"/>
  <c r="V1262" i="20"/>
  <c r="W1262" i="20"/>
  <c r="X1262" i="20"/>
  <c r="Y1262" i="20"/>
  <c r="AC1262" i="20"/>
  <c r="M1263" i="20"/>
  <c r="O1263" i="20"/>
  <c r="S1263" i="20"/>
  <c r="T1263" i="20"/>
  <c r="U1263" i="20"/>
  <c r="V1263" i="20"/>
  <c r="W1263" i="20"/>
  <c r="X1263" i="20"/>
  <c r="Y1263" i="20"/>
  <c r="AC1263" i="20"/>
  <c r="M1264" i="20"/>
  <c r="O1264" i="20"/>
  <c r="S1264" i="20"/>
  <c r="T1264" i="20"/>
  <c r="U1264" i="20"/>
  <c r="V1264" i="20"/>
  <c r="W1264" i="20"/>
  <c r="X1264" i="20"/>
  <c r="Y1264" i="20"/>
  <c r="AC1264" i="20"/>
  <c r="M1265" i="20"/>
  <c r="O1265" i="20"/>
  <c r="S1265" i="20"/>
  <c r="T1265" i="20"/>
  <c r="U1265" i="20"/>
  <c r="V1265" i="20"/>
  <c r="W1265" i="20"/>
  <c r="X1265" i="20"/>
  <c r="Y1265" i="20"/>
  <c r="AC1265" i="20"/>
  <c r="M1266" i="20"/>
  <c r="O1266" i="20"/>
  <c r="S1266" i="20"/>
  <c r="T1266" i="20"/>
  <c r="U1266" i="20"/>
  <c r="V1266" i="20"/>
  <c r="W1266" i="20"/>
  <c r="X1266" i="20"/>
  <c r="Y1266" i="20"/>
  <c r="AC1266" i="20"/>
  <c r="M1267" i="20"/>
  <c r="O1267" i="20"/>
  <c r="S1267" i="20"/>
  <c r="T1267" i="20"/>
  <c r="U1267" i="20"/>
  <c r="V1267" i="20"/>
  <c r="W1267" i="20"/>
  <c r="X1267" i="20"/>
  <c r="Y1267" i="20"/>
  <c r="AC1267" i="20"/>
  <c r="M1268" i="20"/>
  <c r="O1268" i="20"/>
  <c r="S1268" i="20"/>
  <c r="T1268" i="20"/>
  <c r="U1268" i="20"/>
  <c r="V1268" i="20"/>
  <c r="W1268" i="20"/>
  <c r="X1268" i="20"/>
  <c r="Y1268" i="20"/>
  <c r="AC1268" i="20"/>
  <c r="M1269" i="20"/>
  <c r="O1269" i="20"/>
  <c r="S1269" i="20"/>
  <c r="T1269" i="20"/>
  <c r="U1269" i="20"/>
  <c r="V1269" i="20"/>
  <c r="W1269" i="20"/>
  <c r="X1269" i="20"/>
  <c r="Y1269" i="20"/>
  <c r="AC1269" i="20"/>
  <c r="M1270" i="20"/>
  <c r="O1270" i="20"/>
  <c r="S1270" i="20"/>
  <c r="T1270" i="20"/>
  <c r="U1270" i="20"/>
  <c r="V1270" i="20"/>
  <c r="W1270" i="20"/>
  <c r="X1270" i="20"/>
  <c r="Y1270" i="20"/>
  <c r="AC1270" i="20"/>
  <c r="M1271" i="20"/>
  <c r="O1271" i="20"/>
  <c r="S1271" i="20"/>
  <c r="T1271" i="20"/>
  <c r="U1271" i="20"/>
  <c r="V1271" i="20"/>
  <c r="W1271" i="20"/>
  <c r="X1271" i="20"/>
  <c r="Y1271" i="20"/>
  <c r="AC1271" i="20"/>
  <c r="M1272" i="20"/>
  <c r="O1272" i="20"/>
  <c r="S1272" i="20"/>
  <c r="T1272" i="20"/>
  <c r="U1272" i="20"/>
  <c r="V1272" i="20"/>
  <c r="W1272" i="20"/>
  <c r="X1272" i="20"/>
  <c r="Y1272" i="20"/>
  <c r="AC1272" i="20"/>
  <c r="M1273" i="20"/>
  <c r="O1273" i="20"/>
  <c r="S1273" i="20"/>
  <c r="T1273" i="20"/>
  <c r="U1273" i="20"/>
  <c r="V1273" i="20"/>
  <c r="W1273" i="20"/>
  <c r="X1273" i="20"/>
  <c r="Y1273" i="20"/>
  <c r="AC1273" i="20"/>
  <c r="M1274" i="20"/>
  <c r="O1274" i="20"/>
  <c r="S1274" i="20"/>
  <c r="T1274" i="20"/>
  <c r="U1274" i="20"/>
  <c r="V1274" i="20"/>
  <c r="W1274" i="20"/>
  <c r="X1274" i="20"/>
  <c r="Y1274" i="20"/>
  <c r="AC1274" i="20"/>
  <c r="M1275" i="20"/>
  <c r="O1275" i="20"/>
  <c r="S1275" i="20"/>
  <c r="T1275" i="20"/>
  <c r="U1275" i="20"/>
  <c r="V1275" i="20"/>
  <c r="W1275" i="20"/>
  <c r="X1275" i="20"/>
  <c r="Y1275" i="20"/>
  <c r="AC1275" i="20"/>
  <c r="M1276" i="20"/>
  <c r="O1276" i="20"/>
  <c r="S1276" i="20"/>
  <c r="T1276" i="20"/>
  <c r="U1276" i="20"/>
  <c r="V1276" i="20"/>
  <c r="W1276" i="20"/>
  <c r="X1276" i="20"/>
  <c r="Y1276" i="20"/>
  <c r="AC1276" i="20"/>
  <c r="M1277" i="20"/>
  <c r="O1277" i="20"/>
  <c r="S1277" i="20"/>
  <c r="T1277" i="20"/>
  <c r="U1277" i="20"/>
  <c r="V1277" i="20"/>
  <c r="W1277" i="20"/>
  <c r="X1277" i="20"/>
  <c r="Y1277" i="20"/>
  <c r="AC1277" i="20"/>
  <c r="M1278" i="20"/>
  <c r="O1278" i="20"/>
  <c r="S1278" i="20"/>
  <c r="T1278" i="20"/>
  <c r="U1278" i="20"/>
  <c r="V1278" i="20"/>
  <c r="W1278" i="20"/>
  <c r="X1278" i="20"/>
  <c r="Y1278" i="20"/>
  <c r="AC1278" i="20"/>
  <c r="M1279" i="20"/>
  <c r="O1279" i="20"/>
  <c r="S1279" i="20"/>
  <c r="T1279" i="20"/>
  <c r="U1279" i="20"/>
  <c r="V1279" i="20"/>
  <c r="W1279" i="20"/>
  <c r="X1279" i="20"/>
  <c r="Y1279" i="20"/>
  <c r="AC1279" i="20"/>
  <c r="M1280" i="20"/>
  <c r="O1280" i="20"/>
  <c r="S1280" i="20"/>
  <c r="T1280" i="20"/>
  <c r="U1280" i="20"/>
  <c r="V1280" i="20"/>
  <c r="W1280" i="20"/>
  <c r="X1280" i="20"/>
  <c r="Y1280" i="20"/>
  <c r="AC1280" i="20"/>
  <c r="M1281" i="20"/>
  <c r="O1281" i="20"/>
  <c r="S1281" i="20"/>
  <c r="T1281" i="20"/>
  <c r="U1281" i="20"/>
  <c r="V1281" i="20"/>
  <c r="W1281" i="20"/>
  <c r="X1281" i="20"/>
  <c r="Y1281" i="20"/>
  <c r="AC1281" i="20"/>
  <c r="M1282" i="20"/>
  <c r="O1282" i="20"/>
  <c r="S1282" i="20"/>
  <c r="T1282" i="20"/>
  <c r="U1282" i="20"/>
  <c r="V1282" i="20"/>
  <c r="W1282" i="20"/>
  <c r="X1282" i="20"/>
  <c r="Y1282" i="20"/>
  <c r="AC1282" i="20"/>
  <c r="M1283" i="20"/>
  <c r="O1283" i="20"/>
  <c r="S1283" i="20"/>
  <c r="T1283" i="20"/>
  <c r="U1283" i="20"/>
  <c r="V1283" i="20"/>
  <c r="W1283" i="20"/>
  <c r="X1283" i="20"/>
  <c r="Y1283" i="20"/>
  <c r="AC1283" i="20"/>
  <c r="M1284" i="20"/>
  <c r="O1284" i="20"/>
  <c r="S1284" i="20"/>
  <c r="T1284" i="20"/>
  <c r="U1284" i="20"/>
  <c r="V1284" i="20"/>
  <c r="W1284" i="20"/>
  <c r="X1284" i="20"/>
  <c r="Y1284" i="20"/>
  <c r="AC1284" i="20"/>
  <c r="M1285" i="20"/>
  <c r="O1285" i="20"/>
  <c r="S1285" i="20"/>
  <c r="T1285" i="20"/>
  <c r="U1285" i="20"/>
  <c r="V1285" i="20"/>
  <c r="W1285" i="20"/>
  <c r="X1285" i="20"/>
  <c r="Y1285" i="20"/>
  <c r="AC1285" i="20"/>
  <c r="M1286" i="20"/>
  <c r="O1286" i="20"/>
  <c r="S1286" i="20"/>
  <c r="T1286" i="20"/>
  <c r="U1286" i="20"/>
  <c r="V1286" i="20"/>
  <c r="W1286" i="20"/>
  <c r="X1286" i="20"/>
  <c r="Y1286" i="20"/>
  <c r="AC1286" i="20"/>
  <c r="M1287" i="20"/>
  <c r="O1287" i="20"/>
  <c r="S1287" i="20"/>
  <c r="T1287" i="20"/>
  <c r="U1287" i="20"/>
  <c r="V1287" i="20"/>
  <c r="W1287" i="20"/>
  <c r="X1287" i="20"/>
  <c r="Y1287" i="20"/>
  <c r="AC1287" i="20"/>
  <c r="M1288" i="20"/>
  <c r="O1288" i="20"/>
  <c r="S1288" i="20"/>
  <c r="T1288" i="20"/>
  <c r="U1288" i="20"/>
  <c r="V1288" i="20"/>
  <c r="W1288" i="20"/>
  <c r="X1288" i="20"/>
  <c r="Y1288" i="20"/>
  <c r="AC1288" i="20"/>
  <c r="M1289" i="20"/>
  <c r="O1289" i="20"/>
  <c r="S1289" i="20"/>
  <c r="T1289" i="20"/>
  <c r="U1289" i="20"/>
  <c r="V1289" i="20"/>
  <c r="W1289" i="20"/>
  <c r="X1289" i="20"/>
  <c r="Y1289" i="20"/>
  <c r="AC1289" i="20"/>
  <c r="M1290" i="20"/>
  <c r="O1290" i="20"/>
  <c r="S1290" i="20"/>
  <c r="T1290" i="20"/>
  <c r="U1290" i="20"/>
  <c r="V1290" i="20"/>
  <c r="W1290" i="20"/>
  <c r="X1290" i="20"/>
  <c r="Y1290" i="20"/>
  <c r="AC1290" i="20"/>
  <c r="M1291" i="20"/>
  <c r="O1291" i="20"/>
  <c r="S1291" i="20"/>
  <c r="T1291" i="20"/>
  <c r="U1291" i="20"/>
  <c r="V1291" i="20"/>
  <c r="W1291" i="20"/>
  <c r="X1291" i="20"/>
  <c r="Y1291" i="20"/>
  <c r="AC1291" i="20"/>
  <c r="M1292" i="20"/>
  <c r="O1292" i="20"/>
  <c r="S1292" i="20"/>
  <c r="T1292" i="20"/>
  <c r="U1292" i="20"/>
  <c r="V1292" i="20"/>
  <c r="W1292" i="20"/>
  <c r="X1292" i="20"/>
  <c r="Y1292" i="20"/>
  <c r="AC1292" i="20"/>
  <c r="M1293" i="20"/>
  <c r="O1293" i="20"/>
  <c r="S1293" i="20"/>
  <c r="T1293" i="20"/>
  <c r="U1293" i="20"/>
  <c r="V1293" i="20"/>
  <c r="W1293" i="20"/>
  <c r="X1293" i="20"/>
  <c r="Y1293" i="20"/>
  <c r="AC1293" i="20"/>
  <c r="M1294" i="20"/>
  <c r="O1294" i="20"/>
  <c r="S1294" i="20"/>
  <c r="T1294" i="20"/>
  <c r="U1294" i="20"/>
  <c r="V1294" i="20"/>
  <c r="W1294" i="20"/>
  <c r="X1294" i="20"/>
  <c r="Y1294" i="20"/>
  <c r="AC1294" i="20"/>
  <c r="M1295" i="20"/>
  <c r="O1295" i="20"/>
  <c r="S1295" i="20"/>
  <c r="T1295" i="20"/>
  <c r="U1295" i="20"/>
  <c r="V1295" i="20"/>
  <c r="W1295" i="20"/>
  <c r="X1295" i="20"/>
  <c r="Y1295" i="20"/>
  <c r="AC1295" i="20"/>
  <c r="M1296" i="20"/>
  <c r="O1296" i="20"/>
  <c r="S1296" i="20"/>
  <c r="T1296" i="20"/>
  <c r="U1296" i="20"/>
  <c r="V1296" i="20"/>
  <c r="W1296" i="20"/>
  <c r="X1296" i="20"/>
  <c r="Y1296" i="20"/>
  <c r="AC1296" i="20"/>
  <c r="M1297" i="20"/>
  <c r="O1297" i="20"/>
  <c r="S1297" i="20"/>
  <c r="T1297" i="20"/>
  <c r="U1297" i="20"/>
  <c r="V1297" i="20"/>
  <c r="W1297" i="20"/>
  <c r="X1297" i="20"/>
  <c r="Y1297" i="20"/>
  <c r="AC1297" i="20"/>
  <c r="M1298" i="20"/>
  <c r="O1298" i="20"/>
  <c r="S1298" i="20"/>
  <c r="T1298" i="20"/>
  <c r="U1298" i="20"/>
  <c r="V1298" i="20"/>
  <c r="W1298" i="20"/>
  <c r="X1298" i="20"/>
  <c r="Y1298" i="20"/>
  <c r="AC1298" i="20"/>
  <c r="M1299" i="20"/>
  <c r="O1299" i="20"/>
  <c r="S1299" i="20"/>
  <c r="T1299" i="20"/>
  <c r="U1299" i="20"/>
  <c r="V1299" i="20"/>
  <c r="W1299" i="20"/>
  <c r="X1299" i="20"/>
  <c r="Y1299" i="20"/>
  <c r="AC1299" i="20"/>
  <c r="M1300" i="20"/>
  <c r="O1300" i="20"/>
  <c r="S1300" i="20"/>
  <c r="T1300" i="20"/>
  <c r="U1300" i="20"/>
  <c r="V1300" i="20"/>
  <c r="W1300" i="20"/>
  <c r="X1300" i="20"/>
  <c r="Y1300" i="20"/>
  <c r="AC1300" i="20"/>
  <c r="M1301" i="20"/>
  <c r="O1301" i="20"/>
  <c r="S1301" i="20"/>
  <c r="T1301" i="20"/>
  <c r="U1301" i="20"/>
  <c r="V1301" i="20"/>
  <c r="W1301" i="20"/>
  <c r="X1301" i="20"/>
  <c r="Y1301" i="20"/>
  <c r="AC1301" i="20"/>
  <c r="M1302" i="20"/>
  <c r="O1302" i="20"/>
  <c r="S1302" i="20"/>
  <c r="T1302" i="20"/>
  <c r="U1302" i="20"/>
  <c r="V1302" i="20"/>
  <c r="W1302" i="20"/>
  <c r="X1302" i="20"/>
  <c r="Y1302" i="20"/>
  <c r="AC1302" i="20"/>
  <c r="M1303" i="20"/>
  <c r="O1303" i="20"/>
  <c r="S1303" i="20"/>
  <c r="T1303" i="20"/>
  <c r="U1303" i="20"/>
  <c r="V1303" i="20"/>
  <c r="W1303" i="20"/>
  <c r="X1303" i="20"/>
  <c r="Y1303" i="20"/>
  <c r="AC1303" i="20"/>
  <c r="M1304" i="20"/>
  <c r="O1304" i="20"/>
  <c r="S1304" i="20"/>
  <c r="T1304" i="20"/>
  <c r="U1304" i="20"/>
  <c r="V1304" i="20"/>
  <c r="W1304" i="20"/>
  <c r="X1304" i="20"/>
  <c r="Y1304" i="20"/>
  <c r="AC1304" i="20"/>
  <c r="M1305" i="20"/>
  <c r="O1305" i="20"/>
  <c r="S1305" i="20"/>
  <c r="T1305" i="20"/>
  <c r="U1305" i="20"/>
  <c r="V1305" i="20"/>
  <c r="W1305" i="20"/>
  <c r="X1305" i="20"/>
  <c r="Y1305" i="20"/>
  <c r="AC1305" i="20"/>
  <c r="M1306" i="20"/>
  <c r="O1306" i="20"/>
  <c r="S1306" i="20"/>
  <c r="T1306" i="20"/>
  <c r="U1306" i="20"/>
  <c r="V1306" i="20"/>
  <c r="W1306" i="20"/>
  <c r="X1306" i="20"/>
  <c r="Y1306" i="20"/>
  <c r="AC1306" i="20"/>
  <c r="M1307" i="20"/>
  <c r="O1307" i="20"/>
  <c r="S1307" i="20"/>
  <c r="T1307" i="20"/>
  <c r="U1307" i="20"/>
  <c r="V1307" i="20"/>
  <c r="W1307" i="20"/>
  <c r="X1307" i="20"/>
  <c r="Y1307" i="20"/>
  <c r="AC1307" i="20"/>
  <c r="M1308" i="20"/>
  <c r="O1308" i="20"/>
  <c r="S1308" i="20"/>
  <c r="T1308" i="20"/>
  <c r="U1308" i="20"/>
  <c r="V1308" i="20"/>
  <c r="W1308" i="20"/>
  <c r="X1308" i="20"/>
  <c r="Y1308" i="20"/>
  <c r="AC1308" i="20"/>
  <c r="M1309" i="20"/>
  <c r="O1309" i="20"/>
  <c r="S1309" i="20"/>
  <c r="T1309" i="20"/>
  <c r="U1309" i="20"/>
  <c r="V1309" i="20"/>
  <c r="W1309" i="20"/>
  <c r="X1309" i="20"/>
  <c r="Y1309" i="20"/>
  <c r="AC1309" i="20"/>
  <c r="M1310" i="20"/>
  <c r="O1310" i="20"/>
  <c r="S1310" i="20"/>
  <c r="T1310" i="20"/>
  <c r="U1310" i="20"/>
  <c r="V1310" i="20"/>
  <c r="W1310" i="20"/>
  <c r="X1310" i="20"/>
  <c r="Y1310" i="20"/>
  <c r="AC1310" i="20"/>
  <c r="M1311" i="20"/>
  <c r="O1311" i="20"/>
  <c r="S1311" i="20"/>
  <c r="T1311" i="20"/>
  <c r="U1311" i="20"/>
  <c r="V1311" i="20"/>
  <c r="W1311" i="20"/>
  <c r="X1311" i="20"/>
  <c r="Y1311" i="20"/>
  <c r="AC1311" i="20"/>
  <c r="M1312" i="20"/>
  <c r="O1312" i="20"/>
  <c r="S1312" i="20"/>
  <c r="T1312" i="20"/>
  <c r="U1312" i="20"/>
  <c r="V1312" i="20"/>
  <c r="W1312" i="20"/>
  <c r="X1312" i="20"/>
  <c r="Y1312" i="20"/>
  <c r="AC1312" i="20"/>
  <c r="M1313" i="20"/>
  <c r="O1313" i="20"/>
  <c r="S1313" i="20"/>
  <c r="T1313" i="20"/>
  <c r="U1313" i="20"/>
  <c r="V1313" i="20"/>
  <c r="W1313" i="20"/>
  <c r="X1313" i="20"/>
  <c r="Y1313" i="20"/>
  <c r="AC1313" i="20"/>
  <c r="M1314" i="20"/>
  <c r="O1314" i="20"/>
  <c r="S1314" i="20"/>
  <c r="T1314" i="20"/>
  <c r="U1314" i="20"/>
  <c r="V1314" i="20"/>
  <c r="W1314" i="20"/>
  <c r="X1314" i="20"/>
  <c r="Y1314" i="20"/>
  <c r="AC1314" i="20"/>
  <c r="M1315" i="20"/>
  <c r="O1315" i="20"/>
  <c r="S1315" i="20"/>
  <c r="T1315" i="20"/>
  <c r="U1315" i="20"/>
  <c r="V1315" i="20"/>
  <c r="W1315" i="20"/>
  <c r="X1315" i="20"/>
  <c r="Y1315" i="20"/>
  <c r="AC1315" i="20"/>
  <c r="M1316" i="20"/>
  <c r="O1316" i="20"/>
  <c r="S1316" i="20"/>
  <c r="T1316" i="20"/>
  <c r="U1316" i="20"/>
  <c r="V1316" i="20"/>
  <c r="W1316" i="20"/>
  <c r="X1316" i="20"/>
  <c r="Y1316" i="20"/>
  <c r="AC1316" i="20"/>
  <c r="M1317" i="20"/>
  <c r="O1317" i="20"/>
  <c r="S1317" i="20"/>
  <c r="T1317" i="20"/>
  <c r="U1317" i="20"/>
  <c r="V1317" i="20"/>
  <c r="W1317" i="20"/>
  <c r="X1317" i="20"/>
  <c r="Y1317" i="20"/>
  <c r="AC1317" i="20"/>
  <c r="M1318" i="20"/>
  <c r="O1318" i="20"/>
  <c r="S1318" i="20"/>
  <c r="T1318" i="20"/>
  <c r="U1318" i="20"/>
  <c r="V1318" i="20"/>
  <c r="W1318" i="20"/>
  <c r="X1318" i="20"/>
  <c r="Y1318" i="20"/>
  <c r="AC1318" i="20"/>
  <c r="M1319" i="20"/>
  <c r="O1319" i="20"/>
  <c r="S1319" i="20"/>
  <c r="T1319" i="20"/>
  <c r="U1319" i="20"/>
  <c r="V1319" i="20"/>
  <c r="W1319" i="20"/>
  <c r="X1319" i="20"/>
  <c r="Y1319" i="20"/>
  <c r="AC1319" i="20"/>
  <c r="M1320" i="20"/>
  <c r="O1320" i="20"/>
  <c r="S1320" i="20"/>
  <c r="T1320" i="20"/>
  <c r="U1320" i="20"/>
  <c r="V1320" i="20"/>
  <c r="W1320" i="20"/>
  <c r="X1320" i="20"/>
  <c r="Y1320" i="20"/>
  <c r="AC1320" i="20"/>
  <c r="M1321" i="20"/>
  <c r="O1321" i="20"/>
  <c r="S1321" i="20"/>
  <c r="T1321" i="20"/>
  <c r="U1321" i="20"/>
  <c r="V1321" i="20"/>
  <c r="W1321" i="20"/>
  <c r="X1321" i="20"/>
  <c r="Y1321" i="20"/>
  <c r="AC1321" i="20"/>
  <c r="M1322" i="20"/>
  <c r="O1322" i="20"/>
  <c r="S1322" i="20"/>
  <c r="T1322" i="20"/>
  <c r="U1322" i="20"/>
  <c r="V1322" i="20"/>
  <c r="W1322" i="20"/>
  <c r="X1322" i="20"/>
  <c r="Y1322" i="20"/>
  <c r="AC1322" i="20"/>
  <c r="M1323" i="20"/>
  <c r="O1323" i="20"/>
  <c r="S1323" i="20"/>
  <c r="T1323" i="20"/>
  <c r="U1323" i="20"/>
  <c r="V1323" i="20"/>
  <c r="W1323" i="20"/>
  <c r="X1323" i="20"/>
  <c r="Y1323" i="20"/>
  <c r="AC1323" i="20"/>
  <c r="M1324" i="20"/>
  <c r="O1324" i="20"/>
  <c r="S1324" i="20"/>
  <c r="T1324" i="20"/>
  <c r="U1324" i="20"/>
  <c r="V1324" i="20"/>
  <c r="W1324" i="20"/>
  <c r="X1324" i="20"/>
  <c r="Y1324" i="20"/>
  <c r="AC1324" i="20"/>
  <c r="M1325" i="20"/>
  <c r="O1325" i="20"/>
  <c r="S1325" i="20"/>
  <c r="T1325" i="20"/>
  <c r="U1325" i="20"/>
  <c r="V1325" i="20"/>
  <c r="W1325" i="20"/>
  <c r="X1325" i="20"/>
  <c r="Y1325" i="20"/>
  <c r="AC1325" i="20"/>
  <c r="M1326" i="20"/>
  <c r="O1326" i="20"/>
  <c r="S1326" i="20"/>
  <c r="T1326" i="20"/>
  <c r="U1326" i="20"/>
  <c r="V1326" i="20"/>
  <c r="W1326" i="20"/>
  <c r="X1326" i="20"/>
  <c r="Y1326" i="20"/>
  <c r="AC1326" i="20"/>
  <c r="M1327" i="20"/>
  <c r="O1327" i="20"/>
  <c r="S1327" i="20"/>
  <c r="T1327" i="20"/>
  <c r="U1327" i="20"/>
  <c r="V1327" i="20"/>
  <c r="W1327" i="20"/>
  <c r="X1327" i="20"/>
  <c r="Y1327" i="20"/>
  <c r="AC1327" i="20"/>
  <c r="M1328" i="20"/>
  <c r="O1328" i="20"/>
  <c r="S1328" i="20"/>
  <c r="T1328" i="20"/>
  <c r="U1328" i="20"/>
  <c r="V1328" i="20"/>
  <c r="W1328" i="20"/>
  <c r="X1328" i="20"/>
  <c r="Y1328" i="20"/>
  <c r="AC1328" i="20"/>
  <c r="M1329" i="20"/>
  <c r="O1329" i="20"/>
  <c r="S1329" i="20"/>
  <c r="T1329" i="20"/>
  <c r="U1329" i="20"/>
  <c r="V1329" i="20"/>
  <c r="W1329" i="20"/>
  <c r="X1329" i="20"/>
  <c r="Y1329" i="20"/>
  <c r="AC1329" i="20"/>
  <c r="M1330" i="20"/>
  <c r="O1330" i="20"/>
  <c r="S1330" i="20"/>
  <c r="T1330" i="20"/>
  <c r="U1330" i="20"/>
  <c r="V1330" i="20"/>
  <c r="W1330" i="20"/>
  <c r="X1330" i="20"/>
  <c r="Y1330" i="20"/>
  <c r="AC1330" i="20"/>
  <c r="M1331" i="20"/>
  <c r="O1331" i="20"/>
  <c r="S1331" i="20"/>
  <c r="T1331" i="20"/>
  <c r="U1331" i="20"/>
  <c r="V1331" i="20"/>
  <c r="W1331" i="20"/>
  <c r="X1331" i="20"/>
  <c r="Y1331" i="20"/>
  <c r="AC1331" i="20"/>
  <c r="M1332" i="20"/>
  <c r="O1332" i="20"/>
  <c r="S1332" i="20"/>
  <c r="T1332" i="20"/>
  <c r="U1332" i="20"/>
  <c r="V1332" i="20"/>
  <c r="W1332" i="20"/>
  <c r="X1332" i="20"/>
  <c r="Y1332" i="20"/>
  <c r="AC1332" i="20"/>
  <c r="M1333" i="20"/>
  <c r="O1333" i="20"/>
  <c r="S1333" i="20"/>
  <c r="T1333" i="20"/>
  <c r="U1333" i="20"/>
  <c r="V1333" i="20"/>
  <c r="W1333" i="20"/>
  <c r="X1333" i="20"/>
  <c r="Y1333" i="20"/>
  <c r="AC1333" i="20"/>
  <c r="M1334" i="20"/>
  <c r="O1334" i="20"/>
  <c r="S1334" i="20"/>
  <c r="T1334" i="20"/>
  <c r="U1334" i="20"/>
  <c r="V1334" i="20"/>
  <c r="W1334" i="20"/>
  <c r="X1334" i="20"/>
  <c r="Y1334" i="20"/>
  <c r="AC1334" i="20"/>
  <c r="M1335" i="20"/>
  <c r="O1335" i="20"/>
  <c r="S1335" i="20"/>
  <c r="T1335" i="20"/>
  <c r="U1335" i="20"/>
  <c r="V1335" i="20"/>
  <c r="W1335" i="20"/>
  <c r="X1335" i="20"/>
  <c r="Y1335" i="20"/>
  <c r="AC1335" i="20"/>
  <c r="M1336" i="20"/>
  <c r="O1336" i="20"/>
  <c r="S1336" i="20"/>
  <c r="T1336" i="20"/>
  <c r="U1336" i="20"/>
  <c r="V1336" i="20"/>
  <c r="W1336" i="20"/>
  <c r="X1336" i="20"/>
  <c r="Y1336" i="20"/>
  <c r="AC1336" i="20"/>
  <c r="M1337" i="20"/>
  <c r="O1337" i="20"/>
  <c r="S1337" i="20"/>
  <c r="T1337" i="20"/>
  <c r="U1337" i="20"/>
  <c r="V1337" i="20"/>
  <c r="W1337" i="20"/>
  <c r="X1337" i="20"/>
  <c r="Y1337" i="20"/>
  <c r="AC1337" i="20"/>
  <c r="M1338" i="20"/>
  <c r="O1338" i="20"/>
  <c r="S1338" i="20"/>
  <c r="T1338" i="20"/>
  <c r="U1338" i="20"/>
  <c r="V1338" i="20"/>
  <c r="W1338" i="20"/>
  <c r="X1338" i="20"/>
  <c r="Y1338" i="20"/>
  <c r="AC1338" i="20"/>
  <c r="M1339" i="20"/>
  <c r="O1339" i="20"/>
  <c r="S1339" i="20"/>
  <c r="T1339" i="20"/>
  <c r="U1339" i="20"/>
  <c r="V1339" i="20"/>
  <c r="W1339" i="20"/>
  <c r="X1339" i="20"/>
  <c r="Y1339" i="20"/>
  <c r="AC1339" i="20"/>
  <c r="M1340" i="20"/>
  <c r="O1340" i="20"/>
  <c r="S1340" i="20"/>
  <c r="T1340" i="20"/>
  <c r="U1340" i="20"/>
  <c r="V1340" i="20"/>
  <c r="W1340" i="20"/>
  <c r="X1340" i="20"/>
  <c r="Y1340" i="20"/>
  <c r="AC1340" i="20"/>
  <c r="M1341" i="20"/>
  <c r="O1341" i="20"/>
  <c r="S1341" i="20"/>
  <c r="T1341" i="20"/>
  <c r="U1341" i="20"/>
  <c r="V1341" i="20"/>
  <c r="W1341" i="20"/>
  <c r="X1341" i="20"/>
  <c r="Y1341" i="20"/>
  <c r="AC1341" i="20"/>
  <c r="M1342" i="20"/>
  <c r="O1342" i="20"/>
  <c r="S1342" i="20"/>
  <c r="T1342" i="20"/>
  <c r="U1342" i="20"/>
  <c r="V1342" i="20"/>
  <c r="W1342" i="20"/>
  <c r="X1342" i="20"/>
  <c r="Y1342" i="20"/>
  <c r="AC1342" i="20"/>
  <c r="M1343" i="20"/>
  <c r="O1343" i="20"/>
  <c r="S1343" i="20"/>
  <c r="T1343" i="20"/>
  <c r="U1343" i="20"/>
  <c r="V1343" i="20"/>
  <c r="W1343" i="20"/>
  <c r="X1343" i="20"/>
  <c r="Y1343" i="20"/>
  <c r="AC1343" i="20"/>
  <c r="M1344" i="20"/>
  <c r="O1344" i="20"/>
  <c r="S1344" i="20"/>
  <c r="T1344" i="20"/>
  <c r="U1344" i="20"/>
  <c r="V1344" i="20"/>
  <c r="W1344" i="20"/>
  <c r="X1344" i="20"/>
  <c r="Y1344" i="20"/>
  <c r="AC1344" i="20"/>
  <c r="M1345" i="20"/>
  <c r="O1345" i="20"/>
  <c r="S1345" i="20"/>
  <c r="T1345" i="20"/>
  <c r="U1345" i="20"/>
  <c r="V1345" i="20"/>
  <c r="W1345" i="20"/>
  <c r="X1345" i="20"/>
  <c r="Y1345" i="20"/>
  <c r="AC1345" i="20"/>
  <c r="M1346" i="20"/>
  <c r="O1346" i="20"/>
  <c r="S1346" i="20"/>
  <c r="T1346" i="20"/>
  <c r="U1346" i="20"/>
  <c r="V1346" i="20"/>
  <c r="W1346" i="20"/>
  <c r="X1346" i="20"/>
  <c r="Y1346" i="20"/>
  <c r="AC1346" i="20"/>
  <c r="M1347" i="20"/>
  <c r="O1347" i="20"/>
  <c r="S1347" i="20"/>
  <c r="T1347" i="20"/>
  <c r="U1347" i="20"/>
  <c r="V1347" i="20"/>
  <c r="W1347" i="20"/>
  <c r="X1347" i="20"/>
  <c r="Y1347" i="20"/>
  <c r="AC1347" i="20"/>
  <c r="M1348" i="20"/>
  <c r="O1348" i="20"/>
  <c r="S1348" i="20"/>
  <c r="T1348" i="20"/>
  <c r="U1348" i="20"/>
  <c r="V1348" i="20"/>
  <c r="W1348" i="20"/>
  <c r="X1348" i="20"/>
  <c r="Y1348" i="20"/>
  <c r="AC1348" i="20"/>
  <c r="M1349" i="20"/>
  <c r="O1349" i="20"/>
  <c r="S1349" i="20"/>
  <c r="T1349" i="20"/>
  <c r="U1349" i="20"/>
  <c r="V1349" i="20"/>
  <c r="W1349" i="20"/>
  <c r="X1349" i="20"/>
  <c r="Y1349" i="20"/>
  <c r="AC1349" i="20"/>
  <c r="M1350" i="20"/>
  <c r="O1350" i="20"/>
  <c r="S1350" i="20"/>
  <c r="T1350" i="20"/>
  <c r="U1350" i="20"/>
  <c r="V1350" i="20"/>
  <c r="W1350" i="20"/>
  <c r="X1350" i="20"/>
  <c r="Y1350" i="20"/>
  <c r="AC1350" i="20"/>
  <c r="M1351" i="20"/>
  <c r="O1351" i="20"/>
  <c r="S1351" i="20"/>
  <c r="T1351" i="20"/>
  <c r="U1351" i="20"/>
  <c r="V1351" i="20"/>
  <c r="W1351" i="20"/>
  <c r="X1351" i="20"/>
  <c r="Y1351" i="20"/>
  <c r="AC1351" i="20"/>
  <c r="M1352" i="20"/>
  <c r="O1352" i="20"/>
  <c r="S1352" i="20"/>
  <c r="T1352" i="20"/>
  <c r="U1352" i="20"/>
  <c r="V1352" i="20"/>
  <c r="W1352" i="20"/>
  <c r="X1352" i="20"/>
  <c r="Y1352" i="20"/>
  <c r="AC1352" i="20"/>
  <c r="M1353" i="20"/>
  <c r="O1353" i="20"/>
  <c r="S1353" i="20"/>
  <c r="T1353" i="20"/>
  <c r="U1353" i="20"/>
  <c r="V1353" i="20"/>
  <c r="W1353" i="20"/>
  <c r="X1353" i="20"/>
  <c r="Y1353" i="20"/>
  <c r="AC1353" i="20"/>
  <c r="M1354" i="20"/>
  <c r="O1354" i="20"/>
  <c r="S1354" i="20"/>
  <c r="T1354" i="20"/>
  <c r="U1354" i="20"/>
  <c r="V1354" i="20"/>
  <c r="W1354" i="20"/>
  <c r="X1354" i="20"/>
  <c r="Y1354" i="20"/>
  <c r="AC1354" i="20"/>
  <c r="M1355" i="20"/>
  <c r="O1355" i="20"/>
  <c r="S1355" i="20"/>
  <c r="T1355" i="20"/>
  <c r="U1355" i="20"/>
  <c r="V1355" i="20"/>
  <c r="W1355" i="20"/>
  <c r="X1355" i="20"/>
  <c r="Y1355" i="20"/>
  <c r="AC1355" i="20"/>
  <c r="M1356" i="20"/>
  <c r="O1356" i="20"/>
  <c r="S1356" i="20"/>
  <c r="T1356" i="20"/>
  <c r="U1356" i="20"/>
  <c r="V1356" i="20"/>
  <c r="W1356" i="20"/>
  <c r="X1356" i="20"/>
  <c r="Y1356" i="20"/>
  <c r="AC1356" i="20"/>
  <c r="M1357" i="20"/>
  <c r="O1357" i="20"/>
  <c r="S1357" i="20"/>
  <c r="T1357" i="20"/>
  <c r="U1357" i="20"/>
  <c r="V1357" i="20"/>
  <c r="W1357" i="20"/>
  <c r="X1357" i="20"/>
  <c r="Y1357" i="20"/>
  <c r="AC1357" i="20"/>
  <c r="M1358" i="20"/>
  <c r="O1358" i="20"/>
  <c r="S1358" i="20"/>
  <c r="T1358" i="20"/>
  <c r="U1358" i="20"/>
  <c r="V1358" i="20"/>
  <c r="W1358" i="20"/>
  <c r="X1358" i="20"/>
  <c r="Y1358" i="20"/>
  <c r="AC1358" i="20"/>
  <c r="M1359" i="20"/>
  <c r="O1359" i="20"/>
  <c r="S1359" i="20"/>
  <c r="T1359" i="20"/>
  <c r="U1359" i="20"/>
  <c r="V1359" i="20"/>
  <c r="W1359" i="20"/>
  <c r="X1359" i="20"/>
  <c r="Y1359" i="20"/>
  <c r="AC1359" i="20"/>
  <c r="M1360" i="20"/>
  <c r="O1360" i="20"/>
  <c r="S1360" i="20"/>
  <c r="T1360" i="20"/>
  <c r="U1360" i="20"/>
  <c r="V1360" i="20"/>
  <c r="W1360" i="20"/>
  <c r="X1360" i="20"/>
  <c r="Y1360" i="20"/>
  <c r="AC1360" i="20"/>
  <c r="M1361" i="20"/>
  <c r="O1361" i="20"/>
  <c r="S1361" i="20"/>
  <c r="T1361" i="20"/>
  <c r="U1361" i="20"/>
  <c r="V1361" i="20"/>
  <c r="W1361" i="20"/>
  <c r="X1361" i="20"/>
  <c r="Y1361" i="20"/>
  <c r="AC1361" i="20"/>
  <c r="M1362" i="20"/>
  <c r="O1362" i="20"/>
  <c r="S1362" i="20"/>
  <c r="T1362" i="20"/>
  <c r="U1362" i="20"/>
  <c r="V1362" i="20"/>
  <c r="W1362" i="20"/>
  <c r="X1362" i="20"/>
  <c r="Y1362" i="20"/>
  <c r="AC1362" i="20"/>
  <c r="M1363" i="20"/>
  <c r="O1363" i="20"/>
  <c r="S1363" i="20"/>
  <c r="T1363" i="20"/>
  <c r="U1363" i="20"/>
  <c r="V1363" i="20"/>
  <c r="W1363" i="20"/>
  <c r="X1363" i="20"/>
  <c r="Y1363" i="20"/>
  <c r="AC1363" i="20"/>
  <c r="M1364" i="20"/>
  <c r="O1364" i="20"/>
  <c r="S1364" i="20"/>
  <c r="T1364" i="20"/>
  <c r="U1364" i="20"/>
  <c r="V1364" i="20"/>
  <c r="W1364" i="20"/>
  <c r="X1364" i="20"/>
  <c r="Y1364" i="20"/>
  <c r="AC1364" i="20"/>
  <c r="M1365" i="20"/>
  <c r="O1365" i="20"/>
  <c r="S1365" i="20"/>
  <c r="T1365" i="20"/>
  <c r="U1365" i="20"/>
  <c r="V1365" i="20"/>
  <c r="W1365" i="20"/>
  <c r="X1365" i="20"/>
  <c r="Y1365" i="20"/>
  <c r="AC1365" i="20"/>
  <c r="M1366" i="20"/>
  <c r="O1366" i="20"/>
  <c r="S1366" i="20"/>
  <c r="T1366" i="20"/>
  <c r="U1366" i="20"/>
  <c r="V1366" i="20"/>
  <c r="W1366" i="20"/>
  <c r="X1366" i="20"/>
  <c r="Y1366" i="20"/>
  <c r="AC1366" i="20"/>
  <c r="M1367" i="20"/>
  <c r="O1367" i="20"/>
  <c r="S1367" i="20"/>
  <c r="T1367" i="20"/>
  <c r="U1367" i="20"/>
  <c r="V1367" i="20"/>
  <c r="W1367" i="20"/>
  <c r="X1367" i="20"/>
  <c r="Y1367" i="20"/>
  <c r="AC1367" i="20"/>
  <c r="M1368" i="20"/>
  <c r="O1368" i="20"/>
  <c r="S1368" i="20"/>
  <c r="T1368" i="20"/>
  <c r="U1368" i="20"/>
  <c r="V1368" i="20"/>
  <c r="W1368" i="20"/>
  <c r="X1368" i="20"/>
  <c r="Y1368" i="20"/>
  <c r="AC1368" i="20"/>
  <c r="M1369" i="20"/>
  <c r="O1369" i="20"/>
  <c r="S1369" i="20"/>
  <c r="T1369" i="20"/>
  <c r="U1369" i="20"/>
  <c r="V1369" i="20"/>
  <c r="W1369" i="20"/>
  <c r="X1369" i="20"/>
  <c r="Y1369" i="20"/>
  <c r="AC1369" i="20"/>
  <c r="M1370" i="20"/>
  <c r="O1370" i="20"/>
  <c r="S1370" i="20"/>
  <c r="T1370" i="20"/>
  <c r="U1370" i="20"/>
  <c r="V1370" i="20"/>
  <c r="W1370" i="20"/>
  <c r="X1370" i="20"/>
  <c r="Y1370" i="20"/>
  <c r="AC1370" i="20"/>
  <c r="M1371" i="20"/>
  <c r="O1371" i="20"/>
  <c r="S1371" i="20"/>
  <c r="T1371" i="20"/>
  <c r="U1371" i="20"/>
  <c r="V1371" i="20"/>
  <c r="W1371" i="20"/>
  <c r="X1371" i="20"/>
  <c r="Y1371" i="20"/>
  <c r="AC1371" i="20"/>
  <c r="M1372" i="20"/>
  <c r="O1372" i="20"/>
  <c r="S1372" i="20"/>
  <c r="T1372" i="20"/>
  <c r="U1372" i="20"/>
  <c r="V1372" i="20"/>
  <c r="W1372" i="20"/>
  <c r="X1372" i="20"/>
  <c r="Y1372" i="20"/>
  <c r="AC1372" i="20"/>
  <c r="M1373" i="20"/>
  <c r="O1373" i="20"/>
  <c r="S1373" i="20"/>
  <c r="T1373" i="20"/>
  <c r="U1373" i="20"/>
  <c r="V1373" i="20"/>
  <c r="W1373" i="20"/>
  <c r="X1373" i="20"/>
  <c r="Y1373" i="20"/>
  <c r="AC1373" i="20"/>
  <c r="M1374" i="20"/>
  <c r="O1374" i="20"/>
  <c r="S1374" i="20"/>
  <c r="T1374" i="20"/>
  <c r="U1374" i="20"/>
  <c r="V1374" i="20"/>
  <c r="W1374" i="20"/>
  <c r="X1374" i="20"/>
  <c r="Y1374" i="20"/>
  <c r="AC1374" i="20"/>
  <c r="M1375" i="20"/>
  <c r="O1375" i="20"/>
  <c r="S1375" i="20"/>
  <c r="T1375" i="20"/>
  <c r="U1375" i="20"/>
  <c r="V1375" i="20"/>
  <c r="W1375" i="20"/>
  <c r="X1375" i="20"/>
  <c r="Y1375" i="20"/>
  <c r="AC1375" i="20"/>
  <c r="M1376" i="20"/>
  <c r="O1376" i="20"/>
  <c r="S1376" i="20"/>
  <c r="T1376" i="20"/>
  <c r="U1376" i="20"/>
  <c r="V1376" i="20"/>
  <c r="W1376" i="20"/>
  <c r="X1376" i="20"/>
  <c r="Y1376" i="20"/>
  <c r="AC1376" i="20"/>
  <c r="M1377" i="20"/>
  <c r="O1377" i="20"/>
  <c r="S1377" i="20"/>
  <c r="T1377" i="20"/>
  <c r="U1377" i="20"/>
  <c r="V1377" i="20"/>
  <c r="W1377" i="20"/>
  <c r="X1377" i="20"/>
  <c r="Y1377" i="20"/>
  <c r="AC1377" i="20"/>
  <c r="M1378" i="20"/>
  <c r="O1378" i="20"/>
  <c r="S1378" i="20"/>
  <c r="T1378" i="20"/>
  <c r="U1378" i="20"/>
  <c r="V1378" i="20"/>
  <c r="W1378" i="20"/>
  <c r="X1378" i="20"/>
  <c r="Y1378" i="20"/>
  <c r="AC1378" i="20"/>
  <c r="M1379" i="20"/>
  <c r="O1379" i="20"/>
  <c r="S1379" i="20"/>
  <c r="T1379" i="20"/>
  <c r="U1379" i="20"/>
  <c r="V1379" i="20"/>
  <c r="W1379" i="20"/>
  <c r="X1379" i="20"/>
  <c r="Y1379" i="20"/>
  <c r="AC1379" i="20"/>
  <c r="M1380" i="20"/>
  <c r="O1380" i="20"/>
  <c r="S1380" i="20"/>
  <c r="T1380" i="20"/>
  <c r="U1380" i="20"/>
  <c r="V1380" i="20"/>
  <c r="W1380" i="20"/>
  <c r="X1380" i="20"/>
  <c r="Y1380" i="20"/>
  <c r="AC1380" i="20"/>
  <c r="M1381" i="20"/>
  <c r="O1381" i="20"/>
  <c r="S1381" i="20"/>
  <c r="T1381" i="20"/>
  <c r="U1381" i="20"/>
  <c r="V1381" i="20"/>
  <c r="W1381" i="20"/>
  <c r="X1381" i="20"/>
  <c r="Y1381" i="20"/>
  <c r="AC1381" i="20"/>
  <c r="M4" i="20"/>
  <c r="O4" i="20"/>
  <c r="S4" i="20"/>
  <c r="T4" i="20"/>
  <c r="U4" i="20"/>
  <c r="V4" i="20"/>
  <c r="W4" i="20"/>
  <c r="X4" i="20"/>
  <c r="Y4" i="20"/>
  <c r="AC4" i="20"/>
  <c r="O1382" i="20"/>
  <c r="E1402" i="20"/>
  <c r="AB4" i="20"/>
  <c r="AB5" i="20"/>
  <c r="AB6" i="20"/>
  <c r="AB7" i="20"/>
  <c r="AB8" i="20"/>
  <c r="AB9" i="20"/>
  <c r="AB10" i="20"/>
  <c r="AB11" i="20"/>
  <c r="AB12" i="20"/>
  <c r="AB13" i="20"/>
  <c r="AB14" i="20"/>
  <c r="AB15" i="20"/>
  <c r="AB16" i="20"/>
  <c r="AB17" i="20"/>
  <c r="AB18" i="20"/>
  <c r="AB19" i="20"/>
  <c r="AB20" i="20"/>
  <c r="AB21" i="20"/>
  <c r="AB22" i="20"/>
  <c r="AB23" i="20"/>
  <c r="AB24" i="20"/>
  <c r="AB25" i="20"/>
  <c r="AB26" i="20"/>
  <c r="AB27" i="20"/>
  <c r="AB28" i="20"/>
  <c r="AB29" i="20"/>
  <c r="AB30" i="20"/>
  <c r="AB31" i="20"/>
  <c r="AB32" i="20"/>
  <c r="AB33" i="20"/>
  <c r="AB34" i="20"/>
  <c r="AB35" i="20"/>
  <c r="AB36" i="20"/>
  <c r="AB37" i="20"/>
  <c r="AB38" i="20"/>
  <c r="AB39" i="20"/>
  <c r="AB40" i="20"/>
  <c r="AB41" i="20"/>
  <c r="AB42" i="20"/>
  <c r="AB43" i="20"/>
  <c r="AB44" i="20"/>
  <c r="AB45" i="20"/>
  <c r="AB46" i="20"/>
  <c r="AB47" i="20"/>
  <c r="AB48" i="20"/>
  <c r="AB49" i="20"/>
  <c r="AB50" i="20"/>
  <c r="AB51" i="20"/>
  <c r="AB52" i="20"/>
  <c r="AB53" i="20"/>
  <c r="AB54" i="20"/>
  <c r="AB55" i="20"/>
  <c r="AB56" i="20"/>
  <c r="AB57" i="20"/>
  <c r="AB58" i="20"/>
  <c r="AB59" i="20"/>
  <c r="AB60" i="20"/>
  <c r="AB61" i="20"/>
  <c r="AB62" i="20"/>
  <c r="AB63" i="20"/>
  <c r="AB64" i="20"/>
  <c r="AB65" i="20"/>
  <c r="AB66" i="20"/>
  <c r="AB67" i="20"/>
  <c r="AB68" i="20"/>
  <c r="AB69" i="20"/>
  <c r="AB70" i="20"/>
  <c r="AB71" i="20"/>
  <c r="AB72" i="20"/>
  <c r="AB73" i="20"/>
  <c r="AB74" i="20"/>
  <c r="AB75" i="20"/>
  <c r="AB76" i="20"/>
  <c r="AB77" i="20"/>
  <c r="AB78" i="20"/>
  <c r="AB79" i="20"/>
  <c r="AB80" i="20"/>
  <c r="AB81" i="20"/>
  <c r="AB82" i="20"/>
  <c r="AB83" i="20"/>
  <c r="AB84" i="20"/>
  <c r="AB85" i="20"/>
  <c r="AB86" i="20"/>
  <c r="AB87" i="20"/>
  <c r="AB88" i="20"/>
  <c r="AB89" i="20"/>
  <c r="AB90" i="20"/>
  <c r="AB91" i="20"/>
  <c r="AB92" i="20"/>
  <c r="AB93" i="20"/>
  <c r="AB94" i="20"/>
  <c r="AB95" i="20"/>
  <c r="AB96" i="20"/>
  <c r="AB97" i="20"/>
  <c r="AB98" i="20"/>
  <c r="AB99" i="20"/>
  <c r="AB100" i="20"/>
  <c r="AB101" i="20"/>
  <c r="AB102" i="20"/>
  <c r="AB103" i="20"/>
  <c r="AB104" i="20"/>
  <c r="AB105" i="20"/>
  <c r="AB106" i="20"/>
  <c r="AB107" i="20"/>
  <c r="AB108" i="20"/>
  <c r="AB109" i="20"/>
  <c r="AB110" i="20"/>
  <c r="AB111" i="20"/>
  <c r="AB112" i="20"/>
  <c r="AB113" i="20"/>
  <c r="AB114" i="20"/>
  <c r="AB115" i="20"/>
  <c r="AB116" i="20"/>
  <c r="AB117" i="20"/>
  <c r="AB118" i="20"/>
  <c r="AB119" i="20"/>
  <c r="AB120" i="20"/>
  <c r="AB121" i="20"/>
  <c r="AB122" i="20"/>
  <c r="AB123" i="20"/>
  <c r="AB124" i="20"/>
  <c r="AB125" i="20"/>
  <c r="AB126" i="20"/>
  <c r="AB127" i="20"/>
  <c r="AB128" i="20"/>
  <c r="AB129" i="20"/>
  <c r="AB130" i="20"/>
  <c r="AB131" i="20"/>
  <c r="AB132" i="20"/>
  <c r="AB133" i="20"/>
  <c r="AB134" i="20"/>
  <c r="AB135" i="20"/>
  <c r="AB136" i="20"/>
  <c r="AB137" i="20"/>
  <c r="AB138" i="20"/>
  <c r="AB139" i="20"/>
  <c r="AB140" i="20"/>
  <c r="AB141" i="20"/>
  <c r="AB142" i="20"/>
  <c r="AB143" i="20"/>
  <c r="AB144" i="20"/>
  <c r="AB145" i="20"/>
  <c r="AB146" i="20"/>
  <c r="AB147" i="20"/>
  <c r="AB148" i="20"/>
  <c r="AB149" i="20"/>
  <c r="AB150" i="20"/>
  <c r="AB151" i="20"/>
  <c r="AB152" i="20"/>
  <c r="AB153" i="20"/>
  <c r="AB154" i="20"/>
  <c r="AB155" i="20"/>
  <c r="AB156" i="20"/>
  <c r="AB157" i="20"/>
  <c r="AB158" i="20"/>
  <c r="AB159" i="20"/>
  <c r="AB160" i="20"/>
  <c r="AB161" i="20"/>
  <c r="AB162" i="20"/>
  <c r="AB163" i="20"/>
  <c r="AB164" i="20"/>
  <c r="AB165" i="20"/>
  <c r="AB166" i="20"/>
  <c r="AB167" i="20"/>
  <c r="AB168" i="20"/>
  <c r="AB169" i="20"/>
  <c r="AB170" i="20"/>
  <c r="AB171" i="20"/>
  <c r="AB172" i="20"/>
  <c r="AB173" i="20"/>
  <c r="AB174" i="20"/>
  <c r="AB175" i="20"/>
  <c r="AB176" i="20"/>
  <c r="AB177" i="20"/>
  <c r="AB178" i="20"/>
  <c r="AB179" i="20"/>
  <c r="AB180" i="20"/>
  <c r="AB181" i="20"/>
  <c r="AB182" i="20"/>
  <c r="AB183" i="20"/>
  <c r="AB184" i="20"/>
  <c r="AB185" i="20"/>
  <c r="AB186" i="20"/>
  <c r="AB187" i="20"/>
  <c r="AB188" i="20"/>
  <c r="AB189" i="20"/>
  <c r="AB190" i="20"/>
  <c r="AB191" i="20"/>
  <c r="AB192" i="20"/>
  <c r="AB193" i="20"/>
  <c r="AB194" i="20"/>
  <c r="AB195" i="20"/>
  <c r="AB196" i="20"/>
  <c r="AB197" i="20"/>
  <c r="AB198" i="20"/>
  <c r="AB199" i="20"/>
  <c r="AB200" i="20"/>
  <c r="AB201" i="20"/>
  <c r="AB202" i="20"/>
  <c r="AB203" i="20"/>
  <c r="AB204" i="20"/>
  <c r="AB205" i="20"/>
  <c r="AB206" i="20"/>
  <c r="AB207" i="20"/>
  <c r="AB208" i="20"/>
  <c r="AB209" i="20"/>
  <c r="AB210" i="20"/>
  <c r="AB211" i="20"/>
  <c r="AB212" i="20"/>
  <c r="AB213" i="20"/>
  <c r="AB214" i="20"/>
  <c r="AB215" i="20"/>
  <c r="AB216" i="20"/>
  <c r="AB217" i="20"/>
  <c r="AB218" i="20"/>
  <c r="AB219" i="20"/>
  <c r="AB220" i="20"/>
  <c r="AB221" i="20"/>
  <c r="AB222" i="20"/>
  <c r="AB223" i="20"/>
  <c r="AB224" i="20"/>
  <c r="AB225" i="20"/>
  <c r="AB226" i="20"/>
  <c r="AB227" i="20"/>
  <c r="AB228" i="20"/>
  <c r="AB229" i="20"/>
  <c r="AB230" i="20"/>
  <c r="AB231" i="20"/>
  <c r="AB232" i="20"/>
  <c r="AB233" i="20"/>
  <c r="AB234" i="20"/>
  <c r="AB235" i="20"/>
  <c r="AB236" i="20"/>
  <c r="AB237" i="20"/>
  <c r="AB238" i="20"/>
  <c r="AB239" i="20"/>
  <c r="AB240" i="20"/>
  <c r="AB241" i="20"/>
  <c r="AB242" i="20"/>
  <c r="AB243" i="20"/>
  <c r="AB244" i="20"/>
  <c r="AB245" i="20"/>
  <c r="AB246" i="20"/>
  <c r="AB247" i="20"/>
  <c r="AB248" i="20"/>
  <c r="AB249" i="20"/>
  <c r="AB250" i="20"/>
  <c r="AB251" i="20"/>
  <c r="AB252" i="20"/>
  <c r="AB253" i="20"/>
  <c r="AB254" i="20"/>
  <c r="AB255" i="20"/>
  <c r="AB256" i="20"/>
  <c r="AB257" i="20"/>
  <c r="AB258" i="20"/>
  <c r="AB259" i="20"/>
  <c r="AB260" i="20"/>
  <c r="AB261" i="20"/>
  <c r="AB262" i="20"/>
  <c r="AB263" i="20"/>
  <c r="AB264" i="20"/>
  <c r="AB265" i="20"/>
  <c r="AB266" i="20"/>
  <c r="AB267" i="20"/>
  <c r="AB268" i="20"/>
  <c r="AB269" i="20"/>
  <c r="AB270" i="20"/>
  <c r="AB271" i="20"/>
  <c r="AB272" i="20"/>
  <c r="AB273" i="20"/>
  <c r="AB274" i="20"/>
  <c r="AB275" i="20"/>
  <c r="AB276" i="20"/>
  <c r="AB277" i="20"/>
  <c r="AB278" i="20"/>
  <c r="AB279" i="20"/>
  <c r="AB280" i="20"/>
  <c r="AB281" i="20"/>
  <c r="AB282" i="20"/>
  <c r="AB283" i="20"/>
  <c r="AB284" i="20"/>
  <c r="AB285" i="20"/>
  <c r="AB286" i="20"/>
  <c r="AB287" i="20"/>
  <c r="AB288" i="20"/>
  <c r="AB289" i="20"/>
  <c r="AB290" i="20"/>
  <c r="AB291" i="20"/>
  <c r="AB292" i="20"/>
  <c r="AB293" i="20"/>
  <c r="AB294" i="20"/>
  <c r="AB295" i="20"/>
  <c r="AB296" i="20"/>
  <c r="AB297" i="20"/>
  <c r="AB298" i="20"/>
  <c r="AB299" i="20"/>
  <c r="AB300" i="20"/>
  <c r="AB301" i="20"/>
  <c r="AB302" i="20"/>
  <c r="AB303" i="20"/>
  <c r="AB304" i="20"/>
  <c r="AB305" i="20"/>
  <c r="AB306" i="20"/>
  <c r="AB307" i="20"/>
  <c r="AB308" i="20"/>
  <c r="AB309" i="20"/>
  <c r="AB310" i="20"/>
  <c r="AB311" i="20"/>
  <c r="AB312" i="20"/>
  <c r="AB313" i="20"/>
  <c r="AB314" i="20"/>
  <c r="AB315" i="20"/>
  <c r="AB316" i="20"/>
  <c r="AB317" i="20"/>
  <c r="AB318" i="20"/>
  <c r="AB319" i="20"/>
  <c r="AB320" i="20"/>
  <c r="AB321" i="20"/>
  <c r="AB322" i="20"/>
  <c r="AB323" i="20"/>
  <c r="AB324" i="20"/>
  <c r="AB325" i="20"/>
  <c r="AB326" i="20"/>
  <c r="AB327" i="20"/>
  <c r="AB328" i="20"/>
  <c r="AB329" i="20"/>
  <c r="AB330" i="20"/>
  <c r="AB331" i="20"/>
  <c r="AB332" i="20"/>
  <c r="AB333" i="20"/>
  <c r="AB334" i="20"/>
  <c r="AB335" i="20"/>
  <c r="AB336" i="20"/>
  <c r="AB337" i="20"/>
  <c r="AB338" i="20"/>
  <c r="AB339" i="20"/>
  <c r="AB340" i="20"/>
  <c r="AB341" i="20"/>
  <c r="AB342" i="20"/>
  <c r="AB343" i="20"/>
  <c r="AB344" i="20"/>
  <c r="AB345" i="20"/>
  <c r="AB346" i="20"/>
  <c r="AB347" i="20"/>
  <c r="AB348" i="20"/>
  <c r="AB349" i="20"/>
  <c r="AB350" i="20"/>
  <c r="AB351" i="20"/>
  <c r="AB352" i="20"/>
  <c r="AB353" i="20"/>
  <c r="AB354" i="20"/>
  <c r="AB355" i="20"/>
  <c r="AB356" i="20"/>
  <c r="AB357" i="20"/>
  <c r="AB358" i="20"/>
  <c r="AB359" i="20"/>
  <c r="AB360" i="20"/>
  <c r="AB361" i="20"/>
  <c r="AB362" i="20"/>
  <c r="AB363" i="20"/>
  <c r="AB364" i="20"/>
  <c r="AB365" i="20"/>
  <c r="AB366" i="20"/>
  <c r="AB367" i="20"/>
  <c r="AB368" i="20"/>
  <c r="AB369" i="20"/>
  <c r="AB370" i="20"/>
  <c r="AB371" i="20"/>
  <c r="AB372" i="20"/>
  <c r="AB373" i="20"/>
  <c r="AB374" i="20"/>
  <c r="AB375" i="20"/>
  <c r="AB376" i="20"/>
  <c r="AB377" i="20"/>
  <c r="AB378" i="20"/>
  <c r="AB379" i="20"/>
  <c r="AB380" i="20"/>
  <c r="AB381" i="20"/>
  <c r="AB382" i="20"/>
  <c r="AB383" i="20"/>
  <c r="AB384" i="20"/>
  <c r="AB385" i="20"/>
  <c r="AB386" i="20"/>
  <c r="AB387" i="20"/>
  <c r="AB388" i="20"/>
  <c r="AB389" i="20"/>
  <c r="AB390" i="20"/>
  <c r="AB391" i="20"/>
  <c r="AB392" i="20"/>
  <c r="AB393" i="20"/>
  <c r="AB394" i="20"/>
  <c r="AB395" i="20"/>
  <c r="AB396" i="20"/>
  <c r="AB397" i="20"/>
  <c r="AB398" i="20"/>
  <c r="AB399" i="20"/>
  <c r="AB400" i="20"/>
  <c r="AB401" i="20"/>
  <c r="AB402" i="20"/>
  <c r="AB403" i="20"/>
  <c r="AB404" i="20"/>
  <c r="AB405" i="20"/>
  <c r="AB406" i="20"/>
  <c r="AB407" i="20"/>
  <c r="AB408" i="20"/>
  <c r="AB409" i="20"/>
  <c r="AB410" i="20"/>
  <c r="AB411" i="20"/>
  <c r="AB412" i="20"/>
  <c r="AB413" i="20"/>
  <c r="AB414" i="20"/>
  <c r="AB415" i="20"/>
  <c r="AB416" i="20"/>
  <c r="AB417" i="20"/>
  <c r="AB418" i="20"/>
  <c r="AB419" i="20"/>
  <c r="AB420" i="20"/>
  <c r="AB421" i="20"/>
  <c r="AB422" i="20"/>
  <c r="AB423" i="20"/>
  <c r="AB424" i="20"/>
  <c r="AB425" i="20"/>
  <c r="AB426" i="20"/>
  <c r="AB427" i="20"/>
  <c r="AB428" i="20"/>
  <c r="AB429" i="20"/>
  <c r="AB430" i="20"/>
  <c r="AB431" i="20"/>
  <c r="AB432" i="20"/>
  <c r="AB433" i="20"/>
  <c r="AB434" i="20"/>
  <c r="AB435" i="20"/>
  <c r="AB436" i="20"/>
  <c r="AB437" i="20"/>
  <c r="AB438" i="20"/>
  <c r="AB439" i="20"/>
  <c r="AB440" i="20"/>
  <c r="AB441" i="20"/>
  <c r="AB442" i="20"/>
  <c r="AB443" i="20"/>
  <c r="AB444" i="20"/>
  <c r="AB445" i="20"/>
  <c r="AB446" i="20"/>
  <c r="AB447" i="20"/>
  <c r="AB448" i="20"/>
  <c r="AB449" i="20"/>
  <c r="AB450" i="20"/>
  <c r="AB451" i="20"/>
  <c r="AB452" i="20"/>
  <c r="AB453" i="20"/>
  <c r="AB454" i="20"/>
  <c r="AB455" i="20"/>
  <c r="AB456" i="20"/>
  <c r="AB457" i="20"/>
  <c r="AB458" i="20"/>
  <c r="AB459" i="20"/>
  <c r="AB460" i="20"/>
  <c r="AB461" i="20"/>
  <c r="AB462" i="20"/>
  <c r="AB463" i="20"/>
  <c r="AB464" i="20"/>
  <c r="AB465" i="20"/>
  <c r="AB466" i="20"/>
  <c r="AB467" i="20"/>
  <c r="AB468" i="20"/>
  <c r="AB469" i="20"/>
  <c r="AB470" i="20"/>
  <c r="AB471" i="20"/>
  <c r="AB472" i="20"/>
  <c r="AB473" i="20"/>
  <c r="AB474" i="20"/>
  <c r="AB475" i="20"/>
  <c r="AB476" i="20"/>
  <c r="AB477" i="20"/>
  <c r="AB478" i="20"/>
  <c r="AB479" i="20"/>
  <c r="AB480" i="20"/>
  <c r="AB481" i="20"/>
  <c r="AB482" i="20"/>
  <c r="AB483" i="20"/>
  <c r="AB484" i="20"/>
  <c r="AB485" i="20"/>
  <c r="AB486" i="20"/>
  <c r="AB487" i="20"/>
  <c r="AB488" i="20"/>
  <c r="AB489" i="20"/>
  <c r="AB490" i="20"/>
  <c r="AB491" i="20"/>
  <c r="AB492" i="20"/>
  <c r="AB493" i="20"/>
  <c r="AB494" i="20"/>
  <c r="AB495" i="20"/>
  <c r="AB496" i="20"/>
  <c r="AB497" i="20"/>
  <c r="AB498" i="20"/>
  <c r="AB499" i="20"/>
  <c r="AB500" i="20"/>
  <c r="AB501" i="20"/>
  <c r="AB502" i="20"/>
  <c r="AB503" i="20"/>
  <c r="AB504" i="20"/>
  <c r="AB505" i="20"/>
  <c r="AB506" i="20"/>
  <c r="AB507" i="20"/>
  <c r="AB508" i="20"/>
  <c r="AB509" i="20"/>
  <c r="AB510" i="20"/>
  <c r="AB511" i="20"/>
  <c r="AB512" i="20"/>
  <c r="AB513" i="20"/>
  <c r="AB514" i="20"/>
  <c r="AB515" i="20"/>
  <c r="AB516" i="20"/>
  <c r="AB517" i="20"/>
  <c r="AB518" i="20"/>
  <c r="AB519" i="20"/>
  <c r="AB520" i="20"/>
  <c r="AB521" i="20"/>
  <c r="AB522" i="20"/>
  <c r="AB523" i="20"/>
  <c r="AB524" i="20"/>
  <c r="AB525" i="20"/>
  <c r="AB526" i="20"/>
  <c r="AB527" i="20"/>
  <c r="AB528" i="20"/>
  <c r="AB529" i="20"/>
  <c r="AB530" i="20"/>
  <c r="AB531" i="20"/>
  <c r="AB532" i="20"/>
  <c r="AB533" i="20"/>
  <c r="AB534" i="20"/>
  <c r="AB535" i="20"/>
  <c r="AB536" i="20"/>
  <c r="AB537" i="20"/>
  <c r="AB538" i="20"/>
  <c r="AB539" i="20"/>
  <c r="AB540" i="20"/>
  <c r="AB541" i="20"/>
  <c r="AB542" i="20"/>
  <c r="AB543" i="20"/>
  <c r="AB544" i="20"/>
  <c r="AB545" i="20"/>
  <c r="AB546" i="20"/>
  <c r="AB547" i="20"/>
  <c r="AB548" i="20"/>
  <c r="AB549" i="20"/>
  <c r="AB550" i="20"/>
  <c r="AB551" i="20"/>
  <c r="AB552" i="20"/>
  <c r="AB553" i="20"/>
  <c r="AB554" i="20"/>
  <c r="AB555" i="20"/>
  <c r="AB556" i="20"/>
  <c r="AB557" i="20"/>
  <c r="AB558" i="20"/>
  <c r="AB559" i="20"/>
  <c r="AB560" i="20"/>
  <c r="AB561" i="20"/>
  <c r="AB562" i="20"/>
  <c r="AB563" i="20"/>
  <c r="AB564" i="20"/>
  <c r="AB565" i="20"/>
  <c r="AB566" i="20"/>
  <c r="AB567" i="20"/>
  <c r="AB568" i="20"/>
  <c r="AB569" i="20"/>
  <c r="AB570" i="20"/>
  <c r="AB571" i="20"/>
  <c r="AB572" i="20"/>
  <c r="AB573" i="20"/>
  <c r="AB574" i="20"/>
  <c r="AB575" i="20"/>
  <c r="AB576" i="20"/>
  <c r="AB577" i="20"/>
  <c r="AB578" i="20"/>
  <c r="AB579" i="20"/>
  <c r="AB580" i="20"/>
  <c r="AB581" i="20"/>
  <c r="AB582" i="20"/>
  <c r="AB583" i="20"/>
  <c r="AB584" i="20"/>
  <c r="AB585" i="20"/>
  <c r="AB586" i="20"/>
  <c r="AB587" i="20"/>
  <c r="AB588" i="20"/>
  <c r="AB589" i="20"/>
  <c r="AB590" i="20"/>
  <c r="AB591" i="20"/>
  <c r="AB592" i="20"/>
  <c r="AB593" i="20"/>
  <c r="AB594" i="20"/>
  <c r="AB595" i="20"/>
  <c r="AB596" i="20"/>
  <c r="AB597" i="20"/>
  <c r="AB598" i="20"/>
  <c r="AB599" i="20"/>
  <c r="AB600" i="20"/>
  <c r="AB601" i="20"/>
  <c r="AB602" i="20"/>
  <c r="AB603" i="20"/>
  <c r="AB604" i="20"/>
  <c r="AB605" i="20"/>
  <c r="AB606" i="20"/>
  <c r="AB607" i="20"/>
  <c r="AB608" i="20"/>
  <c r="AB609" i="20"/>
  <c r="AB610" i="20"/>
  <c r="AB611" i="20"/>
  <c r="AB612" i="20"/>
  <c r="AB613" i="20"/>
  <c r="AB614" i="20"/>
  <c r="AB615" i="20"/>
  <c r="AB616" i="20"/>
  <c r="AB617" i="20"/>
  <c r="AB618" i="20"/>
  <c r="AB619" i="20"/>
  <c r="AB620" i="20"/>
  <c r="AB621" i="20"/>
  <c r="AB622" i="20"/>
  <c r="AB623" i="20"/>
  <c r="AB624" i="20"/>
  <c r="AB625" i="20"/>
  <c r="AB626" i="20"/>
  <c r="AB627" i="20"/>
  <c r="AB628" i="20"/>
  <c r="AB629" i="20"/>
  <c r="AB630" i="20"/>
  <c r="AB631" i="20"/>
  <c r="AB632" i="20"/>
  <c r="AB633" i="20"/>
  <c r="AB634" i="20"/>
  <c r="AB635" i="20"/>
  <c r="AB636" i="20"/>
  <c r="AB637" i="20"/>
  <c r="AB638" i="20"/>
  <c r="AB639" i="20"/>
  <c r="AB640" i="20"/>
  <c r="AB641" i="20"/>
  <c r="AB642" i="20"/>
  <c r="AB643" i="20"/>
  <c r="AB644" i="20"/>
  <c r="AB645" i="20"/>
  <c r="AB646" i="20"/>
  <c r="AB647" i="20"/>
  <c r="AB648" i="20"/>
  <c r="AB649" i="20"/>
  <c r="AB650" i="20"/>
  <c r="AB651" i="20"/>
  <c r="AB652" i="20"/>
  <c r="AB653" i="20"/>
  <c r="AB654" i="20"/>
  <c r="AB655" i="20"/>
  <c r="AB656" i="20"/>
  <c r="AB657" i="20"/>
  <c r="AB658" i="20"/>
  <c r="AB659" i="20"/>
  <c r="AB660" i="20"/>
  <c r="AB661" i="20"/>
  <c r="AB662" i="20"/>
  <c r="AB663" i="20"/>
  <c r="AB664" i="20"/>
  <c r="AB665" i="20"/>
  <c r="AB666" i="20"/>
  <c r="AB667" i="20"/>
  <c r="AB668" i="20"/>
  <c r="AB669" i="20"/>
  <c r="AB670" i="20"/>
  <c r="AB671" i="20"/>
  <c r="AB672" i="20"/>
  <c r="AB673" i="20"/>
  <c r="AB674" i="20"/>
  <c r="AB675" i="20"/>
  <c r="AB676" i="20"/>
  <c r="AB677" i="20"/>
  <c r="AB678" i="20"/>
  <c r="AB679" i="20"/>
  <c r="AB680" i="20"/>
  <c r="AB681" i="20"/>
  <c r="AB682" i="20"/>
  <c r="AB683" i="20"/>
  <c r="AB684" i="20"/>
  <c r="AB685" i="20"/>
  <c r="AB686" i="20"/>
  <c r="AB687" i="20"/>
  <c r="AB688" i="20"/>
  <c r="AB689" i="20"/>
  <c r="AB690" i="20"/>
  <c r="AB691" i="20"/>
  <c r="AB692" i="20"/>
  <c r="AB693" i="20"/>
  <c r="AB694" i="20"/>
  <c r="AB695" i="20"/>
  <c r="AB696" i="20"/>
  <c r="AB697" i="20"/>
  <c r="AB698" i="20"/>
  <c r="AB699" i="20"/>
  <c r="AB700" i="20"/>
  <c r="AB701" i="20"/>
  <c r="AB702" i="20"/>
  <c r="AB703" i="20"/>
  <c r="AB704" i="20"/>
  <c r="AB705" i="20"/>
  <c r="AB706" i="20"/>
  <c r="AB707" i="20"/>
  <c r="AB708" i="20"/>
  <c r="AB709" i="20"/>
  <c r="AB710" i="20"/>
  <c r="AB711" i="20"/>
  <c r="AB712" i="20"/>
  <c r="AB713" i="20"/>
  <c r="AB714" i="20"/>
  <c r="AB715" i="20"/>
  <c r="AB716" i="20"/>
  <c r="AB717" i="20"/>
  <c r="AB718" i="20"/>
  <c r="AB719" i="20"/>
  <c r="AB720" i="20"/>
  <c r="AB721" i="20"/>
  <c r="AB722" i="20"/>
  <c r="AB723" i="20"/>
  <c r="AB724" i="20"/>
  <c r="AB725" i="20"/>
  <c r="AB726" i="20"/>
  <c r="AB727" i="20"/>
  <c r="AB728" i="20"/>
  <c r="AB729" i="20"/>
  <c r="AB730" i="20"/>
  <c r="AB731" i="20"/>
  <c r="AB732" i="20"/>
  <c r="AB733" i="20"/>
  <c r="AB734" i="20"/>
  <c r="AB735" i="20"/>
  <c r="AB736" i="20"/>
  <c r="AB737" i="20"/>
  <c r="AB738" i="20"/>
  <c r="AB739" i="20"/>
  <c r="AB740" i="20"/>
  <c r="AB741" i="20"/>
  <c r="AB742" i="20"/>
  <c r="AB743" i="20"/>
  <c r="AB744" i="20"/>
  <c r="AB745" i="20"/>
  <c r="AB746" i="20"/>
  <c r="AB747" i="20"/>
  <c r="AB748" i="20"/>
  <c r="AB749" i="20"/>
  <c r="AB750" i="20"/>
  <c r="AB751" i="20"/>
  <c r="AB752" i="20"/>
  <c r="AB753" i="20"/>
  <c r="AB754" i="20"/>
  <c r="AB755" i="20"/>
  <c r="AB756" i="20"/>
  <c r="AB757" i="20"/>
  <c r="AB758" i="20"/>
  <c r="AB759" i="20"/>
  <c r="AB760" i="20"/>
  <c r="AB761" i="20"/>
  <c r="AB762" i="20"/>
  <c r="AB763" i="20"/>
  <c r="AB764" i="20"/>
  <c r="AB765" i="20"/>
  <c r="AB766" i="20"/>
  <c r="AB767" i="20"/>
  <c r="AB768" i="20"/>
  <c r="AB769" i="20"/>
  <c r="AB770" i="20"/>
  <c r="AB771" i="20"/>
  <c r="AB772" i="20"/>
  <c r="AB773" i="20"/>
  <c r="AB774" i="20"/>
  <c r="AB775" i="20"/>
  <c r="AB776" i="20"/>
  <c r="AB777" i="20"/>
  <c r="AB778" i="20"/>
  <c r="AB779" i="20"/>
  <c r="AB780" i="20"/>
  <c r="AB781" i="20"/>
  <c r="AB782" i="20"/>
  <c r="AB783" i="20"/>
  <c r="AB784" i="20"/>
  <c r="AB785" i="20"/>
  <c r="AB786" i="20"/>
  <c r="AB787" i="20"/>
  <c r="AB788" i="20"/>
  <c r="AB789" i="20"/>
  <c r="AB790" i="20"/>
  <c r="AB791" i="20"/>
  <c r="AB792" i="20"/>
  <c r="AB793" i="20"/>
  <c r="AB794" i="20"/>
  <c r="AB795" i="20"/>
  <c r="AB796" i="20"/>
  <c r="AB797" i="20"/>
  <c r="AB798" i="20"/>
  <c r="AB799" i="20"/>
  <c r="AB800" i="20"/>
  <c r="AB801" i="20"/>
  <c r="AB802" i="20"/>
  <c r="AB803" i="20"/>
  <c r="AB804" i="20"/>
  <c r="AB805" i="20"/>
  <c r="AB806" i="20"/>
  <c r="AB807" i="20"/>
  <c r="AB808" i="20"/>
  <c r="AB809" i="20"/>
  <c r="AB810" i="20"/>
  <c r="AB811" i="20"/>
  <c r="AB812" i="20"/>
  <c r="AB813" i="20"/>
  <c r="AB814" i="20"/>
  <c r="AB815" i="20"/>
  <c r="AB816" i="20"/>
  <c r="AB817" i="20"/>
  <c r="AB818" i="20"/>
  <c r="AB819" i="20"/>
  <c r="AB820" i="20"/>
  <c r="AB821" i="20"/>
  <c r="AB822" i="20"/>
  <c r="AB823" i="20"/>
  <c r="AB824" i="20"/>
  <c r="AB825" i="20"/>
  <c r="AB826" i="20"/>
  <c r="AB827" i="20"/>
  <c r="AB828" i="20"/>
  <c r="AB829" i="20"/>
  <c r="AB830" i="20"/>
  <c r="AB831" i="20"/>
  <c r="AB832" i="20"/>
  <c r="AB833" i="20"/>
  <c r="AB834" i="20"/>
  <c r="AB835" i="20"/>
  <c r="AB836" i="20"/>
  <c r="AB837" i="20"/>
  <c r="AB838" i="20"/>
  <c r="AB839" i="20"/>
  <c r="AB840" i="20"/>
  <c r="AB841" i="20"/>
  <c r="AB842" i="20"/>
  <c r="AB843" i="20"/>
  <c r="AB844" i="20"/>
  <c r="AB845" i="20"/>
  <c r="AB846" i="20"/>
  <c r="AB847" i="20"/>
  <c r="AB848" i="20"/>
  <c r="AB849" i="20"/>
  <c r="AB850" i="20"/>
  <c r="AB851" i="20"/>
  <c r="AB852" i="20"/>
  <c r="AB853" i="20"/>
  <c r="AB854" i="20"/>
  <c r="AB855" i="20"/>
  <c r="AB856" i="20"/>
  <c r="AB857" i="20"/>
  <c r="AB858" i="20"/>
  <c r="AB859" i="20"/>
  <c r="AB860" i="20"/>
  <c r="AB861" i="20"/>
  <c r="AB862" i="20"/>
  <c r="AB863" i="20"/>
  <c r="AB864" i="20"/>
  <c r="AB865" i="20"/>
  <c r="AB866" i="20"/>
  <c r="AB867" i="20"/>
  <c r="AB868" i="20"/>
  <c r="AB869" i="20"/>
  <c r="AB870" i="20"/>
  <c r="AB871" i="20"/>
  <c r="AB872" i="20"/>
  <c r="AB873" i="20"/>
  <c r="AB874" i="20"/>
  <c r="AB875" i="20"/>
  <c r="AB876" i="20"/>
  <c r="AB877" i="20"/>
  <c r="AB878" i="20"/>
  <c r="AB879" i="20"/>
  <c r="AB880" i="20"/>
  <c r="AB881" i="20"/>
  <c r="AB882" i="20"/>
  <c r="AB883" i="20"/>
  <c r="AB884" i="20"/>
  <c r="AB885" i="20"/>
  <c r="AB886" i="20"/>
  <c r="AB887" i="20"/>
  <c r="AB888" i="20"/>
  <c r="AB889" i="20"/>
  <c r="AB890" i="20"/>
  <c r="AB891" i="20"/>
  <c r="AB892" i="20"/>
  <c r="AB893" i="20"/>
  <c r="AB894" i="20"/>
  <c r="AB895" i="20"/>
  <c r="AB896" i="20"/>
  <c r="AB897" i="20"/>
  <c r="AB898" i="20"/>
  <c r="AB899" i="20"/>
  <c r="AB900" i="20"/>
  <c r="AB901" i="20"/>
  <c r="AB902" i="20"/>
  <c r="AB903" i="20"/>
  <c r="AB904" i="20"/>
  <c r="AB905" i="20"/>
  <c r="AB906" i="20"/>
  <c r="AB907" i="20"/>
  <c r="AB908" i="20"/>
  <c r="AB909" i="20"/>
  <c r="AB910" i="20"/>
  <c r="AB911" i="20"/>
  <c r="AB912" i="20"/>
  <c r="AB913" i="20"/>
  <c r="AB914" i="20"/>
  <c r="AB915" i="20"/>
  <c r="AB916" i="20"/>
  <c r="AB917" i="20"/>
  <c r="AB918" i="20"/>
  <c r="AB919" i="20"/>
  <c r="AB920" i="20"/>
  <c r="AB921" i="20"/>
  <c r="AB922" i="20"/>
  <c r="AB923" i="20"/>
  <c r="AB924" i="20"/>
  <c r="AB925" i="20"/>
  <c r="AB926" i="20"/>
  <c r="AB927" i="20"/>
  <c r="AB928" i="20"/>
  <c r="AB929" i="20"/>
  <c r="AB930" i="20"/>
  <c r="AB931" i="20"/>
  <c r="AB932" i="20"/>
  <c r="AB933" i="20"/>
  <c r="AB934" i="20"/>
  <c r="AB935" i="20"/>
  <c r="AB936" i="20"/>
  <c r="AB937" i="20"/>
  <c r="AB938" i="20"/>
  <c r="AB939" i="20"/>
  <c r="AB940" i="20"/>
  <c r="AB941" i="20"/>
  <c r="AB942" i="20"/>
  <c r="AB943" i="20"/>
  <c r="AB944" i="20"/>
  <c r="AB945" i="20"/>
  <c r="AB946" i="20"/>
  <c r="AB947" i="20"/>
  <c r="AB948" i="20"/>
  <c r="AB949" i="20"/>
  <c r="AB950" i="20"/>
  <c r="AB951" i="20"/>
  <c r="AB952" i="20"/>
  <c r="AB953" i="20"/>
  <c r="AB954" i="20"/>
  <c r="AB955" i="20"/>
  <c r="AB956" i="20"/>
  <c r="AB957" i="20"/>
  <c r="AB958" i="20"/>
  <c r="AB959" i="20"/>
  <c r="AB960" i="20"/>
  <c r="AB961" i="20"/>
  <c r="AB962" i="20"/>
  <c r="AB963" i="20"/>
  <c r="AB964" i="20"/>
  <c r="AB965" i="20"/>
  <c r="AB966" i="20"/>
  <c r="AB967" i="20"/>
  <c r="AB968" i="20"/>
  <c r="AB969" i="20"/>
  <c r="AB970" i="20"/>
  <c r="AB971" i="20"/>
  <c r="AB972" i="20"/>
  <c r="AB973" i="20"/>
  <c r="AB974" i="20"/>
  <c r="AB975" i="20"/>
  <c r="AB976" i="20"/>
  <c r="AB977" i="20"/>
  <c r="AB978" i="20"/>
  <c r="AB979" i="20"/>
  <c r="AB980" i="20"/>
  <c r="AB981" i="20"/>
  <c r="AB982" i="20"/>
  <c r="AB983" i="20"/>
  <c r="AB984" i="20"/>
  <c r="AB985" i="20"/>
  <c r="AB986" i="20"/>
  <c r="AB987" i="20"/>
  <c r="AB988" i="20"/>
  <c r="AB989" i="20"/>
  <c r="AB990" i="20"/>
  <c r="AB991" i="20"/>
  <c r="AB992" i="20"/>
  <c r="AB993" i="20"/>
  <c r="AB994" i="20"/>
  <c r="AB995" i="20"/>
  <c r="AB996" i="20"/>
  <c r="AB997" i="20"/>
  <c r="AB998" i="20"/>
  <c r="AB999" i="20"/>
  <c r="AB1000" i="20"/>
  <c r="AB1001" i="20"/>
  <c r="AB1002" i="20"/>
  <c r="AB1003" i="20"/>
  <c r="AB1004" i="20"/>
  <c r="AB1005" i="20"/>
  <c r="AB1006" i="20"/>
  <c r="AB1007" i="20"/>
  <c r="AB1008" i="20"/>
  <c r="AB1009" i="20"/>
  <c r="AB1010" i="20"/>
  <c r="AB1011" i="20"/>
  <c r="AB1012" i="20"/>
  <c r="AB1013" i="20"/>
  <c r="AB1014" i="20"/>
  <c r="AB1015" i="20"/>
  <c r="AB1016" i="20"/>
  <c r="AB1017" i="20"/>
  <c r="AB1018" i="20"/>
  <c r="AB1019" i="20"/>
  <c r="AB1020" i="20"/>
  <c r="AB1021" i="20"/>
  <c r="AB1022" i="20"/>
  <c r="AB1023" i="20"/>
  <c r="AB1024" i="20"/>
  <c r="AB1025" i="20"/>
  <c r="AB1026" i="20"/>
  <c r="AB1027" i="20"/>
  <c r="AB1028" i="20"/>
  <c r="AB1029" i="20"/>
  <c r="AB1030" i="20"/>
  <c r="AB1031" i="20"/>
  <c r="AB1032" i="20"/>
  <c r="AB1033" i="20"/>
  <c r="AB1034" i="20"/>
  <c r="AB1035" i="20"/>
  <c r="AB1036" i="20"/>
  <c r="AB1037" i="20"/>
  <c r="AB1038" i="20"/>
  <c r="AB1039" i="20"/>
  <c r="AB1040" i="20"/>
  <c r="AB1041" i="20"/>
  <c r="AB1042" i="20"/>
  <c r="AB1043" i="20"/>
  <c r="AB1044" i="20"/>
  <c r="AB1045" i="20"/>
  <c r="AB1046" i="20"/>
  <c r="AB1047" i="20"/>
  <c r="AB1048" i="20"/>
  <c r="AB1049" i="20"/>
  <c r="AB1050" i="20"/>
  <c r="AB1051" i="20"/>
  <c r="AB1052" i="20"/>
  <c r="AB1053" i="20"/>
  <c r="AB1054" i="20"/>
  <c r="AB1055" i="20"/>
  <c r="AB1056" i="20"/>
  <c r="AB1057" i="20"/>
  <c r="AB1058" i="20"/>
  <c r="AB1059" i="20"/>
  <c r="AB1060" i="20"/>
  <c r="AB1061" i="20"/>
  <c r="AB1062" i="20"/>
  <c r="AB1063" i="20"/>
  <c r="AB1064" i="20"/>
  <c r="AB1065" i="20"/>
  <c r="AB1066" i="20"/>
  <c r="AB1067" i="20"/>
  <c r="AB1068" i="20"/>
  <c r="AB1069" i="20"/>
  <c r="AB1070" i="20"/>
  <c r="AB1071" i="20"/>
  <c r="AB1072" i="20"/>
  <c r="AB1073" i="20"/>
  <c r="AB1074" i="20"/>
  <c r="AB1075" i="20"/>
  <c r="AB1076" i="20"/>
  <c r="AB1077" i="20"/>
  <c r="AB1078" i="20"/>
  <c r="AB1079" i="20"/>
  <c r="AB1080" i="20"/>
  <c r="AB1081" i="20"/>
  <c r="AB1082" i="20"/>
  <c r="AB1083" i="20"/>
  <c r="AB1084" i="20"/>
  <c r="AB1085" i="20"/>
  <c r="AB1086" i="20"/>
  <c r="AB1087" i="20"/>
  <c r="AB1088" i="20"/>
  <c r="AB1089" i="20"/>
  <c r="AB1090" i="20"/>
  <c r="AB1091" i="20"/>
  <c r="AB1092" i="20"/>
  <c r="AB1093" i="20"/>
  <c r="AB1094" i="20"/>
  <c r="AB1095" i="20"/>
  <c r="AB1096" i="20"/>
  <c r="AB1097" i="20"/>
  <c r="AB1098" i="20"/>
  <c r="AB1099" i="20"/>
  <c r="AB1100" i="20"/>
  <c r="AB1101" i="20"/>
  <c r="AB1102" i="20"/>
  <c r="AB1103" i="20"/>
  <c r="AB1104" i="20"/>
  <c r="AB1105" i="20"/>
  <c r="AB1106" i="20"/>
  <c r="AB1107" i="20"/>
  <c r="AB1108" i="20"/>
  <c r="AB1109" i="20"/>
  <c r="AB1110" i="20"/>
  <c r="AB1111" i="20"/>
  <c r="AB1112" i="20"/>
  <c r="AB1113" i="20"/>
  <c r="AB1114" i="20"/>
  <c r="AB1115" i="20"/>
  <c r="AB1116" i="20"/>
  <c r="AB1117" i="20"/>
  <c r="AB1118" i="20"/>
  <c r="AB1119" i="20"/>
  <c r="AB1120" i="20"/>
  <c r="AB1121" i="20"/>
  <c r="AB1122" i="20"/>
  <c r="AB1123" i="20"/>
  <c r="AB1124" i="20"/>
  <c r="AB1125" i="20"/>
  <c r="AB1126" i="20"/>
  <c r="AB1127" i="20"/>
  <c r="AB1128" i="20"/>
  <c r="AB1129" i="20"/>
  <c r="AB1130" i="20"/>
  <c r="AB1131" i="20"/>
  <c r="AB1132" i="20"/>
  <c r="AB1133" i="20"/>
  <c r="AB1134" i="20"/>
  <c r="AB1135" i="20"/>
  <c r="AB1136" i="20"/>
  <c r="AB1137" i="20"/>
  <c r="AB1138" i="20"/>
  <c r="AB1139" i="20"/>
  <c r="AB1140" i="20"/>
  <c r="AB1141" i="20"/>
  <c r="AB1142" i="20"/>
  <c r="AB1143" i="20"/>
  <c r="AB1144" i="20"/>
  <c r="AB1145" i="20"/>
  <c r="AB1146" i="20"/>
  <c r="AB1147" i="20"/>
  <c r="AB1148" i="20"/>
  <c r="AB1149" i="20"/>
  <c r="AB1150" i="20"/>
  <c r="AB1151" i="20"/>
  <c r="AB1152" i="20"/>
  <c r="AB1153" i="20"/>
  <c r="AB1154" i="20"/>
  <c r="AB1155" i="20"/>
  <c r="AB1156" i="20"/>
  <c r="AB1157" i="20"/>
  <c r="AB1158" i="20"/>
  <c r="AB1159" i="20"/>
  <c r="AB1160" i="20"/>
  <c r="AB1161" i="20"/>
  <c r="AB1162" i="20"/>
  <c r="AB1163" i="20"/>
  <c r="AB1164" i="20"/>
  <c r="AB1165" i="20"/>
  <c r="AB1166" i="20"/>
  <c r="AB1167" i="20"/>
  <c r="AB1168" i="20"/>
  <c r="AB1169" i="20"/>
  <c r="AB1170" i="20"/>
  <c r="AB1171" i="20"/>
  <c r="AB1172" i="20"/>
  <c r="AB1173" i="20"/>
  <c r="AB1174" i="20"/>
  <c r="AB1175" i="20"/>
  <c r="AB1176" i="20"/>
  <c r="AB1177" i="20"/>
  <c r="AB1178" i="20"/>
  <c r="AB1179" i="20"/>
  <c r="AB1180" i="20"/>
  <c r="AB1181" i="20"/>
  <c r="AB1182" i="20"/>
  <c r="AB1183" i="20"/>
  <c r="AB1184" i="20"/>
  <c r="AB1185" i="20"/>
  <c r="AB1186" i="20"/>
  <c r="AB1187" i="20"/>
  <c r="AB1188" i="20"/>
  <c r="AB1189" i="20"/>
  <c r="AB1190" i="20"/>
  <c r="AB1191" i="20"/>
  <c r="AB1192" i="20"/>
  <c r="AB1193" i="20"/>
  <c r="AB1194" i="20"/>
  <c r="AB1195" i="20"/>
  <c r="AB1196" i="20"/>
  <c r="AB1197" i="20"/>
  <c r="AB1198" i="20"/>
  <c r="AB1199" i="20"/>
  <c r="AB1200" i="20"/>
  <c r="AB1201" i="20"/>
  <c r="AB1202" i="20"/>
  <c r="AB1203" i="20"/>
  <c r="AB1204" i="20"/>
  <c r="AB1205" i="20"/>
  <c r="AB1206" i="20"/>
  <c r="AB1207" i="20"/>
  <c r="AB1208" i="20"/>
  <c r="AB1209" i="20"/>
  <c r="AB1210" i="20"/>
  <c r="AB1211" i="20"/>
  <c r="AB1212" i="20"/>
  <c r="AB1213" i="20"/>
  <c r="AB1214" i="20"/>
  <c r="AB1215" i="20"/>
  <c r="AB1216" i="20"/>
  <c r="AB1217" i="20"/>
  <c r="AB1218" i="20"/>
  <c r="AB1219" i="20"/>
  <c r="AB1220" i="20"/>
  <c r="AB1221" i="20"/>
  <c r="AB1222" i="20"/>
  <c r="AB1223" i="20"/>
  <c r="AB1224" i="20"/>
  <c r="AB1225" i="20"/>
  <c r="AB1226" i="20"/>
  <c r="AB1227" i="20"/>
  <c r="AB1228" i="20"/>
  <c r="AB1229" i="20"/>
  <c r="AB1230" i="20"/>
  <c r="AB1231" i="20"/>
  <c r="AB1232" i="20"/>
  <c r="AB1233" i="20"/>
  <c r="AB1234" i="20"/>
  <c r="AB1235" i="20"/>
  <c r="AB1236" i="20"/>
  <c r="AB1237" i="20"/>
  <c r="AB1238" i="20"/>
  <c r="AB1239" i="20"/>
  <c r="AB1240" i="20"/>
  <c r="AB1241" i="20"/>
  <c r="AB1242" i="20"/>
  <c r="AB1243" i="20"/>
  <c r="AB1244" i="20"/>
  <c r="AB1245" i="20"/>
  <c r="AB1246" i="20"/>
  <c r="AB1247" i="20"/>
  <c r="AB1248" i="20"/>
  <c r="AB1249" i="20"/>
  <c r="AB1250" i="20"/>
  <c r="AB1251" i="20"/>
  <c r="AB1252" i="20"/>
  <c r="AB1253" i="20"/>
  <c r="AB1254" i="20"/>
  <c r="AB1255" i="20"/>
  <c r="AB1256" i="20"/>
  <c r="AB1257" i="20"/>
  <c r="AB1258" i="20"/>
  <c r="AB1259" i="20"/>
  <c r="AB1260" i="20"/>
  <c r="AB1261" i="20"/>
  <c r="AB1262" i="20"/>
  <c r="AB1263" i="20"/>
  <c r="AB1264" i="20"/>
  <c r="AB1265" i="20"/>
  <c r="AB1266" i="20"/>
  <c r="AB1267" i="20"/>
  <c r="AB1268" i="20"/>
  <c r="AB1269" i="20"/>
  <c r="AB1270" i="20"/>
  <c r="AB1271" i="20"/>
  <c r="AB1272" i="20"/>
  <c r="AB1273" i="20"/>
  <c r="AB1274" i="20"/>
  <c r="AB1275" i="20"/>
  <c r="AB1276" i="20"/>
  <c r="AB1277" i="20"/>
  <c r="AB1278" i="20"/>
  <c r="AB1279" i="20"/>
  <c r="AB1280" i="20"/>
  <c r="AB1281" i="20"/>
  <c r="AB1282" i="20"/>
  <c r="AB1283" i="20"/>
  <c r="AB1284" i="20"/>
  <c r="AB1285" i="20"/>
  <c r="AB1286" i="20"/>
  <c r="AB1287" i="20"/>
  <c r="AB1288" i="20"/>
  <c r="AB1289" i="20"/>
  <c r="AB1290" i="20"/>
  <c r="AB1291" i="20"/>
  <c r="AB1292" i="20"/>
  <c r="AB1293" i="20"/>
  <c r="AB1294" i="20"/>
  <c r="AB1295" i="20"/>
  <c r="AB1296" i="20"/>
  <c r="AB1297" i="20"/>
  <c r="AB1298" i="20"/>
  <c r="AB1299" i="20"/>
  <c r="AB1300" i="20"/>
  <c r="AB1301" i="20"/>
  <c r="AB1302" i="20"/>
  <c r="AB1303" i="20"/>
  <c r="AB1304" i="20"/>
  <c r="AB1305" i="20"/>
  <c r="AB1306" i="20"/>
  <c r="AB1307" i="20"/>
  <c r="AB1308" i="20"/>
  <c r="AB1309" i="20"/>
  <c r="AB1310" i="20"/>
  <c r="AB1311" i="20"/>
  <c r="AB1312" i="20"/>
  <c r="AB1313" i="20"/>
  <c r="AB1314" i="20"/>
  <c r="AB1315" i="20"/>
  <c r="AB1316" i="20"/>
  <c r="AB1317" i="20"/>
  <c r="AB1318" i="20"/>
  <c r="AB1319" i="20"/>
  <c r="AB1320" i="20"/>
  <c r="AB1321" i="20"/>
  <c r="AB1322" i="20"/>
  <c r="AB1323" i="20"/>
  <c r="AB1324" i="20"/>
  <c r="AB1325" i="20"/>
  <c r="AB1326" i="20"/>
  <c r="AB1327" i="20"/>
  <c r="AB1328" i="20"/>
  <c r="AB1329" i="20"/>
  <c r="AB1330" i="20"/>
  <c r="AB1331" i="20"/>
  <c r="AB1332" i="20"/>
  <c r="AB1333" i="20"/>
  <c r="AB1334" i="20"/>
  <c r="AB1335" i="20"/>
  <c r="AB1336" i="20"/>
  <c r="AB1337" i="20"/>
  <c r="AB1338" i="20"/>
  <c r="AB1339" i="20"/>
  <c r="AB1340" i="20"/>
  <c r="AB1341" i="20"/>
  <c r="AB1342" i="20"/>
  <c r="AB1343" i="20"/>
  <c r="AB1344" i="20"/>
  <c r="AB1345" i="20"/>
  <c r="AB1346" i="20"/>
  <c r="AB1347" i="20"/>
  <c r="AB1348" i="20"/>
  <c r="AB1349" i="20"/>
  <c r="AB1350" i="20"/>
  <c r="AB1351" i="20"/>
  <c r="AB1352" i="20"/>
  <c r="AB1353" i="20"/>
  <c r="AB1354" i="20"/>
  <c r="AB1355" i="20"/>
  <c r="AB1356" i="20"/>
  <c r="AB1357" i="20"/>
  <c r="AB1358" i="20"/>
  <c r="AB1359" i="20"/>
  <c r="AB1360" i="20"/>
  <c r="AB1361" i="20"/>
  <c r="AB1362" i="20"/>
  <c r="AB1363" i="20"/>
  <c r="AB1364" i="20"/>
  <c r="AB1365" i="20"/>
  <c r="AB1366" i="20"/>
  <c r="AB1367" i="20"/>
  <c r="AB1368" i="20"/>
  <c r="AB1369" i="20"/>
  <c r="AB1370" i="20"/>
  <c r="AB1371" i="20"/>
  <c r="AB1372" i="20"/>
  <c r="AB1373" i="20"/>
  <c r="AB1374" i="20"/>
  <c r="AB1375" i="20"/>
  <c r="AB1376" i="20"/>
  <c r="AB1377" i="20"/>
  <c r="AB1378" i="20"/>
  <c r="AB1379" i="20"/>
  <c r="AB1380" i="20"/>
  <c r="AB1381" i="20"/>
  <c r="AB1382" i="20"/>
  <c r="E1403" i="20"/>
  <c r="E1409" i="20"/>
  <c r="AN1382" i="20"/>
  <c r="L1404" i="20"/>
  <c r="P1382" i="20"/>
  <c r="L1405" i="20"/>
  <c r="Y1382" i="20"/>
  <c r="L1406" i="20"/>
  <c r="AK1382" i="20"/>
  <c r="L1407" i="20"/>
  <c r="L1409" i="20"/>
  <c r="E1410" i="20"/>
  <c r="O1390" i="20"/>
  <c r="S1390" i="20"/>
  <c r="T1390" i="20"/>
  <c r="U1390" i="20"/>
  <c r="V1390" i="20"/>
  <c r="W1390" i="20"/>
  <c r="X1390" i="20"/>
  <c r="Y1390" i="20"/>
  <c r="AA1390" i="20"/>
  <c r="AC1390" i="20"/>
  <c r="AE1390" i="20"/>
  <c r="I1390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I96" i="20"/>
  <c r="I97" i="20"/>
  <c r="I98" i="20"/>
  <c r="I99" i="20"/>
  <c r="I100" i="20"/>
  <c r="I101" i="20"/>
  <c r="I102" i="20"/>
  <c r="I103" i="20"/>
  <c r="I104" i="20"/>
  <c r="I105" i="20"/>
  <c r="I106" i="20"/>
  <c r="I107" i="20"/>
  <c r="I108" i="20"/>
  <c r="I109" i="20"/>
  <c r="I110" i="20"/>
  <c r="I111" i="20"/>
  <c r="I112" i="20"/>
  <c r="I113" i="20"/>
  <c r="I114" i="20"/>
  <c r="I115" i="20"/>
  <c r="I116" i="20"/>
  <c r="I117" i="20"/>
  <c r="I118" i="20"/>
  <c r="I119" i="20"/>
  <c r="I120" i="20"/>
  <c r="I121" i="20"/>
  <c r="I122" i="20"/>
  <c r="I123" i="20"/>
  <c r="I124" i="20"/>
  <c r="I125" i="20"/>
  <c r="I126" i="20"/>
  <c r="I127" i="20"/>
  <c r="I128" i="20"/>
  <c r="I129" i="20"/>
  <c r="I130" i="20"/>
  <c r="I131" i="20"/>
  <c r="I132" i="20"/>
  <c r="I133" i="20"/>
  <c r="I134" i="20"/>
  <c r="I135" i="20"/>
  <c r="I136" i="20"/>
  <c r="I137" i="20"/>
  <c r="I138" i="20"/>
  <c r="I139" i="20"/>
  <c r="I140" i="20"/>
  <c r="I141" i="20"/>
  <c r="I142" i="20"/>
  <c r="I143" i="20"/>
  <c r="I144" i="20"/>
  <c r="I145" i="20"/>
  <c r="I146" i="20"/>
  <c r="I147" i="20"/>
  <c r="I148" i="20"/>
  <c r="I149" i="20"/>
  <c r="I150" i="20"/>
  <c r="I151" i="20"/>
  <c r="I152" i="20"/>
  <c r="I153" i="20"/>
  <c r="I154" i="20"/>
  <c r="I155" i="20"/>
  <c r="I156" i="20"/>
  <c r="I157" i="20"/>
  <c r="I158" i="20"/>
  <c r="I159" i="20"/>
  <c r="I160" i="20"/>
  <c r="I161" i="20"/>
  <c r="I162" i="20"/>
  <c r="I163" i="20"/>
  <c r="I164" i="20"/>
  <c r="I165" i="20"/>
  <c r="I166" i="20"/>
  <c r="I167" i="20"/>
  <c r="I168" i="20"/>
  <c r="I169" i="20"/>
  <c r="I170" i="20"/>
  <c r="I171" i="20"/>
  <c r="I172" i="20"/>
  <c r="I173" i="20"/>
  <c r="I174" i="20"/>
  <c r="I175" i="20"/>
  <c r="I176" i="20"/>
  <c r="I177" i="20"/>
  <c r="I178" i="20"/>
  <c r="I179" i="20"/>
  <c r="I180" i="20"/>
  <c r="I181" i="20"/>
  <c r="I182" i="20"/>
  <c r="I183" i="20"/>
  <c r="I184" i="20"/>
  <c r="I185" i="20"/>
  <c r="I186" i="20"/>
  <c r="I187" i="20"/>
  <c r="I188" i="20"/>
  <c r="I189" i="20"/>
  <c r="I190" i="20"/>
  <c r="I191" i="20"/>
  <c r="I192" i="20"/>
  <c r="I193" i="20"/>
  <c r="I194" i="20"/>
  <c r="I195" i="20"/>
  <c r="I196" i="20"/>
  <c r="I197" i="20"/>
  <c r="I198" i="20"/>
  <c r="I199" i="20"/>
  <c r="I200" i="20"/>
  <c r="I201" i="20"/>
  <c r="I202" i="20"/>
  <c r="I203" i="20"/>
  <c r="I204" i="20"/>
  <c r="I205" i="20"/>
  <c r="I206" i="20"/>
  <c r="I207" i="20"/>
  <c r="I208" i="20"/>
  <c r="I209" i="20"/>
  <c r="I210" i="20"/>
  <c r="I211" i="20"/>
  <c r="I212" i="20"/>
  <c r="I213" i="20"/>
  <c r="I214" i="20"/>
  <c r="I215" i="20"/>
  <c r="I216" i="20"/>
  <c r="I217" i="20"/>
  <c r="I218" i="20"/>
  <c r="I219" i="20"/>
  <c r="I220" i="20"/>
  <c r="I221" i="20"/>
  <c r="I222" i="20"/>
  <c r="I223" i="20"/>
  <c r="I224" i="20"/>
  <c r="I225" i="20"/>
  <c r="I226" i="20"/>
  <c r="I227" i="20"/>
  <c r="I228" i="20"/>
  <c r="I229" i="20"/>
  <c r="I230" i="20"/>
  <c r="I231" i="20"/>
  <c r="I232" i="20"/>
  <c r="I233" i="20"/>
  <c r="I234" i="20"/>
  <c r="I235" i="20"/>
  <c r="I236" i="20"/>
  <c r="I237" i="20"/>
  <c r="I238" i="20"/>
  <c r="I239" i="20"/>
  <c r="I240" i="20"/>
  <c r="I241" i="20"/>
  <c r="I242" i="20"/>
  <c r="I243" i="20"/>
  <c r="I244" i="20"/>
  <c r="I245" i="20"/>
  <c r="I246" i="20"/>
  <c r="I247" i="20"/>
  <c r="I248" i="20"/>
  <c r="I249" i="20"/>
  <c r="I250" i="20"/>
  <c r="I251" i="20"/>
  <c r="I252" i="20"/>
  <c r="I253" i="20"/>
  <c r="I254" i="20"/>
  <c r="I255" i="20"/>
  <c r="I256" i="20"/>
  <c r="I257" i="20"/>
  <c r="I258" i="20"/>
  <c r="I259" i="20"/>
  <c r="I260" i="20"/>
  <c r="I261" i="20"/>
  <c r="I262" i="20"/>
  <c r="I263" i="20"/>
  <c r="I264" i="20"/>
  <c r="I265" i="20"/>
  <c r="I266" i="20"/>
  <c r="I267" i="20"/>
  <c r="I268" i="20"/>
  <c r="I269" i="20"/>
  <c r="I270" i="20"/>
  <c r="I271" i="20"/>
  <c r="I272" i="20"/>
  <c r="I273" i="20"/>
  <c r="I274" i="20"/>
  <c r="I275" i="20"/>
  <c r="I276" i="20"/>
  <c r="I277" i="20"/>
  <c r="I278" i="20"/>
  <c r="I279" i="20"/>
  <c r="I280" i="20"/>
  <c r="I281" i="20"/>
  <c r="I282" i="20"/>
  <c r="I283" i="20"/>
  <c r="I284" i="20"/>
  <c r="I285" i="20"/>
  <c r="I286" i="20"/>
  <c r="I287" i="20"/>
  <c r="I288" i="20"/>
  <c r="I289" i="20"/>
  <c r="I290" i="20"/>
  <c r="I291" i="20"/>
  <c r="I292" i="20"/>
  <c r="I293" i="20"/>
  <c r="I294" i="20"/>
  <c r="I295" i="20"/>
  <c r="I296" i="20"/>
  <c r="I297" i="20"/>
  <c r="I298" i="20"/>
  <c r="I299" i="20"/>
  <c r="I300" i="20"/>
  <c r="I301" i="20"/>
  <c r="I302" i="20"/>
  <c r="I303" i="20"/>
  <c r="I304" i="20"/>
  <c r="I305" i="20"/>
  <c r="I306" i="20"/>
  <c r="I307" i="20"/>
  <c r="I308" i="20"/>
  <c r="I309" i="20"/>
  <c r="I310" i="20"/>
  <c r="I311" i="20"/>
  <c r="I312" i="20"/>
  <c r="I313" i="20"/>
  <c r="I314" i="20"/>
  <c r="I315" i="20"/>
  <c r="I316" i="20"/>
  <c r="I317" i="20"/>
  <c r="I318" i="20"/>
  <c r="I319" i="20"/>
  <c r="I320" i="20"/>
  <c r="I321" i="20"/>
  <c r="I322" i="20"/>
  <c r="I323" i="20"/>
  <c r="I324" i="20"/>
  <c r="I325" i="20"/>
  <c r="I326" i="20"/>
  <c r="I327" i="20"/>
  <c r="I328" i="20"/>
  <c r="I329" i="20"/>
  <c r="I330" i="20"/>
  <c r="I331" i="20"/>
  <c r="I332" i="20"/>
  <c r="I333" i="20"/>
  <c r="I334" i="20"/>
  <c r="I335" i="20"/>
  <c r="I336" i="20"/>
  <c r="I337" i="20"/>
  <c r="I338" i="20"/>
  <c r="I339" i="20"/>
  <c r="I340" i="20"/>
  <c r="I341" i="20"/>
  <c r="I342" i="20"/>
  <c r="I343" i="20"/>
  <c r="I344" i="20"/>
  <c r="I345" i="20"/>
  <c r="I346" i="20"/>
  <c r="I347" i="20"/>
  <c r="I348" i="20"/>
  <c r="I349" i="20"/>
  <c r="I350" i="20"/>
  <c r="I351" i="20"/>
  <c r="I352" i="20"/>
  <c r="I353" i="20"/>
  <c r="I354" i="20"/>
  <c r="I355" i="20"/>
  <c r="I356" i="20"/>
  <c r="I357" i="20"/>
  <c r="I358" i="20"/>
  <c r="I359" i="20"/>
  <c r="I360" i="20"/>
  <c r="I361" i="20"/>
  <c r="I362" i="20"/>
  <c r="I363" i="20"/>
  <c r="I364" i="20"/>
  <c r="I365" i="20"/>
  <c r="I366" i="20"/>
  <c r="I367" i="20"/>
  <c r="I368" i="20"/>
  <c r="I369" i="20"/>
  <c r="I370" i="20"/>
  <c r="I371" i="20"/>
  <c r="I372" i="20"/>
  <c r="I373" i="20"/>
  <c r="I374" i="20"/>
  <c r="I375" i="20"/>
  <c r="I376" i="20"/>
  <c r="I377" i="20"/>
  <c r="I378" i="20"/>
  <c r="I379" i="20"/>
  <c r="I380" i="20"/>
  <c r="I381" i="20"/>
  <c r="I382" i="20"/>
  <c r="I383" i="20"/>
  <c r="I384" i="20"/>
  <c r="I385" i="20"/>
  <c r="I386" i="20"/>
  <c r="I387" i="20"/>
  <c r="I388" i="20"/>
  <c r="I389" i="20"/>
  <c r="I390" i="20"/>
  <c r="I391" i="20"/>
  <c r="I392" i="20"/>
  <c r="I393" i="20"/>
  <c r="I394" i="20"/>
  <c r="I395" i="20"/>
  <c r="I396" i="20"/>
  <c r="I397" i="20"/>
  <c r="I398" i="20"/>
  <c r="I399" i="20"/>
  <c r="I400" i="20"/>
  <c r="I401" i="20"/>
  <c r="I402" i="20"/>
  <c r="I403" i="20"/>
  <c r="I404" i="20"/>
  <c r="I405" i="20"/>
  <c r="I406" i="20"/>
  <c r="I407" i="20"/>
  <c r="I408" i="20"/>
  <c r="I409" i="20"/>
  <c r="I410" i="20"/>
  <c r="I411" i="20"/>
  <c r="I412" i="20"/>
  <c r="I413" i="20"/>
  <c r="I414" i="20"/>
  <c r="I415" i="20"/>
  <c r="I416" i="20"/>
  <c r="I417" i="20"/>
  <c r="I418" i="20"/>
  <c r="I419" i="20"/>
  <c r="I420" i="20"/>
  <c r="I421" i="20"/>
  <c r="I422" i="20"/>
  <c r="I423" i="20"/>
  <c r="I424" i="20"/>
  <c r="I425" i="20"/>
  <c r="I426" i="20"/>
  <c r="I427" i="20"/>
  <c r="I428" i="20"/>
  <c r="I429" i="20"/>
  <c r="I430" i="20"/>
  <c r="I431" i="20"/>
  <c r="I432" i="20"/>
  <c r="I433" i="20"/>
  <c r="I434" i="20"/>
  <c r="I435" i="20"/>
  <c r="I436" i="20"/>
  <c r="I437" i="20"/>
  <c r="I438" i="20"/>
  <c r="I439" i="20"/>
  <c r="I440" i="20"/>
  <c r="I441" i="20"/>
  <c r="I442" i="20"/>
  <c r="I443" i="20"/>
  <c r="I444" i="20"/>
  <c r="I445" i="20"/>
  <c r="I446" i="20"/>
  <c r="I447" i="20"/>
  <c r="I448" i="20"/>
  <c r="I449" i="20"/>
  <c r="I450" i="20"/>
  <c r="I451" i="20"/>
  <c r="I452" i="20"/>
  <c r="I453" i="20"/>
  <c r="I454" i="20"/>
  <c r="I455" i="20"/>
  <c r="I456" i="20"/>
  <c r="I457" i="20"/>
  <c r="I458" i="20"/>
  <c r="I459" i="20"/>
  <c r="I460" i="20"/>
  <c r="I461" i="20"/>
  <c r="I462" i="20"/>
  <c r="I463" i="20"/>
  <c r="I464" i="20"/>
  <c r="I465" i="20"/>
  <c r="I466" i="20"/>
  <c r="I467" i="20"/>
  <c r="I468" i="20"/>
  <c r="I469" i="20"/>
  <c r="I470" i="20"/>
  <c r="I471" i="20"/>
  <c r="I472" i="20"/>
  <c r="I473" i="20"/>
  <c r="I474" i="20"/>
  <c r="I475" i="20"/>
  <c r="I476" i="20"/>
  <c r="I477" i="20"/>
  <c r="I478" i="20"/>
  <c r="I479" i="20"/>
  <c r="I480" i="20"/>
  <c r="I481" i="20"/>
  <c r="I482" i="20"/>
  <c r="I483" i="20"/>
  <c r="I484" i="20"/>
  <c r="I485" i="20"/>
  <c r="I486" i="20"/>
  <c r="I487" i="20"/>
  <c r="I488" i="20"/>
  <c r="I489" i="20"/>
  <c r="I490" i="20"/>
  <c r="I491" i="20"/>
  <c r="I492" i="20"/>
  <c r="I493" i="20"/>
  <c r="I494" i="20"/>
  <c r="I495" i="20"/>
  <c r="I496" i="20"/>
  <c r="I497" i="20"/>
  <c r="I498" i="20"/>
  <c r="I499" i="20"/>
  <c r="I500" i="20"/>
  <c r="I501" i="20"/>
  <c r="I502" i="20"/>
  <c r="I503" i="20"/>
  <c r="I504" i="20"/>
  <c r="I505" i="20"/>
  <c r="I506" i="20"/>
  <c r="I507" i="20"/>
  <c r="I508" i="20"/>
  <c r="I509" i="20"/>
  <c r="I510" i="20"/>
  <c r="I511" i="20"/>
  <c r="I512" i="20"/>
  <c r="I513" i="20"/>
  <c r="I514" i="20"/>
  <c r="I515" i="20"/>
  <c r="I516" i="20"/>
  <c r="I517" i="20"/>
  <c r="I518" i="20"/>
  <c r="I519" i="20"/>
  <c r="I520" i="20"/>
  <c r="I521" i="20"/>
  <c r="I522" i="20"/>
  <c r="I523" i="20"/>
  <c r="I524" i="20"/>
  <c r="I525" i="20"/>
  <c r="I526" i="20"/>
  <c r="I527" i="20"/>
  <c r="I528" i="20"/>
  <c r="I529" i="20"/>
  <c r="I530" i="20"/>
  <c r="I531" i="20"/>
  <c r="I532" i="20"/>
  <c r="I533" i="20"/>
  <c r="I534" i="20"/>
  <c r="I535" i="20"/>
  <c r="I536" i="20"/>
  <c r="I537" i="20"/>
  <c r="I538" i="20"/>
  <c r="I539" i="20"/>
  <c r="I540" i="20"/>
  <c r="I541" i="20"/>
  <c r="I542" i="20"/>
  <c r="I543" i="20"/>
  <c r="I544" i="20"/>
  <c r="I545" i="20"/>
  <c r="I546" i="20"/>
  <c r="I547" i="20"/>
  <c r="I548" i="20"/>
  <c r="I549" i="20"/>
  <c r="I550" i="20"/>
  <c r="I551" i="20"/>
  <c r="I552" i="20"/>
  <c r="I553" i="20"/>
  <c r="I554" i="20"/>
  <c r="I555" i="20"/>
  <c r="I556" i="20"/>
  <c r="I557" i="20"/>
  <c r="I558" i="20"/>
  <c r="I559" i="20"/>
  <c r="I560" i="20"/>
  <c r="I561" i="20"/>
  <c r="I562" i="20"/>
  <c r="I563" i="20"/>
  <c r="I564" i="20"/>
  <c r="I565" i="20"/>
  <c r="I566" i="20"/>
  <c r="I567" i="20"/>
  <c r="I568" i="20"/>
  <c r="I569" i="20"/>
  <c r="I570" i="20"/>
  <c r="I571" i="20"/>
  <c r="I572" i="20"/>
  <c r="I573" i="20"/>
  <c r="I574" i="20"/>
  <c r="I575" i="20"/>
  <c r="I576" i="20"/>
  <c r="I577" i="20"/>
  <c r="I578" i="20"/>
  <c r="I579" i="20"/>
  <c r="I580" i="20"/>
  <c r="I581" i="20"/>
  <c r="I582" i="20"/>
  <c r="I583" i="20"/>
  <c r="I584" i="20"/>
  <c r="I585" i="20"/>
  <c r="I586" i="20"/>
  <c r="I587" i="20"/>
  <c r="I588" i="20"/>
  <c r="I589" i="20"/>
  <c r="I590" i="20"/>
  <c r="I591" i="20"/>
  <c r="I592" i="20"/>
  <c r="I593" i="20"/>
  <c r="I594" i="20"/>
  <c r="I595" i="20"/>
  <c r="I596" i="20"/>
  <c r="I597" i="20"/>
  <c r="I598" i="20"/>
  <c r="I599" i="20"/>
  <c r="I600" i="20"/>
  <c r="I601" i="20"/>
  <c r="I602" i="20"/>
  <c r="I603" i="20"/>
  <c r="I604" i="20"/>
  <c r="I605" i="20"/>
  <c r="I606" i="20"/>
  <c r="I607" i="20"/>
  <c r="I608" i="20"/>
  <c r="I609" i="20"/>
  <c r="I610" i="20"/>
  <c r="I611" i="20"/>
  <c r="I612" i="20"/>
  <c r="I613" i="20"/>
  <c r="I614" i="20"/>
  <c r="I615" i="20"/>
  <c r="I616" i="20"/>
  <c r="I617" i="20"/>
  <c r="I618" i="20"/>
  <c r="I619" i="20"/>
  <c r="I620" i="20"/>
  <c r="I621" i="20"/>
  <c r="I622" i="20"/>
  <c r="I623" i="20"/>
  <c r="I624" i="20"/>
  <c r="I625" i="20"/>
  <c r="I626" i="20"/>
  <c r="I627" i="20"/>
  <c r="I628" i="20"/>
  <c r="I629" i="20"/>
  <c r="I630" i="20"/>
  <c r="I631" i="20"/>
  <c r="I632" i="20"/>
  <c r="I633" i="20"/>
  <c r="I634" i="20"/>
  <c r="I635" i="20"/>
  <c r="I636" i="20"/>
  <c r="I637" i="20"/>
  <c r="I638" i="20"/>
  <c r="I639" i="20"/>
  <c r="I640" i="20"/>
  <c r="I641" i="20"/>
  <c r="I642" i="20"/>
  <c r="I643" i="20"/>
  <c r="I644" i="20"/>
  <c r="I645" i="20"/>
  <c r="I646" i="20"/>
  <c r="I647" i="20"/>
  <c r="I648" i="20"/>
  <c r="I649" i="20"/>
  <c r="I650" i="20"/>
  <c r="I651" i="20"/>
  <c r="I652" i="20"/>
  <c r="I653" i="20"/>
  <c r="I654" i="20"/>
  <c r="I655" i="20"/>
  <c r="I656" i="20"/>
  <c r="I657" i="20"/>
  <c r="I658" i="20"/>
  <c r="I659" i="20"/>
  <c r="I660" i="20"/>
  <c r="I661" i="20"/>
  <c r="I662" i="20"/>
  <c r="I663" i="20"/>
  <c r="I664" i="20"/>
  <c r="I665" i="20"/>
  <c r="I666" i="20"/>
  <c r="I667" i="20"/>
  <c r="I668" i="20"/>
  <c r="I669" i="20"/>
  <c r="I670" i="20"/>
  <c r="I671" i="20"/>
  <c r="I672" i="20"/>
  <c r="I673" i="20"/>
  <c r="I674" i="20"/>
  <c r="I675" i="20"/>
  <c r="I676" i="20"/>
  <c r="I677" i="20"/>
  <c r="I678" i="20"/>
  <c r="I679" i="20"/>
  <c r="I680" i="20"/>
  <c r="I681" i="20"/>
  <c r="I682" i="20"/>
  <c r="I683" i="20"/>
  <c r="I684" i="20"/>
  <c r="I685" i="20"/>
  <c r="I686" i="20"/>
  <c r="I687" i="20"/>
  <c r="I688" i="20"/>
  <c r="I689" i="20"/>
  <c r="I690" i="20"/>
  <c r="I691" i="20"/>
  <c r="I692" i="20"/>
  <c r="I693" i="20"/>
  <c r="I694" i="20"/>
  <c r="I695" i="20"/>
  <c r="I696" i="20"/>
  <c r="I697" i="20"/>
  <c r="I698" i="20"/>
  <c r="I699" i="20"/>
  <c r="I700" i="20"/>
  <c r="I701" i="20"/>
  <c r="I702" i="20"/>
  <c r="I703" i="20"/>
  <c r="I704" i="20"/>
  <c r="I705" i="20"/>
  <c r="I706" i="20"/>
  <c r="I707" i="20"/>
  <c r="I708" i="20"/>
  <c r="I709" i="20"/>
  <c r="I710" i="20"/>
  <c r="I711" i="20"/>
  <c r="I712" i="20"/>
  <c r="I713" i="20"/>
  <c r="I714" i="20"/>
  <c r="I715" i="20"/>
  <c r="I716" i="20"/>
  <c r="I717" i="20"/>
  <c r="I718" i="20"/>
  <c r="I719" i="20"/>
  <c r="I720" i="20"/>
  <c r="I721" i="20"/>
  <c r="I722" i="20"/>
  <c r="I723" i="20"/>
  <c r="I724" i="20"/>
  <c r="I725" i="20"/>
  <c r="I726" i="20"/>
  <c r="I727" i="20"/>
  <c r="I728" i="20"/>
  <c r="I729" i="20"/>
  <c r="I730" i="20"/>
  <c r="I731" i="20"/>
  <c r="I732" i="20"/>
  <c r="I733" i="20"/>
  <c r="I734" i="20"/>
  <c r="I735" i="20"/>
  <c r="I736" i="20"/>
  <c r="I737" i="20"/>
  <c r="I738" i="20"/>
  <c r="I739" i="20"/>
  <c r="I740" i="20"/>
  <c r="I741" i="20"/>
  <c r="I742" i="20"/>
  <c r="I743" i="20"/>
  <c r="I744" i="20"/>
  <c r="I745" i="20"/>
  <c r="I746" i="20"/>
  <c r="I747" i="20"/>
  <c r="I748" i="20"/>
  <c r="I749" i="20"/>
  <c r="I750" i="20"/>
  <c r="I751" i="20"/>
  <c r="I752" i="20"/>
  <c r="I753" i="20"/>
  <c r="I754" i="20"/>
  <c r="I755" i="20"/>
  <c r="I756" i="20"/>
  <c r="I757" i="20"/>
  <c r="I758" i="20"/>
  <c r="I759" i="20"/>
  <c r="I760" i="20"/>
  <c r="I761" i="20"/>
  <c r="I762" i="20"/>
  <c r="I763" i="20"/>
  <c r="I764" i="20"/>
  <c r="I765" i="20"/>
  <c r="I766" i="20"/>
  <c r="I767" i="20"/>
  <c r="I768" i="20"/>
  <c r="I769" i="20"/>
  <c r="I770" i="20"/>
  <c r="I771" i="20"/>
  <c r="I772" i="20"/>
  <c r="I773" i="20"/>
  <c r="I774" i="20"/>
  <c r="I775" i="20"/>
  <c r="I776" i="20"/>
  <c r="I777" i="20"/>
  <c r="I778" i="20"/>
  <c r="I779" i="20"/>
  <c r="I780" i="20"/>
  <c r="I781" i="20"/>
  <c r="I782" i="20"/>
  <c r="I783" i="20"/>
  <c r="I784" i="20"/>
  <c r="I785" i="20"/>
  <c r="I786" i="20"/>
  <c r="I787" i="20"/>
  <c r="I788" i="20"/>
  <c r="I789" i="20"/>
  <c r="I790" i="20"/>
  <c r="I791" i="20"/>
  <c r="I792" i="20"/>
  <c r="I793" i="20"/>
  <c r="I794" i="20"/>
  <c r="I795" i="20"/>
  <c r="I796" i="20"/>
  <c r="I797" i="20"/>
  <c r="I798" i="20"/>
  <c r="I799" i="20"/>
  <c r="I800" i="20"/>
  <c r="I801" i="20"/>
  <c r="I802" i="20"/>
  <c r="I803" i="20"/>
  <c r="I804" i="20"/>
  <c r="I805" i="20"/>
  <c r="I806" i="20"/>
  <c r="I807" i="20"/>
  <c r="I808" i="20"/>
  <c r="I809" i="20"/>
  <c r="I810" i="20"/>
  <c r="I811" i="20"/>
  <c r="I812" i="20"/>
  <c r="I813" i="20"/>
  <c r="I814" i="20"/>
  <c r="I815" i="20"/>
  <c r="I816" i="20"/>
  <c r="I817" i="20"/>
  <c r="I818" i="20"/>
  <c r="I819" i="20"/>
  <c r="I820" i="20"/>
  <c r="I821" i="20"/>
  <c r="I822" i="20"/>
  <c r="I823" i="20"/>
  <c r="I824" i="20"/>
  <c r="I825" i="20"/>
  <c r="I826" i="20"/>
  <c r="I827" i="20"/>
  <c r="I828" i="20"/>
  <c r="I829" i="20"/>
  <c r="I830" i="20"/>
  <c r="I831" i="20"/>
  <c r="I832" i="20"/>
  <c r="I833" i="20"/>
  <c r="I834" i="20"/>
  <c r="I835" i="20"/>
  <c r="I836" i="20"/>
  <c r="I837" i="20"/>
  <c r="I838" i="20"/>
  <c r="I839" i="20"/>
  <c r="I840" i="20"/>
  <c r="I841" i="20"/>
  <c r="I842" i="20"/>
  <c r="I843" i="20"/>
  <c r="I844" i="20"/>
  <c r="I845" i="20"/>
  <c r="I846" i="20"/>
  <c r="I847" i="20"/>
  <c r="I848" i="20"/>
  <c r="I849" i="20"/>
  <c r="I850" i="20"/>
  <c r="I851" i="20"/>
  <c r="I852" i="20"/>
  <c r="I853" i="20"/>
  <c r="I854" i="20"/>
  <c r="I855" i="20"/>
  <c r="I856" i="20"/>
  <c r="I857" i="20"/>
  <c r="I858" i="20"/>
  <c r="I859" i="20"/>
  <c r="I860" i="20"/>
  <c r="I861" i="20"/>
  <c r="I862" i="20"/>
  <c r="I863" i="20"/>
  <c r="I864" i="20"/>
  <c r="I865" i="20"/>
  <c r="I866" i="20"/>
  <c r="I867" i="20"/>
  <c r="I868" i="20"/>
  <c r="I869" i="20"/>
  <c r="I870" i="20"/>
  <c r="I871" i="20"/>
  <c r="I872" i="20"/>
  <c r="I873" i="20"/>
  <c r="I874" i="20"/>
  <c r="I875" i="20"/>
  <c r="I876" i="20"/>
  <c r="I877" i="20"/>
  <c r="I878" i="20"/>
  <c r="I879" i="20"/>
  <c r="I880" i="20"/>
  <c r="I881" i="20"/>
  <c r="I882" i="20"/>
  <c r="I883" i="20"/>
  <c r="I884" i="20"/>
  <c r="I885" i="20"/>
  <c r="I886" i="20"/>
  <c r="I887" i="20"/>
  <c r="I888" i="20"/>
  <c r="I889" i="20"/>
  <c r="I890" i="20"/>
  <c r="I891" i="20"/>
  <c r="I892" i="20"/>
  <c r="I893" i="20"/>
  <c r="I894" i="20"/>
  <c r="I895" i="20"/>
  <c r="I896" i="20"/>
  <c r="I897" i="20"/>
  <c r="I898" i="20"/>
  <c r="I899" i="20"/>
  <c r="I900" i="20"/>
  <c r="I901" i="20"/>
  <c r="I902" i="20"/>
  <c r="I903" i="20"/>
  <c r="I904" i="20"/>
  <c r="I905" i="20"/>
  <c r="I906" i="20"/>
  <c r="I907" i="20"/>
  <c r="I908" i="20"/>
  <c r="I909" i="20"/>
  <c r="I910" i="20"/>
  <c r="I911" i="20"/>
  <c r="I912" i="20"/>
  <c r="I913" i="20"/>
  <c r="I914" i="20"/>
  <c r="I915" i="20"/>
  <c r="I916" i="20"/>
  <c r="I917" i="20"/>
  <c r="I918" i="20"/>
  <c r="I919" i="20"/>
  <c r="I920" i="20"/>
  <c r="I921" i="20"/>
  <c r="I922" i="20"/>
  <c r="I923" i="20"/>
  <c r="I924" i="20"/>
  <c r="I925" i="20"/>
  <c r="I926" i="20"/>
  <c r="I927" i="20"/>
  <c r="I928" i="20"/>
  <c r="I929" i="20"/>
  <c r="I930" i="20"/>
  <c r="I931" i="20"/>
  <c r="I932" i="20"/>
  <c r="I933" i="20"/>
  <c r="I934" i="20"/>
  <c r="I935" i="20"/>
  <c r="I936" i="20"/>
  <c r="I937" i="20"/>
  <c r="I938" i="20"/>
  <c r="I939" i="20"/>
  <c r="I940" i="20"/>
  <c r="I941" i="20"/>
  <c r="I942" i="20"/>
  <c r="I943" i="20"/>
  <c r="I944" i="20"/>
  <c r="I945" i="20"/>
  <c r="I946" i="20"/>
  <c r="I947" i="20"/>
  <c r="I948" i="20"/>
  <c r="I949" i="20"/>
  <c r="I950" i="20"/>
  <c r="I951" i="20"/>
  <c r="I952" i="20"/>
  <c r="I953" i="20"/>
  <c r="I954" i="20"/>
  <c r="I955" i="20"/>
  <c r="I956" i="20"/>
  <c r="I957" i="20"/>
  <c r="I958" i="20"/>
  <c r="I959" i="20"/>
  <c r="I960" i="20"/>
  <c r="I961" i="20"/>
  <c r="I962" i="20"/>
  <c r="I963" i="20"/>
  <c r="I964" i="20"/>
  <c r="I965" i="20"/>
  <c r="I966" i="20"/>
  <c r="I967" i="20"/>
  <c r="I968" i="20"/>
  <c r="I969" i="20"/>
  <c r="I970" i="20"/>
  <c r="I971" i="20"/>
  <c r="I972" i="20"/>
  <c r="I973" i="20"/>
  <c r="I974" i="20"/>
  <c r="I975" i="20"/>
  <c r="I976" i="20"/>
  <c r="I977" i="20"/>
  <c r="I978" i="20"/>
  <c r="I979" i="20"/>
  <c r="I980" i="20"/>
  <c r="I981" i="20"/>
  <c r="I982" i="20"/>
  <c r="I983" i="20"/>
  <c r="I984" i="20"/>
  <c r="I985" i="20"/>
  <c r="I986" i="20"/>
  <c r="I987" i="20"/>
  <c r="I988" i="20"/>
  <c r="I989" i="20"/>
  <c r="I990" i="20"/>
  <c r="I991" i="20"/>
  <c r="I992" i="20"/>
  <c r="I993" i="20"/>
  <c r="I994" i="20"/>
  <c r="I995" i="20"/>
  <c r="I996" i="20"/>
  <c r="I997" i="20"/>
  <c r="I998" i="20"/>
  <c r="I999" i="20"/>
  <c r="I1000" i="20"/>
  <c r="I1001" i="20"/>
  <c r="I1002" i="20"/>
  <c r="I1003" i="20"/>
  <c r="I1004" i="20"/>
  <c r="I1005" i="20"/>
  <c r="I1006" i="20"/>
  <c r="I1007" i="20"/>
  <c r="I1008" i="20"/>
  <c r="I1009" i="20"/>
  <c r="I1010" i="20"/>
  <c r="I1011" i="20"/>
  <c r="I1012" i="20"/>
  <c r="I1013" i="20"/>
  <c r="I1014" i="20"/>
  <c r="I1015" i="20"/>
  <c r="I1016" i="20"/>
  <c r="I1017" i="20"/>
  <c r="I1018" i="20"/>
  <c r="I1019" i="20"/>
  <c r="I1020" i="20"/>
  <c r="I1021" i="20"/>
  <c r="I1022" i="20"/>
  <c r="I1023" i="20"/>
  <c r="I1024" i="20"/>
  <c r="I1025" i="20"/>
  <c r="I1026" i="20"/>
  <c r="I1027" i="20"/>
  <c r="I1028" i="20"/>
  <c r="I1029" i="20"/>
  <c r="I1030" i="20"/>
  <c r="I1031" i="20"/>
  <c r="I1032" i="20"/>
  <c r="I1033" i="20"/>
  <c r="I1034" i="20"/>
  <c r="I1035" i="20"/>
  <c r="I1036" i="20"/>
  <c r="I1037" i="20"/>
  <c r="I1038" i="20"/>
  <c r="I1039" i="20"/>
  <c r="I1040" i="20"/>
  <c r="I1041" i="20"/>
  <c r="I1042" i="20"/>
  <c r="I1043" i="20"/>
  <c r="I1044" i="20"/>
  <c r="I1045" i="20"/>
  <c r="I1046" i="20"/>
  <c r="I1047" i="20"/>
  <c r="I1048" i="20"/>
  <c r="I1049" i="20"/>
  <c r="I1050" i="20"/>
  <c r="I1051" i="20"/>
  <c r="I1052" i="20"/>
  <c r="I1053" i="20"/>
  <c r="I1054" i="20"/>
  <c r="I1055" i="20"/>
  <c r="I1056" i="20"/>
  <c r="I1057" i="20"/>
  <c r="I1058" i="20"/>
  <c r="I1059" i="20"/>
  <c r="I1060" i="20"/>
  <c r="I1061" i="20"/>
  <c r="I1062" i="20"/>
  <c r="I1063" i="20"/>
  <c r="I1064" i="20"/>
  <c r="I1065" i="20"/>
  <c r="I1066" i="20"/>
  <c r="I1067" i="20"/>
  <c r="I1068" i="20"/>
  <c r="I1069" i="20"/>
  <c r="I1070" i="20"/>
  <c r="I1071" i="20"/>
  <c r="I1072" i="20"/>
  <c r="I1073" i="20"/>
  <c r="I1074" i="20"/>
  <c r="I1075" i="20"/>
  <c r="I1076" i="20"/>
  <c r="I1077" i="20"/>
  <c r="I1078" i="20"/>
  <c r="I1079" i="20"/>
  <c r="I1080" i="20"/>
  <c r="I1081" i="20"/>
  <c r="I1082" i="20"/>
  <c r="I1083" i="20"/>
  <c r="I1084" i="20"/>
  <c r="I1085" i="20"/>
  <c r="I1086" i="20"/>
  <c r="I1087" i="20"/>
  <c r="I1088" i="20"/>
  <c r="I1089" i="20"/>
  <c r="I1090" i="20"/>
  <c r="I1091" i="20"/>
  <c r="I1092" i="20"/>
  <c r="I1093" i="20"/>
  <c r="I1094" i="20"/>
  <c r="I1095" i="20"/>
  <c r="I1096" i="20"/>
  <c r="I1097" i="20"/>
  <c r="I1098" i="20"/>
  <c r="I1099" i="20"/>
  <c r="I1100" i="20"/>
  <c r="I1101" i="20"/>
  <c r="I1102" i="20"/>
  <c r="I1103" i="20"/>
  <c r="I1104" i="20"/>
  <c r="I1105" i="20"/>
  <c r="I1106" i="20"/>
  <c r="I1107" i="20"/>
  <c r="I1108" i="20"/>
  <c r="I1109" i="20"/>
  <c r="I1110" i="20"/>
  <c r="I1111" i="20"/>
  <c r="I1112" i="20"/>
  <c r="I1113" i="20"/>
  <c r="I1114" i="20"/>
  <c r="I1115" i="20"/>
  <c r="I1116" i="20"/>
  <c r="I1117" i="20"/>
  <c r="I1118" i="20"/>
  <c r="I1119" i="20"/>
  <c r="I1120" i="20"/>
  <c r="I1121" i="20"/>
  <c r="I1122" i="20"/>
  <c r="I1123" i="20"/>
  <c r="I1124" i="20"/>
  <c r="I1125" i="20"/>
  <c r="I1126" i="20"/>
  <c r="I1127" i="20"/>
  <c r="I1128" i="20"/>
  <c r="I1129" i="20"/>
  <c r="I1130" i="20"/>
  <c r="I1131" i="20"/>
  <c r="I1132" i="20"/>
  <c r="I1133" i="20"/>
  <c r="I1134" i="20"/>
  <c r="I1135" i="20"/>
  <c r="I1136" i="20"/>
  <c r="I1137" i="20"/>
  <c r="I1138" i="20"/>
  <c r="I1139" i="20"/>
  <c r="I1140" i="20"/>
  <c r="I1141" i="20"/>
  <c r="I1142" i="20"/>
  <c r="I1143" i="20"/>
  <c r="I1144" i="20"/>
  <c r="I1145" i="20"/>
  <c r="I1146" i="20"/>
  <c r="I1147" i="20"/>
  <c r="I1148" i="20"/>
  <c r="I1149" i="20"/>
  <c r="I1150" i="20"/>
  <c r="I1151" i="20"/>
  <c r="I1152" i="20"/>
  <c r="I1153" i="20"/>
  <c r="I1154" i="20"/>
  <c r="I1155" i="20"/>
  <c r="I1156" i="20"/>
  <c r="I1157" i="20"/>
  <c r="I1158" i="20"/>
  <c r="I1159" i="20"/>
  <c r="I1160" i="20"/>
  <c r="I1161" i="20"/>
  <c r="I1162" i="20"/>
  <c r="I1163" i="20"/>
  <c r="I1164" i="20"/>
  <c r="I1165" i="20"/>
  <c r="I1166" i="20"/>
  <c r="I1167" i="20"/>
  <c r="I1168" i="20"/>
  <c r="I1169" i="20"/>
  <c r="I1170" i="20"/>
  <c r="I1171" i="20"/>
  <c r="I1172" i="20"/>
  <c r="I1173" i="20"/>
  <c r="I1174" i="20"/>
  <c r="I1175" i="20"/>
  <c r="I1176" i="20"/>
  <c r="I1177" i="20"/>
  <c r="I1178" i="20"/>
  <c r="I1179" i="20"/>
  <c r="I1180" i="20"/>
  <c r="I1181" i="20"/>
  <c r="I1182" i="20"/>
  <c r="I1183" i="20"/>
  <c r="I1184" i="20"/>
  <c r="I1185" i="20"/>
  <c r="I1186" i="20"/>
  <c r="I1187" i="20"/>
  <c r="I1188" i="20"/>
  <c r="I1189" i="20"/>
  <c r="I1190" i="20"/>
  <c r="I1191" i="20"/>
  <c r="I1192" i="20"/>
  <c r="I1193" i="20"/>
  <c r="I1194" i="20"/>
  <c r="I1195" i="20"/>
  <c r="I1196" i="20"/>
  <c r="I1197" i="20"/>
  <c r="I1198" i="20"/>
  <c r="I1199" i="20"/>
  <c r="I1200" i="20"/>
  <c r="I1201" i="20"/>
  <c r="I1202" i="20"/>
  <c r="I1203" i="20"/>
  <c r="I1204" i="20"/>
  <c r="I1205" i="20"/>
  <c r="I1206" i="20"/>
  <c r="I1207" i="20"/>
  <c r="I1208" i="20"/>
  <c r="I1209" i="20"/>
  <c r="I1210" i="20"/>
  <c r="I1211" i="20"/>
  <c r="I1212" i="20"/>
  <c r="I1213" i="20"/>
  <c r="I1214" i="20"/>
  <c r="I1215" i="20"/>
  <c r="I1216" i="20"/>
  <c r="I1217" i="20"/>
  <c r="I1218" i="20"/>
  <c r="I1219" i="20"/>
  <c r="I1220" i="20"/>
  <c r="I1221" i="20"/>
  <c r="I1222" i="20"/>
  <c r="I1223" i="20"/>
  <c r="I1224" i="20"/>
  <c r="I1225" i="20"/>
  <c r="I1226" i="20"/>
  <c r="I1227" i="20"/>
  <c r="I1228" i="20"/>
  <c r="I1229" i="20"/>
  <c r="I1230" i="20"/>
  <c r="I1231" i="20"/>
  <c r="I1232" i="20"/>
  <c r="I1233" i="20"/>
  <c r="I1234" i="20"/>
  <c r="I1235" i="20"/>
  <c r="I1236" i="20"/>
  <c r="I1237" i="20"/>
  <c r="I1238" i="20"/>
  <c r="I1239" i="20"/>
  <c r="I1240" i="20"/>
  <c r="I1241" i="20"/>
  <c r="I1242" i="20"/>
  <c r="I1243" i="20"/>
  <c r="I1244" i="20"/>
  <c r="I1245" i="20"/>
  <c r="I1246" i="20"/>
  <c r="I1247" i="20"/>
  <c r="I1248" i="20"/>
  <c r="I1249" i="20"/>
  <c r="I1250" i="20"/>
  <c r="I1251" i="20"/>
  <c r="I1252" i="20"/>
  <c r="I1253" i="20"/>
  <c r="I1254" i="20"/>
  <c r="I1255" i="20"/>
  <c r="I1256" i="20"/>
  <c r="I1257" i="20"/>
  <c r="I1258" i="20"/>
  <c r="I1259" i="20"/>
  <c r="I1260" i="20"/>
  <c r="I1261" i="20"/>
  <c r="I1262" i="20"/>
  <c r="I1263" i="20"/>
  <c r="I1264" i="20"/>
  <c r="I1265" i="20"/>
  <c r="I1266" i="20"/>
  <c r="I1267" i="20"/>
  <c r="I1268" i="20"/>
  <c r="I1269" i="20"/>
  <c r="I1270" i="20"/>
  <c r="I1271" i="20"/>
  <c r="I1272" i="20"/>
  <c r="I1273" i="20"/>
  <c r="I1274" i="20"/>
  <c r="I1275" i="20"/>
  <c r="I1276" i="20"/>
  <c r="I1277" i="20"/>
  <c r="I1278" i="20"/>
  <c r="I1279" i="20"/>
  <c r="I1280" i="20"/>
  <c r="I1281" i="20"/>
  <c r="I1282" i="20"/>
  <c r="I1283" i="20"/>
  <c r="I1284" i="20"/>
  <c r="I1285" i="20"/>
  <c r="I1286" i="20"/>
  <c r="I1287" i="20"/>
  <c r="I1288" i="20"/>
  <c r="I1289" i="20"/>
  <c r="I1290" i="20"/>
  <c r="I1291" i="20"/>
  <c r="I1292" i="20"/>
  <c r="I1293" i="20"/>
  <c r="I1294" i="20"/>
  <c r="I1295" i="20"/>
  <c r="I1296" i="20"/>
  <c r="I1297" i="20"/>
  <c r="I1298" i="20"/>
  <c r="I1299" i="20"/>
  <c r="I1300" i="20"/>
  <c r="I1301" i="20"/>
  <c r="I1302" i="20"/>
  <c r="I1303" i="20"/>
  <c r="I1304" i="20"/>
  <c r="I1305" i="20"/>
  <c r="I1306" i="20"/>
  <c r="I1307" i="20"/>
  <c r="I1308" i="20"/>
  <c r="I1309" i="20"/>
  <c r="I1310" i="20"/>
  <c r="I1311" i="20"/>
  <c r="I1312" i="20"/>
  <c r="I1313" i="20"/>
  <c r="I1314" i="20"/>
  <c r="I1315" i="20"/>
  <c r="I1316" i="20"/>
  <c r="I1317" i="20"/>
  <c r="I1318" i="20"/>
  <c r="I1319" i="20"/>
  <c r="I1320" i="20"/>
  <c r="I1321" i="20"/>
  <c r="I1322" i="20"/>
  <c r="I1323" i="20"/>
  <c r="I1324" i="20"/>
  <c r="I1325" i="20"/>
  <c r="I1326" i="20"/>
  <c r="I1327" i="20"/>
  <c r="I1328" i="20"/>
  <c r="I1329" i="20"/>
  <c r="I1330" i="20"/>
  <c r="I1331" i="20"/>
  <c r="I1332" i="20"/>
  <c r="I1333" i="20"/>
  <c r="I1334" i="20"/>
  <c r="I1335" i="20"/>
  <c r="I1336" i="20"/>
  <c r="I1337" i="20"/>
  <c r="I1338" i="20"/>
  <c r="I1339" i="20"/>
  <c r="I1340" i="20"/>
  <c r="I1341" i="20"/>
  <c r="I1342" i="20"/>
  <c r="I1343" i="20"/>
  <c r="I1344" i="20"/>
  <c r="I1345" i="20"/>
  <c r="I1346" i="20"/>
  <c r="I1347" i="20"/>
  <c r="I1348" i="20"/>
  <c r="I1349" i="20"/>
  <c r="I1350" i="20"/>
  <c r="I1351" i="20"/>
  <c r="I1352" i="20"/>
  <c r="I1353" i="20"/>
  <c r="I1354" i="20"/>
  <c r="I1355" i="20"/>
  <c r="I1356" i="20"/>
  <c r="I1357" i="20"/>
  <c r="I1358" i="20"/>
  <c r="I1359" i="20"/>
  <c r="I1360" i="20"/>
  <c r="I1361" i="20"/>
  <c r="I1362" i="20"/>
  <c r="I1363" i="20"/>
  <c r="I1364" i="20"/>
  <c r="I1365" i="20"/>
  <c r="I1366" i="20"/>
  <c r="I1367" i="20"/>
  <c r="I1368" i="20"/>
  <c r="I1369" i="20"/>
  <c r="I1370" i="20"/>
  <c r="I1371" i="20"/>
  <c r="I1372" i="20"/>
  <c r="I1373" i="20"/>
  <c r="I1374" i="20"/>
  <c r="I1375" i="20"/>
  <c r="I1376" i="20"/>
  <c r="I1377" i="20"/>
  <c r="I1378" i="20"/>
  <c r="I1379" i="20"/>
  <c r="I1380" i="20"/>
  <c r="I1381" i="20"/>
  <c r="I4" i="20"/>
  <c r="C1411" i="20"/>
  <c r="AL5" i="20"/>
  <c r="AL6" i="20"/>
  <c r="AL7" i="20"/>
  <c r="AL8" i="20"/>
  <c r="AL9" i="20"/>
  <c r="AL10" i="20"/>
  <c r="AL11" i="20"/>
  <c r="AL12" i="20"/>
  <c r="AL13" i="20"/>
  <c r="AL14" i="20"/>
  <c r="AL15" i="20"/>
  <c r="AL16" i="20"/>
  <c r="AL17" i="20"/>
  <c r="AL18" i="20"/>
  <c r="AL19" i="20"/>
  <c r="AL20" i="20"/>
  <c r="AL21" i="20"/>
  <c r="AL22" i="20"/>
  <c r="AL23" i="20"/>
  <c r="AL24" i="20"/>
  <c r="AL25" i="20"/>
  <c r="AL26" i="20"/>
  <c r="AL27" i="20"/>
  <c r="AL28" i="20"/>
  <c r="AL29" i="20"/>
  <c r="AL30" i="20"/>
  <c r="AL31" i="20"/>
  <c r="AL32" i="20"/>
  <c r="AL33" i="20"/>
  <c r="AL34" i="20"/>
  <c r="AL35" i="20"/>
  <c r="AL36" i="20"/>
  <c r="AL37" i="20"/>
  <c r="AL38" i="20"/>
  <c r="AL39" i="20"/>
  <c r="AL40" i="20"/>
  <c r="AL41" i="20"/>
  <c r="AL42" i="20"/>
  <c r="AL43" i="20"/>
  <c r="AL44" i="20"/>
  <c r="AL45" i="20"/>
  <c r="AL46" i="20"/>
  <c r="AL47" i="20"/>
  <c r="AL48" i="20"/>
  <c r="AL49" i="20"/>
  <c r="AL50" i="20"/>
  <c r="AL51" i="20"/>
  <c r="AL52" i="20"/>
  <c r="AL53" i="20"/>
  <c r="AL54" i="20"/>
  <c r="AL55" i="20"/>
  <c r="AL56" i="20"/>
  <c r="AL57" i="20"/>
  <c r="AL58" i="20"/>
  <c r="AL59" i="20"/>
  <c r="AL60" i="20"/>
  <c r="AL61" i="20"/>
  <c r="AL62" i="20"/>
  <c r="AL63" i="20"/>
  <c r="AL64" i="20"/>
  <c r="AL65" i="20"/>
  <c r="AL66" i="20"/>
  <c r="AL67" i="20"/>
  <c r="AL68" i="20"/>
  <c r="AL69" i="20"/>
  <c r="AL70" i="20"/>
  <c r="AL71" i="20"/>
  <c r="AL72" i="20"/>
  <c r="AL73" i="20"/>
  <c r="AL74" i="20"/>
  <c r="AL75" i="20"/>
  <c r="AL76" i="20"/>
  <c r="AL77" i="20"/>
  <c r="AL78" i="20"/>
  <c r="AL79" i="20"/>
  <c r="AL80" i="20"/>
  <c r="AL81" i="20"/>
  <c r="AL82" i="20"/>
  <c r="AL83" i="20"/>
  <c r="AL84" i="20"/>
  <c r="AL85" i="20"/>
  <c r="AL86" i="20"/>
  <c r="AL87" i="20"/>
  <c r="AL88" i="20"/>
  <c r="AL89" i="20"/>
  <c r="AL90" i="20"/>
  <c r="AL91" i="20"/>
  <c r="AL92" i="20"/>
  <c r="AL93" i="20"/>
  <c r="AL94" i="20"/>
  <c r="AL95" i="20"/>
  <c r="AL96" i="20"/>
  <c r="AL97" i="20"/>
  <c r="AL98" i="20"/>
  <c r="AL99" i="20"/>
  <c r="AL100" i="20"/>
  <c r="AL101" i="20"/>
  <c r="AL102" i="20"/>
  <c r="AL103" i="20"/>
  <c r="AL104" i="20"/>
  <c r="AL105" i="20"/>
  <c r="AL106" i="20"/>
  <c r="AL107" i="20"/>
  <c r="AL108" i="20"/>
  <c r="AL109" i="20"/>
  <c r="AL110" i="20"/>
  <c r="AL111" i="20"/>
  <c r="AL112" i="20"/>
  <c r="AL113" i="20"/>
  <c r="AL114" i="20"/>
  <c r="AL115" i="20"/>
  <c r="AL116" i="20"/>
  <c r="AL117" i="20"/>
  <c r="AL118" i="20"/>
  <c r="AL119" i="20"/>
  <c r="AL120" i="20"/>
  <c r="AL121" i="20"/>
  <c r="AL122" i="20"/>
  <c r="AL123" i="20"/>
  <c r="AL124" i="20"/>
  <c r="AL125" i="20"/>
  <c r="AL126" i="20"/>
  <c r="AL127" i="20"/>
  <c r="AL128" i="20"/>
  <c r="AL129" i="20"/>
  <c r="AL130" i="20"/>
  <c r="AL131" i="20"/>
  <c r="AL132" i="20"/>
  <c r="AL133" i="20"/>
  <c r="AL134" i="20"/>
  <c r="AL135" i="20"/>
  <c r="AL136" i="20"/>
  <c r="AL137" i="20"/>
  <c r="AL138" i="20"/>
  <c r="AL139" i="20"/>
  <c r="AL140" i="20"/>
  <c r="AL141" i="20"/>
  <c r="AL142" i="20"/>
  <c r="AL143" i="20"/>
  <c r="AL144" i="20"/>
  <c r="AL145" i="20"/>
  <c r="AL146" i="20"/>
  <c r="AL147" i="20"/>
  <c r="AL148" i="20"/>
  <c r="AL149" i="20"/>
  <c r="AL150" i="20"/>
  <c r="AL151" i="20"/>
  <c r="AL152" i="20"/>
  <c r="AL153" i="20"/>
  <c r="AL154" i="20"/>
  <c r="AL155" i="20"/>
  <c r="AL156" i="20"/>
  <c r="AL157" i="20"/>
  <c r="AL158" i="20"/>
  <c r="AL159" i="20"/>
  <c r="AL160" i="20"/>
  <c r="AL161" i="20"/>
  <c r="AL162" i="20"/>
  <c r="AL163" i="20"/>
  <c r="AL164" i="20"/>
  <c r="AL165" i="20"/>
  <c r="AL166" i="20"/>
  <c r="AL167" i="20"/>
  <c r="AL168" i="20"/>
  <c r="AL169" i="20"/>
  <c r="AL170" i="20"/>
  <c r="AL171" i="20"/>
  <c r="AL172" i="20"/>
  <c r="AL173" i="20"/>
  <c r="AL174" i="20"/>
  <c r="AL175" i="20"/>
  <c r="AL176" i="20"/>
  <c r="AL177" i="20"/>
  <c r="AL178" i="20"/>
  <c r="AL179" i="20"/>
  <c r="AL180" i="20"/>
  <c r="AL181" i="20"/>
  <c r="AL182" i="20"/>
  <c r="AL183" i="20"/>
  <c r="AL184" i="20"/>
  <c r="AL185" i="20"/>
  <c r="AL186" i="20"/>
  <c r="AL187" i="20"/>
  <c r="AL188" i="20"/>
  <c r="AL189" i="20"/>
  <c r="AL190" i="20"/>
  <c r="AL191" i="20"/>
  <c r="AL192" i="20"/>
  <c r="AL193" i="20"/>
  <c r="AL194" i="20"/>
  <c r="AL195" i="20"/>
  <c r="AL196" i="20"/>
  <c r="AL197" i="20"/>
  <c r="AL198" i="20"/>
  <c r="AL199" i="20"/>
  <c r="AL200" i="20"/>
  <c r="AL201" i="20"/>
  <c r="AL202" i="20"/>
  <c r="AL203" i="20"/>
  <c r="AL204" i="20"/>
  <c r="AL205" i="20"/>
  <c r="AL206" i="20"/>
  <c r="AL207" i="20"/>
  <c r="AL208" i="20"/>
  <c r="AL209" i="20"/>
  <c r="AL210" i="20"/>
  <c r="AL211" i="20"/>
  <c r="AL212" i="20"/>
  <c r="AL213" i="20"/>
  <c r="AL214" i="20"/>
  <c r="AL215" i="20"/>
  <c r="AL216" i="20"/>
  <c r="AL217" i="20"/>
  <c r="AL218" i="20"/>
  <c r="AL219" i="20"/>
  <c r="AL220" i="20"/>
  <c r="AL221" i="20"/>
  <c r="AL222" i="20"/>
  <c r="AL223" i="20"/>
  <c r="AL224" i="20"/>
  <c r="AL225" i="20"/>
  <c r="AL226" i="20"/>
  <c r="AL227" i="20"/>
  <c r="AL228" i="20"/>
  <c r="AL229" i="20"/>
  <c r="AL230" i="20"/>
  <c r="AL231" i="20"/>
  <c r="AL232" i="20"/>
  <c r="AL233" i="20"/>
  <c r="AL234" i="20"/>
  <c r="AL235" i="20"/>
  <c r="AL236" i="20"/>
  <c r="AL237" i="20"/>
  <c r="AL238" i="20"/>
  <c r="AL239" i="20"/>
  <c r="AL240" i="20"/>
  <c r="AL241" i="20"/>
  <c r="AL242" i="20"/>
  <c r="AL243" i="20"/>
  <c r="AL244" i="20"/>
  <c r="AL245" i="20"/>
  <c r="AL246" i="20"/>
  <c r="AL247" i="20"/>
  <c r="AL248" i="20"/>
  <c r="AL249" i="20"/>
  <c r="AL250" i="20"/>
  <c r="AL251" i="20"/>
  <c r="AL252" i="20"/>
  <c r="AL253" i="20"/>
  <c r="AL254" i="20"/>
  <c r="AL255" i="20"/>
  <c r="AL256" i="20"/>
  <c r="AL257" i="20"/>
  <c r="AL258" i="20"/>
  <c r="AL259" i="20"/>
  <c r="AL260" i="20"/>
  <c r="AL261" i="20"/>
  <c r="AL262" i="20"/>
  <c r="AL263" i="20"/>
  <c r="AL264" i="20"/>
  <c r="AL265" i="20"/>
  <c r="AL266" i="20"/>
  <c r="AL267" i="20"/>
  <c r="AL268" i="20"/>
  <c r="AL269" i="20"/>
  <c r="AL270" i="20"/>
  <c r="AL271" i="20"/>
  <c r="AL272" i="20"/>
  <c r="AL273" i="20"/>
  <c r="AL274" i="20"/>
  <c r="AL275" i="20"/>
  <c r="AL276" i="20"/>
  <c r="AL277" i="20"/>
  <c r="AL278" i="20"/>
  <c r="AL279" i="20"/>
  <c r="AL280" i="20"/>
  <c r="AL281" i="20"/>
  <c r="AL282" i="20"/>
  <c r="AL283" i="20"/>
  <c r="AL284" i="20"/>
  <c r="AL285" i="20"/>
  <c r="AL286" i="20"/>
  <c r="AL287" i="20"/>
  <c r="AL288" i="20"/>
  <c r="AL289" i="20"/>
  <c r="AL290" i="20"/>
  <c r="AL291" i="20"/>
  <c r="AL292" i="20"/>
  <c r="AL293" i="20"/>
  <c r="AL294" i="20"/>
  <c r="AL295" i="20"/>
  <c r="AL296" i="20"/>
  <c r="AL297" i="20"/>
  <c r="AL298" i="20"/>
  <c r="AL299" i="20"/>
  <c r="AL300" i="20"/>
  <c r="AL301" i="20"/>
  <c r="AL302" i="20"/>
  <c r="AL303" i="20"/>
  <c r="AL304" i="20"/>
  <c r="AL305" i="20"/>
  <c r="AL306" i="20"/>
  <c r="AL307" i="20"/>
  <c r="AL308" i="20"/>
  <c r="AL309" i="20"/>
  <c r="AL310" i="20"/>
  <c r="AL311" i="20"/>
  <c r="AL312" i="20"/>
  <c r="AL313" i="20"/>
  <c r="AL314" i="20"/>
  <c r="AL315" i="20"/>
  <c r="AL316" i="20"/>
  <c r="AL317" i="20"/>
  <c r="AL318" i="20"/>
  <c r="AL319" i="20"/>
  <c r="AL320" i="20"/>
  <c r="AL321" i="20"/>
  <c r="AL322" i="20"/>
  <c r="AL323" i="20"/>
  <c r="AL324" i="20"/>
  <c r="AL325" i="20"/>
  <c r="AL326" i="20"/>
  <c r="AL327" i="20"/>
  <c r="AL328" i="20"/>
  <c r="AL329" i="20"/>
  <c r="AL330" i="20"/>
  <c r="AL331" i="20"/>
  <c r="AL332" i="20"/>
  <c r="AL333" i="20"/>
  <c r="AL334" i="20"/>
  <c r="AL335" i="20"/>
  <c r="AL336" i="20"/>
  <c r="AL337" i="20"/>
  <c r="AL338" i="20"/>
  <c r="AL339" i="20"/>
  <c r="AL340" i="20"/>
  <c r="AL341" i="20"/>
  <c r="AL342" i="20"/>
  <c r="AL343" i="20"/>
  <c r="AL344" i="20"/>
  <c r="AL345" i="20"/>
  <c r="AL346" i="20"/>
  <c r="AL347" i="20"/>
  <c r="AL348" i="20"/>
  <c r="AL349" i="20"/>
  <c r="AL350" i="20"/>
  <c r="AL351" i="20"/>
  <c r="AL352" i="20"/>
  <c r="AL353" i="20"/>
  <c r="AL354" i="20"/>
  <c r="AL355" i="20"/>
  <c r="AL356" i="20"/>
  <c r="AL357" i="20"/>
  <c r="AL358" i="20"/>
  <c r="AL359" i="20"/>
  <c r="AL360" i="20"/>
  <c r="AL361" i="20"/>
  <c r="AL362" i="20"/>
  <c r="AL363" i="20"/>
  <c r="AL364" i="20"/>
  <c r="AL365" i="20"/>
  <c r="AL366" i="20"/>
  <c r="AL367" i="20"/>
  <c r="AL368" i="20"/>
  <c r="AL369" i="20"/>
  <c r="AL370" i="20"/>
  <c r="AL371" i="20"/>
  <c r="AL372" i="20"/>
  <c r="AL373" i="20"/>
  <c r="AL374" i="20"/>
  <c r="AL375" i="20"/>
  <c r="AL376" i="20"/>
  <c r="AL377" i="20"/>
  <c r="AL378" i="20"/>
  <c r="AL379" i="20"/>
  <c r="AL380" i="20"/>
  <c r="AL381" i="20"/>
  <c r="AL382" i="20"/>
  <c r="AL383" i="20"/>
  <c r="AL384" i="20"/>
  <c r="AL385" i="20"/>
  <c r="AL386" i="20"/>
  <c r="AL387" i="20"/>
  <c r="AL388" i="20"/>
  <c r="AL389" i="20"/>
  <c r="AL390" i="20"/>
  <c r="AL391" i="20"/>
  <c r="AL392" i="20"/>
  <c r="AL393" i="20"/>
  <c r="AL394" i="20"/>
  <c r="AL395" i="20"/>
  <c r="AL396" i="20"/>
  <c r="AL397" i="20"/>
  <c r="AL398" i="20"/>
  <c r="AL399" i="20"/>
  <c r="AL400" i="20"/>
  <c r="AL401" i="20"/>
  <c r="AL402" i="20"/>
  <c r="AL403" i="20"/>
  <c r="AL404" i="20"/>
  <c r="AL405" i="20"/>
  <c r="AL406" i="20"/>
  <c r="AL407" i="20"/>
  <c r="AL408" i="20"/>
  <c r="AL409" i="20"/>
  <c r="AL410" i="20"/>
  <c r="AL411" i="20"/>
  <c r="AL412" i="20"/>
  <c r="AL413" i="20"/>
  <c r="AL414" i="20"/>
  <c r="AL415" i="20"/>
  <c r="AL416" i="20"/>
  <c r="AL417" i="20"/>
  <c r="AL418" i="20"/>
  <c r="AL419" i="20"/>
  <c r="AL420" i="20"/>
  <c r="AL421" i="20"/>
  <c r="AL422" i="20"/>
  <c r="AL423" i="20"/>
  <c r="AL424" i="20"/>
  <c r="AL425" i="20"/>
  <c r="AL426" i="20"/>
  <c r="AL427" i="20"/>
  <c r="AL428" i="20"/>
  <c r="AL429" i="20"/>
  <c r="AL430" i="20"/>
  <c r="AL431" i="20"/>
  <c r="AL432" i="20"/>
  <c r="AL433" i="20"/>
  <c r="AL434" i="20"/>
  <c r="AL435" i="20"/>
  <c r="AL436" i="20"/>
  <c r="AL437" i="20"/>
  <c r="AL438" i="20"/>
  <c r="AL439" i="20"/>
  <c r="AL440" i="20"/>
  <c r="AL441" i="20"/>
  <c r="AL442" i="20"/>
  <c r="AL443" i="20"/>
  <c r="AL444" i="20"/>
  <c r="AL445" i="20"/>
  <c r="AL446" i="20"/>
  <c r="AL447" i="20"/>
  <c r="AL448" i="20"/>
  <c r="AL449" i="20"/>
  <c r="AL450" i="20"/>
  <c r="AL451" i="20"/>
  <c r="AL452" i="20"/>
  <c r="AL453" i="20"/>
  <c r="AL454" i="20"/>
  <c r="AL455" i="20"/>
  <c r="AL456" i="20"/>
  <c r="AL457" i="20"/>
  <c r="AL458" i="20"/>
  <c r="AL459" i="20"/>
  <c r="AL460" i="20"/>
  <c r="AL461" i="20"/>
  <c r="AL462" i="20"/>
  <c r="AL463" i="20"/>
  <c r="AL464" i="20"/>
  <c r="AL465" i="20"/>
  <c r="AL466" i="20"/>
  <c r="AL467" i="20"/>
  <c r="AL468" i="20"/>
  <c r="AL469" i="20"/>
  <c r="AL470" i="20"/>
  <c r="AL471" i="20"/>
  <c r="AL472" i="20"/>
  <c r="AL473" i="20"/>
  <c r="AL474" i="20"/>
  <c r="AL475" i="20"/>
  <c r="AL476" i="20"/>
  <c r="AL477" i="20"/>
  <c r="AL478" i="20"/>
  <c r="AL479" i="20"/>
  <c r="AL480" i="20"/>
  <c r="AL481" i="20"/>
  <c r="AL482" i="20"/>
  <c r="AL483" i="20"/>
  <c r="AL484" i="20"/>
  <c r="AL485" i="20"/>
  <c r="AL486" i="20"/>
  <c r="AL487" i="20"/>
  <c r="AL488" i="20"/>
  <c r="AL489" i="20"/>
  <c r="AL490" i="20"/>
  <c r="AL491" i="20"/>
  <c r="AL492" i="20"/>
  <c r="AL493" i="20"/>
  <c r="AL494" i="20"/>
  <c r="AL495" i="20"/>
  <c r="AL496" i="20"/>
  <c r="AL497" i="20"/>
  <c r="AL498" i="20"/>
  <c r="AL499" i="20"/>
  <c r="AL500" i="20"/>
  <c r="AL501" i="20"/>
  <c r="AL502" i="20"/>
  <c r="AL503" i="20"/>
  <c r="AL504" i="20"/>
  <c r="AL505" i="20"/>
  <c r="AL506" i="20"/>
  <c r="AL507" i="20"/>
  <c r="AL508" i="20"/>
  <c r="AL509" i="20"/>
  <c r="AL510" i="20"/>
  <c r="AL511" i="20"/>
  <c r="AL512" i="20"/>
  <c r="AL513" i="20"/>
  <c r="AL514" i="20"/>
  <c r="AL515" i="20"/>
  <c r="AL516" i="20"/>
  <c r="AL517" i="20"/>
  <c r="AL518" i="20"/>
  <c r="AL519" i="20"/>
  <c r="AL520" i="20"/>
  <c r="AL521" i="20"/>
  <c r="AL522" i="20"/>
  <c r="AL523" i="20"/>
  <c r="AL524" i="20"/>
  <c r="AL525" i="20"/>
  <c r="AL526" i="20"/>
  <c r="AL527" i="20"/>
  <c r="AL528" i="20"/>
  <c r="AL529" i="20"/>
  <c r="AL530" i="20"/>
  <c r="AL531" i="20"/>
  <c r="AL532" i="20"/>
  <c r="AL533" i="20"/>
  <c r="AL534" i="20"/>
  <c r="AL535" i="20"/>
  <c r="AL536" i="20"/>
  <c r="AL537" i="20"/>
  <c r="AL538" i="20"/>
  <c r="AL539" i="20"/>
  <c r="AL540" i="20"/>
  <c r="AL541" i="20"/>
  <c r="AL542" i="20"/>
  <c r="AL543" i="20"/>
  <c r="AL544" i="20"/>
  <c r="AL545" i="20"/>
  <c r="AL546" i="20"/>
  <c r="AL547" i="20"/>
  <c r="AL548" i="20"/>
  <c r="AL549" i="20"/>
  <c r="AL550" i="20"/>
  <c r="AL551" i="20"/>
  <c r="AL552" i="20"/>
  <c r="AL553" i="20"/>
  <c r="AL554" i="20"/>
  <c r="AL555" i="20"/>
  <c r="AL556" i="20"/>
  <c r="AL557" i="20"/>
  <c r="AL558" i="20"/>
  <c r="AL559" i="20"/>
  <c r="AL560" i="20"/>
  <c r="AL561" i="20"/>
  <c r="AL562" i="20"/>
  <c r="AL563" i="20"/>
  <c r="AL564" i="20"/>
  <c r="AL565" i="20"/>
  <c r="AL566" i="20"/>
  <c r="AL567" i="20"/>
  <c r="AL568" i="20"/>
  <c r="AL569" i="20"/>
  <c r="AL570" i="20"/>
  <c r="AL571" i="20"/>
  <c r="AL572" i="20"/>
  <c r="AL573" i="20"/>
  <c r="AL574" i="20"/>
  <c r="AL575" i="20"/>
  <c r="AL576" i="20"/>
  <c r="AL577" i="20"/>
  <c r="AL578" i="20"/>
  <c r="AL579" i="20"/>
  <c r="AL580" i="20"/>
  <c r="AL581" i="20"/>
  <c r="AL582" i="20"/>
  <c r="AL583" i="20"/>
  <c r="AL584" i="20"/>
  <c r="AL585" i="20"/>
  <c r="AL586" i="20"/>
  <c r="AL587" i="20"/>
  <c r="AL588" i="20"/>
  <c r="AL589" i="20"/>
  <c r="AL590" i="20"/>
  <c r="AL591" i="20"/>
  <c r="AL592" i="20"/>
  <c r="AL593" i="20"/>
  <c r="AL594" i="20"/>
  <c r="AL595" i="20"/>
  <c r="AL596" i="20"/>
  <c r="AL597" i="20"/>
  <c r="AL598" i="20"/>
  <c r="AL599" i="20"/>
  <c r="AL600" i="20"/>
  <c r="AL601" i="20"/>
  <c r="AL602" i="20"/>
  <c r="AL603" i="20"/>
  <c r="AL604" i="20"/>
  <c r="AL605" i="20"/>
  <c r="AL606" i="20"/>
  <c r="AL607" i="20"/>
  <c r="AL608" i="20"/>
  <c r="AL609" i="20"/>
  <c r="AL610" i="20"/>
  <c r="AL611" i="20"/>
  <c r="AL612" i="20"/>
  <c r="AL613" i="20"/>
  <c r="AL614" i="20"/>
  <c r="AL615" i="20"/>
  <c r="AL616" i="20"/>
  <c r="AL617" i="20"/>
  <c r="AL618" i="20"/>
  <c r="AL619" i="20"/>
  <c r="AL620" i="20"/>
  <c r="AL621" i="20"/>
  <c r="AL622" i="20"/>
  <c r="AL623" i="20"/>
  <c r="AL624" i="20"/>
  <c r="AL625" i="20"/>
  <c r="AL626" i="20"/>
  <c r="AL627" i="20"/>
  <c r="AL628" i="20"/>
  <c r="AL629" i="20"/>
  <c r="AL630" i="20"/>
  <c r="AL631" i="20"/>
  <c r="AL632" i="20"/>
  <c r="AL633" i="20"/>
  <c r="AL634" i="20"/>
  <c r="AL635" i="20"/>
  <c r="AL636" i="20"/>
  <c r="AL637" i="20"/>
  <c r="AL638" i="20"/>
  <c r="AL639" i="20"/>
  <c r="AL640" i="20"/>
  <c r="AL641" i="20"/>
  <c r="AL642" i="20"/>
  <c r="AL643" i="20"/>
  <c r="AL644" i="20"/>
  <c r="AL645" i="20"/>
  <c r="AL646" i="20"/>
  <c r="AL647" i="20"/>
  <c r="AL648" i="20"/>
  <c r="AL649" i="20"/>
  <c r="AL650" i="20"/>
  <c r="AL651" i="20"/>
  <c r="AL652" i="20"/>
  <c r="AL653" i="20"/>
  <c r="AL654" i="20"/>
  <c r="AL655" i="20"/>
  <c r="AL656" i="20"/>
  <c r="AL657" i="20"/>
  <c r="AL658" i="20"/>
  <c r="AL659" i="20"/>
  <c r="AL660" i="20"/>
  <c r="AL661" i="20"/>
  <c r="AL662" i="20"/>
  <c r="AL663" i="20"/>
  <c r="AL664" i="20"/>
  <c r="AL665" i="20"/>
  <c r="AL666" i="20"/>
  <c r="AL667" i="20"/>
  <c r="AL668" i="20"/>
  <c r="AL669" i="20"/>
  <c r="AL670" i="20"/>
  <c r="AL671" i="20"/>
  <c r="AL672" i="20"/>
  <c r="AL673" i="20"/>
  <c r="AL674" i="20"/>
  <c r="AL675" i="20"/>
  <c r="AL676" i="20"/>
  <c r="AL677" i="20"/>
  <c r="AL678" i="20"/>
  <c r="AL679" i="20"/>
  <c r="AL680" i="20"/>
  <c r="AL681" i="20"/>
  <c r="AL682" i="20"/>
  <c r="AL683" i="20"/>
  <c r="AL684" i="20"/>
  <c r="AL685" i="20"/>
  <c r="AL686" i="20"/>
  <c r="AL687" i="20"/>
  <c r="AL688" i="20"/>
  <c r="AL689" i="20"/>
  <c r="AL690" i="20"/>
  <c r="AL691" i="20"/>
  <c r="AL692" i="20"/>
  <c r="AL693" i="20"/>
  <c r="AL694" i="20"/>
  <c r="AL695" i="20"/>
  <c r="AL696" i="20"/>
  <c r="AL697" i="20"/>
  <c r="AL698" i="20"/>
  <c r="AL699" i="20"/>
  <c r="AL700" i="20"/>
  <c r="AL701" i="20"/>
  <c r="AL702" i="20"/>
  <c r="AL703" i="20"/>
  <c r="AL704" i="20"/>
  <c r="AL705" i="20"/>
  <c r="AL706" i="20"/>
  <c r="AL707" i="20"/>
  <c r="AL708" i="20"/>
  <c r="AL709" i="20"/>
  <c r="AL710" i="20"/>
  <c r="AL711" i="20"/>
  <c r="AL712" i="20"/>
  <c r="AL713" i="20"/>
  <c r="AL714" i="20"/>
  <c r="AL715" i="20"/>
  <c r="AL716" i="20"/>
  <c r="AL717" i="20"/>
  <c r="AL718" i="20"/>
  <c r="AL719" i="20"/>
  <c r="AL720" i="20"/>
  <c r="AL721" i="20"/>
  <c r="AL722" i="20"/>
  <c r="AL723" i="20"/>
  <c r="AL724" i="20"/>
  <c r="AL725" i="20"/>
  <c r="AL726" i="20"/>
  <c r="AL727" i="20"/>
  <c r="AL728" i="20"/>
  <c r="AL729" i="20"/>
  <c r="AL730" i="20"/>
  <c r="AL731" i="20"/>
  <c r="AL732" i="20"/>
  <c r="AL733" i="20"/>
  <c r="AL734" i="20"/>
  <c r="AL735" i="20"/>
  <c r="AL736" i="20"/>
  <c r="AL737" i="20"/>
  <c r="AL738" i="20"/>
  <c r="AL739" i="20"/>
  <c r="AL740" i="20"/>
  <c r="AL741" i="20"/>
  <c r="AL742" i="20"/>
  <c r="AL743" i="20"/>
  <c r="AL744" i="20"/>
  <c r="AL745" i="20"/>
  <c r="AL746" i="20"/>
  <c r="AL747" i="20"/>
  <c r="AL748" i="20"/>
  <c r="AL749" i="20"/>
  <c r="AL750" i="20"/>
  <c r="AL751" i="20"/>
  <c r="AL752" i="20"/>
  <c r="AL753" i="20"/>
  <c r="AL754" i="20"/>
  <c r="AL755" i="20"/>
  <c r="AL756" i="20"/>
  <c r="AL757" i="20"/>
  <c r="AL758" i="20"/>
  <c r="AL759" i="20"/>
  <c r="AL760" i="20"/>
  <c r="AL761" i="20"/>
  <c r="AL762" i="20"/>
  <c r="AL763" i="20"/>
  <c r="AL764" i="20"/>
  <c r="AL765" i="20"/>
  <c r="AL766" i="20"/>
  <c r="AL767" i="20"/>
  <c r="AL768" i="20"/>
  <c r="AL769" i="20"/>
  <c r="AL770" i="20"/>
  <c r="AL771" i="20"/>
  <c r="AL772" i="20"/>
  <c r="AL773" i="20"/>
  <c r="AL774" i="20"/>
  <c r="AL775" i="20"/>
  <c r="AL776" i="20"/>
  <c r="AL777" i="20"/>
  <c r="AL778" i="20"/>
  <c r="AL779" i="20"/>
  <c r="AL780" i="20"/>
  <c r="AL781" i="20"/>
  <c r="AL782" i="20"/>
  <c r="AL783" i="20"/>
  <c r="AL784" i="20"/>
  <c r="AL785" i="20"/>
  <c r="AL786" i="20"/>
  <c r="AL787" i="20"/>
  <c r="AL788" i="20"/>
  <c r="AL789" i="20"/>
  <c r="AL790" i="20"/>
  <c r="AL791" i="20"/>
  <c r="AL792" i="20"/>
  <c r="AL793" i="20"/>
  <c r="AL794" i="20"/>
  <c r="AL795" i="20"/>
  <c r="AL796" i="20"/>
  <c r="AL797" i="20"/>
  <c r="AL798" i="20"/>
  <c r="AL799" i="20"/>
  <c r="AL800" i="20"/>
  <c r="AL801" i="20"/>
  <c r="AL802" i="20"/>
  <c r="AL803" i="20"/>
  <c r="AL804" i="20"/>
  <c r="AL805" i="20"/>
  <c r="AL806" i="20"/>
  <c r="AL807" i="20"/>
  <c r="AL808" i="20"/>
  <c r="AL809" i="20"/>
  <c r="AL810" i="20"/>
  <c r="AL811" i="20"/>
  <c r="AL812" i="20"/>
  <c r="AL813" i="20"/>
  <c r="AL814" i="20"/>
  <c r="AL815" i="20"/>
  <c r="AL816" i="20"/>
  <c r="AL817" i="20"/>
  <c r="AL818" i="20"/>
  <c r="AL819" i="20"/>
  <c r="AL820" i="20"/>
  <c r="AL821" i="20"/>
  <c r="AL822" i="20"/>
  <c r="AL823" i="20"/>
  <c r="AL824" i="20"/>
  <c r="AL825" i="20"/>
  <c r="AL826" i="20"/>
  <c r="AL827" i="20"/>
  <c r="AL828" i="20"/>
  <c r="AL829" i="20"/>
  <c r="AL830" i="20"/>
  <c r="AL831" i="20"/>
  <c r="AL832" i="20"/>
  <c r="AL833" i="20"/>
  <c r="AL834" i="20"/>
  <c r="AL835" i="20"/>
  <c r="AL836" i="20"/>
  <c r="AL837" i="20"/>
  <c r="AL838" i="20"/>
  <c r="AL839" i="20"/>
  <c r="AL840" i="20"/>
  <c r="AL841" i="20"/>
  <c r="AL842" i="20"/>
  <c r="AL843" i="20"/>
  <c r="AL844" i="20"/>
  <c r="AL845" i="20"/>
  <c r="AL846" i="20"/>
  <c r="AL847" i="20"/>
  <c r="AL848" i="20"/>
  <c r="AL849" i="20"/>
  <c r="AL850" i="20"/>
  <c r="AL851" i="20"/>
  <c r="AL852" i="20"/>
  <c r="AL853" i="20"/>
  <c r="AL854" i="20"/>
  <c r="AL855" i="20"/>
  <c r="AL856" i="20"/>
  <c r="AL857" i="20"/>
  <c r="AL858" i="20"/>
  <c r="AL859" i="20"/>
  <c r="AL860" i="20"/>
  <c r="AL861" i="20"/>
  <c r="AL862" i="20"/>
  <c r="AL863" i="20"/>
  <c r="AL864" i="20"/>
  <c r="AL865" i="20"/>
  <c r="AL866" i="20"/>
  <c r="AL867" i="20"/>
  <c r="AL868" i="20"/>
  <c r="AL869" i="20"/>
  <c r="AL870" i="20"/>
  <c r="AL871" i="20"/>
  <c r="AL872" i="20"/>
  <c r="AL873" i="20"/>
  <c r="AL874" i="20"/>
  <c r="AL875" i="20"/>
  <c r="AL876" i="20"/>
  <c r="AL877" i="20"/>
  <c r="AL878" i="20"/>
  <c r="AL879" i="20"/>
  <c r="AL880" i="20"/>
  <c r="AL881" i="20"/>
  <c r="AL882" i="20"/>
  <c r="AL883" i="20"/>
  <c r="AL884" i="20"/>
  <c r="AL885" i="20"/>
  <c r="AL886" i="20"/>
  <c r="AL887" i="20"/>
  <c r="AL888" i="20"/>
  <c r="AL889" i="20"/>
  <c r="AL890" i="20"/>
  <c r="AL891" i="20"/>
  <c r="AL892" i="20"/>
  <c r="AL893" i="20"/>
  <c r="AL894" i="20"/>
  <c r="AL895" i="20"/>
  <c r="AL896" i="20"/>
  <c r="AL897" i="20"/>
  <c r="AL898" i="20"/>
  <c r="AL899" i="20"/>
  <c r="AL900" i="20"/>
  <c r="AL901" i="20"/>
  <c r="AL902" i="20"/>
  <c r="AL903" i="20"/>
  <c r="AL904" i="20"/>
  <c r="AL905" i="20"/>
  <c r="AL906" i="20"/>
  <c r="AL907" i="20"/>
  <c r="AL908" i="20"/>
  <c r="AL909" i="20"/>
  <c r="AL910" i="20"/>
  <c r="AL911" i="20"/>
  <c r="AL912" i="20"/>
  <c r="AL913" i="20"/>
  <c r="AL914" i="20"/>
  <c r="AL915" i="20"/>
  <c r="AL916" i="20"/>
  <c r="AL917" i="20"/>
  <c r="AL918" i="20"/>
  <c r="AL919" i="20"/>
  <c r="AL920" i="20"/>
  <c r="AL921" i="20"/>
  <c r="AL922" i="20"/>
  <c r="AL923" i="20"/>
  <c r="AL924" i="20"/>
  <c r="AL925" i="20"/>
  <c r="AL926" i="20"/>
  <c r="AL927" i="20"/>
  <c r="AL928" i="20"/>
  <c r="AL929" i="20"/>
  <c r="AL930" i="20"/>
  <c r="AL931" i="20"/>
  <c r="AL932" i="20"/>
  <c r="AL933" i="20"/>
  <c r="AL934" i="20"/>
  <c r="AL935" i="20"/>
  <c r="AL936" i="20"/>
  <c r="AL937" i="20"/>
  <c r="AL938" i="20"/>
  <c r="AL939" i="20"/>
  <c r="AL940" i="20"/>
  <c r="AL941" i="20"/>
  <c r="AL942" i="20"/>
  <c r="AL943" i="20"/>
  <c r="AL944" i="20"/>
  <c r="AL945" i="20"/>
  <c r="AL946" i="20"/>
  <c r="AL947" i="20"/>
  <c r="AL948" i="20"/>
  <c r="AL949" i="20"/>
  <c r="AL950" i="20"/>
  <c r="AL951" i="20"/>
  <c r="AL952" i="20"/>
  <c r="AL953" i="20"/>
  <c r="AL954" i="20"/>
  <c r="AL955" i="20"/>
  <c r="AL956" i="20"/>
  <c r="AL957" i="20"/>
  <c r="AL958" i="20"/>
  <c r="AL959" i="20"/>
  <c r="AL960" i="20"/>
  <c r="AL961" i="20"/>
  <c r="AL962" i="20"/>
  <c r="AL963" i="20"/>
  <c r="AL964" i="20"/>
  <c r="AL965" i="20"/>
  <c r="AL966" i="20"/>
  <c r="AL967" i="20"/>
  <c r="AL968" i="20"/>
  <c r="AL969" i="20"/>
  <c r="AL970" i="20"/>
  <c r="AL971" i="20"/>
  <c r="AL972" i="20"/>
  <c r="AL973" i="20"/>
  <c r="AL974" i="20"/>
  <c r="AL975" i="20"/>
  <c r="AL976" i="20"/>
  <c r="AL977" i="20"/>
  <c r="AL978" i="20"/>
  <c r="AL979" i="20"/>
  <c r="AL980" i="20"/>
  <c r="AL981" i="20"/>
  <c r="AL982" i="20"/>
  <c r="AL983" i="20"/>
  <c r="AL984" i="20"/>
  <c r="AL985" i="20"/>
  <c r="AL986" i="20"/>
  <c r="AL987" i="20"/>
  <c r="AL988" i="20"/>
  <c r="AL989" i="20"/>
  <c r="AL990" i="20"/>
  <c r="AL991" i="20"/>
  <c r="AL992" i="20"/>
  <c r="AL993" i="20"/>
  <c r="AL994" i="20"/>
  <c r="AL995" i="20"/>
  <c r="AL996" i="20"/>
  <c r="AL997" i="20"/>
  <c r="AL998" i="20"/>
  <c r="AL999" i="20"/>
  <c r="AL1000" i="20"/>
  <c r="AL1001" i="20"/>
  <c r="AL1002" i="20"/>
  <c r="AL1003" i="20"/>
  <c r="AL1004" i="20"/>
  <c r="AL1005" i="20"/>
  <c r="AL1006" i="20"/>
  <c r="AL1007" i="20"/>
  <c r="AL1008" i="20"/>
  <c r="AL1009" i="20"/>
  <c r="AL1010" i="20"/>
  <c r="AL1011" i="20"/>
  <c r="AL1012" i="20"/>
  <c r="AL1013" i="20"/>
  <c r="AL1014" i="20"/>
  <c r="AL1015" i="20"/>
  <c r="AL1016" i="20"/>
  <c r="AL1017" i="20"/>
  <c r="AL1018" i="20"/>
  <c r="AL1019" i="20"/>
  <c r="AL1020" i="20"/>
  <c r="AL1021" i="20"/>
  <c r="AL1022" i="20"/>
  <c r="AL1023" i="20"/>
  <c r="AL1024" i="20"/>
  <c r="AL1025" i="20"/>
  <c r="AL1026" i="20"/>
  <c r="AL1027" i="20"/>
  <c r="AL1028" i="20"/>
  <c r="AL1029" i="20"/>
  <c r="AL1030" i="20"/>
  <c r="AL1031" i="20"/>
  <c r="AL1032" i="20"/>
  <c r="AL1033" i="20"/>
  <c r="AL1034" i="20"/>
  <c r="AL1035" i="20"/>
  <c r="AL1036" i="20"/>
  <c r="AL1037" i="20"/>
  <c r="AL1038" i="20"/>
  <c r="AL1039" i="20"/>
  <c r="AL1040" i="20"/>
  <c r="AL1041" i="20"/>
  <c r="AL1042" i="20"/>
  <c r="AL1043" i="20"/>
  <c r="AL1044" i="20"/>
  <c r="AL1045" i="20"/>
  <c r="AL1046" i="20"/>
  <c r="AL1047" i="20"/>
  <c r="AL1048" i="20"/>
  <c r="AL1049" i="20"/>
  <c r="AL1050" i="20"/>
  <c r="AL1051" i="20"/>
  <c r="AL1052" i="20"/>
  <c r="AL1053" i="20"/>
  <c r="AL1054" i="20"/>
  <c r="AL1055" i="20"/>
  <c r="AL1056" i="20"/>
  <c r="AL1057" i="20"/>
  <c r="AL1058" i="20"/>
  <c r="AL1059" i="20"/>
  <c r="AL1060" i="20"/>
  <c r="AL1061" i="20"/>
  <c r="AL1062" i="20"/>
  <c r="AL1063" i="20"/>
  <c r="AL1064" i="20"/>
  <c r="AL1065" i="20"/>
  <c r="AL1066" i="20"/>
  <c r="AL1067" i="20"/>
  <c r="AL1068" i="20"/>
  <c r="AL1069" i="20"/>
  <c r="AL1070" i="20"/>
  <c r="AL1071" i="20"/>
  <c r="AL1072" i="20"/>
  <c r="AL1073" i="20"/>
  <c r="AL1074" i="20"/>
  <c r="AL1075" i="20"/>
  <c r="AL1076" i="20"/>
  <c r="AL1077" i="20"/>
  <c r="AL1078" i="20"/>
  <c r="AL1079" i="20"/>
  <c r="AL1080" i="20"/>
  <c r="AL1081" i="20"/>
  <c r="AL1082" i="20"/>
  <c r="AL1083" i="20"/>
  <c r="AL1084" i="20"/>
  <c r="AL1085" i="20"/>
  <c r="AL1086" i="20"/>
  <c r="AL1087" i="20"/>
  <c r="AL1088" i="20"/>
  <c r="AL1089" i="20"/>
  <c r="AL1090" i="20"/>
  <c r="AL1091" i="20"/>
  <c r="AL1092" i="20"/>
  <c r="AL1093" i="20"/>
  <c r="AL1094" i="20"/>
  <c r="AL1095" i="20"/>
  <c r="AL1096" i="20"/>
  <c r="AL1097" i="20"/>
  <c r="AL1098" i="20"/>
  <c r="AL1099" i="20"/>
  <c r="AL1100" i="20"/>
  <c r="AL1101" i="20"/>
  <c r="AL1102" i="20"/>
  <c r="AL1103" i="20"/>
  <c r="AL1104" i="20"/>
  <c r="AL1105" i="20"/>
  <c r="AL1106" i="20"/>
  <c r="AL1107" i="20"/>
  <c r="AL1108" i="20"/>
  <c r="AL1109" i="20"/>
  <c r="AL1110" i="20"/>
  <c r="AL1111" i="20"/>
  <c r="AL1112" i="20"/>
  <c r="AL1113" i="20"/>
  <c r="AL1114" i="20"/>
  <c r="AL1115" i="20"/>
  <c r="AL1116" i="20"/>
  <c r="AL1117" i="20"/>
  <c r="AL1118" i="20"/>
  <c r="AL1119" i="20"/>
  <c r="AL1120" i="20"/>
  <c r="AL1121" i="20"/>
  <c r="AL1122" i="20"/>
  <c r="AL1123" i="20"/>
  <c r="AL1124" i="20"/>
  <c r="AL1125" i="20"/>
  <c r="AL1126" i="20"/>
  <c r="AL1127" i="20"/>
  <c r="AL1128" i="20"/>
  <c r="AL1129" i="20"/>
  <c r="AL1130" i="20"/>
  <c r="AL1131" i="20"/>
  <c r="AL1132" i="20"/>
  <c r="AL1133" i="20"/>
  <c r="AL1134" i="20"/>
  <c r="AL1135" i="20"/>
  <c r="AL1136" i="20"/>
  <c r="AL1137" i="20"/>
  <c r="AL1138" i="20"/>
  <c r="AL1139" i="20"/>
  <c r="AL1140" i="20"/>
  <c r="AL1141" i="20"/>
  <c r="AL1142" i="20"/>
  <c r="AL1143" i="20"/>
  <c r="AL1144" i="20"/>
  <c r="AL1145" i="20"/>
  <c r="AL1146" i="20"/>
  <c r="AL1147" i="20"/>
  <c r="AL1148" i="20"/>
  <c r="AL1149" i="20"/>
  <c r="AL1150" i="20"/>
  <c r="AL1151" i="20"/>
  <c r="AL1152" i="20"/>
  <c r="AL1153" i="20"/>
  <c r="AL1154" i="20"/>
  <c r="AL1155" i="20"/>
  <c r="AL1156" i="20"/>
  <c r="AL1157" i="20"/>
  <c r="AL1158" i="20"/>
  <c r="AL1159" i="20"/>
  <c r="AL1160" i="20"/>
  <c r="AL1161" i="20"/>
  <c r="AL1162" i="20"/>
  <c r="AL1163" i="20"/>
  <c r="AL1164" i="20"/>
  <c r="AL1165" i="20"/>
  <c r="AL1166" i="20"/>
  <c r="AL1167" i="20"/>
  <c r="AL1168" i="20"/>
  <c r="AL1169" i="20"/>
  <c r="AL1170" i="20"/>
  <c r="AL1171" i="20"/>
  <c r="AL1172" i="20"/>
  <c r="AL1173" i="20"/>
  <c r="AL1174" i="20"/>
  <c r="AL1175" i="20"/>
  <c r="AL1176" i="20"/>
  <c r="AL1177" i="20"/>
  <c r="AL1178" i="20"/>
  <c r="AL1179" i="20"/>
  <c r="AL1180" i="20"/>
  <c r="AL1181" i="20"/>
  <c r="AL1182" i="20"/>
  <c r="AL1183" i="20"/>
  <c r="AL1184" i="20"/>
  <c r="AL1185" i="20"/>
  <c r="AL1186" i="20"/>
  <c r="AL1187" i="20"/>
  <c r="AL1188" i="20"/>
  <c r="AL1189" i="20"/>
  <c r="AL1190" i="20"/>
  <c r="AL1191" i="20"/>
  <c r="AL1192" i="20"/>
  <c r="AL1193" i="20"/>
  <c r="AL1194" i="20"/>
  <c r="AL1195" i="20"/>
  <c r="AL1196" i="20"/>
  <c r="AL1197" i="20"/>
  <c r="AL1198" i="20"/>
  <c r="AL1199" i="20"/>
  <c r="AL1200" i="20"/>
  <c r="AL1201" i="20"/>
  <c r="AL1202" i="20"/>
  <c r="AL1203" i="20"/>
  <c r="AL1204" i="20"/>
  <c r="AL1205" i="20"/>
  <c r="AL1206" i="20"/>
  <c r="AL1207" i="20"/>
  <c r="AL1208" i="20"/>
  <c r="AL1209" i="20"/>
  <c r="AL1210" i="20"/>
  <c r="AL1211" i="20"/>
  <c r="AL1212" i="20"/>
  <c r="AL1213" i="20"/>
  <c r="AL1214" i="20"/>
  <c r="AL1215" i="20"/>
  <c r="AL1216" i="20"/>
  <c r="AL1217" i="20"/>
  <c r="AL1218" i="20"/>
  <c r="AL1219" i="20"/>
  <c r="AL1220" i="20"/>
  <c r="AL1221" i="20"/>
  <c r="AL1222" i="20"/>
  <c r="AL1223" i="20"/>
  <c r="AL1224" i="20"/>
  <c r="AL1225" i="20"/>
  <c r="AL1226" i="20"/>
  <c r="AL1227" i="20"/>
  <c r="AL1228" i="20"/>
  <c r="AL1229" i="20"/>
  <c r="AL1230" i="20"/>
  <c r="AL1231" i="20"/>
  <c r="AL1232" i="20"/>
  <c r="AL1233" i="20"/>
  <c r="AL1234" i="20"/>
  <c r="AL1235" i="20"/>
  <c r="AL1236" i="20"/>
  <c r="AL1237" i="20"/>
  <c r="AL1238" i="20"/>
  <c r="AL1239" i="20"/>
  <c r="AL1240" i="20"/>
  <c r="AL1241" i="20"/>
  <c r="AL1242" i="20"/>
  <c r="AL1243" i="20"/>
  <c r="AL1244" i="20"/>
  <c r="AL1245" i="20"/>
  <c r="AL1246" i="20"/>
  <c r="AL1247" i="20"/>
  <c r="AL1248" i="20"/>
  <c r="AL1249" i="20"/>
  <c r="AL1250" i="20"/>
  <c r="AL1251" i="20"/>
  <c r="AL1252" i="20"/>
  <c r="AL1253" i="20"/>
  <c r="AL1254" i="20"/>
  <c r="AL1255" i="20"/>
  <c r="AL1256" i="20"/>
  <c r="AL1257" i="20"/>
  <c r="AL1258" i="20"/>
  <c r="AL1259" i="20"/>
  <c r="AL1260" i="20"/>
  <c r="AL1261" i="20"/>
  <c r="AL1262" i="20"/>
  <c r="AL1263" i="20"/>
  <c r="AL1264" i="20"/>
  <c r="AL1265" i="20"/>
  <c r="AL1266" i="20"/>
  <c r="AL1267" i="20"/>
  <c r="AL1268" i="20"/>
  <c r="AL1269" i="20"/>
  <c r="AL1270" i="20"/>
  <c r="AL1271" i="20"/>
  <c r="AL1272" i="20"/>
  <c r="AL1273" i="20"/>
  <c r="AL1274" i="20"/>
  <c r="AL1275" i="20"/>
  <c r="AL1276" i="20"/>
  <c r="AL1277" i="20"/>
  <c r="AL1278" i="20"/>
  <c r="AL1279" i="20"/>
  <c r="AL1280" i="20"/>
  <c r="AL1281" i="20"/>
  <c r="AL1282" i="20"/>
  <c r="AL1283" i="20"/>
  <c r="AL1284" i="20"/>
  <c r="AL1285" i="20"/>
  <c r="AL1286" i="20"/>
  <c r="AL1287" i="20"/>
  <c r="AL1288" i="20"/>
  <c r="AL1289" i="20"/>
  <c r="AL1290" i="20"/>
  <c r="AL1291" i="20"/>
  <c r="AL1292" i="20"/>
  <c r="AL1293" i="20"/>
  <c r="AL1294" i="20"/>
  <c r="AL1295" i="20"/>
  <c r="AL1296" i="20"/>
  <c r="AL1297" i="20"/>
  <c r="AL1298" i="20"/>
  <c r="AL1299" i="20"/>
  <c r="AL1300" i="20"/>
  <c r="AL1301" i="20"/>
  <c r="AL1302" i="20"/>
  <c r="AL1303" i="20"/>
  <c r="AL1304" i="20"/>
  <c r="AL1305" i="20"/>
  <c r="AL1306" i="20"/>
  <c r="AL1307" i="20"/>
  <c r="AL1308" i="20"/>
  <c r="AL1309" i="20"/>
  <c r="AL1310" i="20"/>
  <c r="AL1311" i="20"/>
  <c r="AL1312" i="20"/>
  <c r="AL1313" i="20"/>
  <c r="AL1314" i="20"/>
  <c r="AL1315" i="20"/>
  <c r="AL1316" i="20"/>
  <c r="AL1317" i="20"/>
  <c r="AL1318" i="20"/>
  <c r="AL1319" i="20"/>
  <c r="AL1320" i="20"/>
  <c r="AL1321" i="20"/>
  <c r="AL1322" i="20"/>
  <c r="AL1323" i="20"/>
  <c r="AL1324" i="20"/>
  <c r="AL1325" i="20"/>
  <c r="AL1326" i="20"/>
  <c r="AL1327" i="20"/>
  <c r="AL1328" i="20"/>
  <c r="AL1329" i="20"/>
  <c r="AL1330" i="20"/>
  <c r="AL1331" i="20"/>
  <c r="AL1332" i="20"/>
  <c r="AL1333" i="20"/>
  <c r="AL1334" i="20"/>
  <c r="AL1335" i="20"/>
  <c r="AL1336" i="20"/>
  <c r="AL1337" i="20"/>
  <c r="AL1338" i="20"/>
  <c r="AL1339" i="20"/>
  <c r="AL1340" i="20"/>
  <c r="AL1341" i="20"/>
  <c r="AL1342" i="20"/>
  <c r="AL1343" i="20"/>
  <c r="AL1344" i="20"/>
  <c r="AL1345" i="20"/>
  <c r="AL1346" i="20"/>
  <c r="AL1347" i="20"/>
  <c r="AL1348" i="20"/>
  <c r="AL1349" i="20"/>
  <c r="AL1350" i="20"/>
  <c r="AL1351" i="20"/>
  <c r="AL1352" i="20"/>
  <c r="AL1353" i="20"/>
  <c r="AL1354" i="20"/>
  <c r="AL1355" i="20"/>
  <c r="AL1356" i="20"/>
  <c r="AL1357" i="20"/>
  <c r="AL1358" i="20"/>
  <c r="AL1359" i="20"/>
  <c r="AL1360" i="20"/>
  <c r="AL1361" i="20"/>
  <c r="AL1362" i="20"/>
  <c r="AL1363" i="20"/>
  <c r="AL1364" i="20"/>
  <c r="AL1365" i="20"/>
  <c r="AL1366" i="20"/>
  <c r="AL1367" i="20"/>
  <c r="AL1368" i="20"/>
  <c r="AL1369" i="20"/>
  <c r="AL1370" i="20"/>
  <c r="AL1371" i="20"/>
  <c r="AL1372" i="20"/>
  <c r="AL1373" i="20"/>
  <c r="AL1374" i="20"/>
  <c r="AL1375" i="20"/>
  <c r="AL1376" i="20"/>
  <c r="AL1377" i="20"/>
  <c r="AL1378" i="20"/>
  <c r="AL1379" i="20"/>
  <c r="AL1380" i="20"/>
  <c r="AL1381" i="20"/>
  <c r="AL4" i="20"/>
  <c r="AM738" i="20"/>
  <c r="AA750" i="20"/>
  <c r="AM786" i="20"/>
  <c r="AA810" i="20"/>
  <c r="AA877" i="20"/>
  <c r="AM1035" i="20"/>
  <c r="AA1265" i="20"/>
  <c r="AM973" i="20"/>
  <c r="AM1004" i="20"/>
  <c r="AA1083" i="20"/>
  <c r="AM1198" i="20"/>
  <c r="AM1332" i="20"/>
  <c r="AA520" i="20"/>
  <c r="AA1021" i="20"/>
  <c r="AA1040" i="20"/>
  <c r="AM1112" i="20"/>
  <c r="AA1270" i="20"/>
  <c r="AM223" i="20"/>
  <c r="AA928" i="20"/>
  <c r="AM1117" i="20"/>
  <c r="AM1165" i="20"/>
  <c r="AM225" i="20"/>
  <c r="AM228" i="20"/>
  <c r="AM554" i="20"/>
  <c r="AM921" i="20"/>
  <c r="AM1050" i="20"/>
  <c r="AM499" i="20"/>
  <c r="AA535" i="20"/>
  <c r="AA182" i="20"/>
  <c r="AM895" i="20"/>
  <c r="AM931" i="20"/>
  <c r="AM943" i="20"/>
  <c r="AM986" i="20"/>
  <c r="AM1029" i="20"/>
  <c r="AA177" i="20"/>
  <c r="AA146" i="20"/>
  <c r="AM285" i="20"/>
  <c r="AA1125" i="20"/>
  <c r="AM407" i="20"/>
  <c r="AM271" i="20"/>
  <c r="AA159" i="20"/>
  <c r="AM243" i="20"/>
  <c r="AM291" i="20"/>
  <c r="AA490" i="20"/>
  <c r="AA502" i="20"/>
  <c r="AA253" i="20"/>
  <c r="AM699" i="20"/>
  <c r="AA1178" i="20"/>
  <c r="AM231" i="20"/>
  <c r="AM270" i="20"/>
  <c r="AA421" i="20"/>
  <c r="AA620" i="20"/>
  <c r="AM915" i="20"/>
  <c r="AM306" i="20"/>
  <c r="AM481" i="20"/>
  <c r="AM505" i="20"/>
  <c r="AA745" i="20"/>
  <c r="AM987" i="20"/>
  <c r="AM1085" i="20"/>
  <c r="AA1322" i="20"/>
  <c r="AM768" i="20"/>
  <c r="AM828" i="20"/>
  <c r="AA1160" i="20"/>
  <c r="AA785" i="20"/>
  <c r="AM1016" i="20"/>
  <c r="AM1142" i="20"/>
  <c r="AA165" i="20"/>
  <c r="AA521" i="20"/>
  <c r="AM992" i="20"/>
  <c r="AM996" i="20"/>
  <c r="AA1039" i="20"/>
  <c r="AM1248" i="20"/>
  <c r="AM1255" i="20"/>
  <c r="AM1314" i="20"/>
  <c r="AA449" i="20"/>
  <c r="AA533" i="20"/>
  <c r="AA623" i="20"/>
  <c r="AA175" i="20"/>
  <c r="AA241" i="20"/>
  <c r="AM279" i="20"/>
  <c r="AM309" i="20"/>
  <c r="AA496" i="20"/>
  <c r="AA1033" i="20"/>
  <c r="AA1071" i="20"/>
  <c r="AA1106" i="20"/>
  <c r="AA255" i="20"/>
  <c r="AA264" i="20"/>
  <c r="AA288" i="20"/>
  <c r="AA297" i="20"/>
  <c r="AM873" i="20"/>
  <c r="AM1024" i="20"/>
  <c r="AM1081" i="20"/>
  <c r="AA1108" i="20"/>
  <c r="AA1370" i="20"/>
  <c r="AA949" i="20"/>
  <c r="AM1316" i="20"/>
  <c r="AA116" i="20"/>
  <c r="AA1285" i="20"/>
  <c r="AM858" i="20"/>
  <c r="AA436" i="20"/>
  <c r="AM445" i="20"/>
  <c r="AA463" i="20"/>
  <c r="AA96" i="20"/>
  <c r="AM134" i="20"/>
  <c r="AA425" i="20"/>
  <c r="AM774" i="20"/>
  <c r="AA916" i="20"/>
  <c r="AA150" i="20"/>
  <c r="AA408" i="20"/>
  <c r="AM605" i="20"/>
  <c r="AM736" i="20"/>
  <c r="AM766" i="20"/>
  <c r="AM315" i="20"/>
  <c r="AA163" i="20"/>
  <c r="AA268" i="20"/>
  <c r="AA351" i="20"/>
  <c r="AA1062" i="20"/>
  <c r="AM466" i="20"/>
  <c r="AM363" i="20"/>
  <c r="AM511" i="20"/>
  <c r="AA1286" i="20"/>
  <c r="AM909" i="20"/>
  <c r="AM101" i="20"/>
  <c r="AA300" i="20"/>
  <c r="AA1113" i="20"/>
  <c r="AA110" i="20"/>
  <c r="AM1084" i="20"/>
  <c r="AM1222" i="20"/>
  <c r="AM907" i="20"/>
  <c r="AA405" i="20"/>
  <c r="AA442" i="20"/>
  <c r="AM454" i="20"/>
  <c r="AA801" i="20"/>
  <c r="AA807" i="20"/>
  <c r="AA793" i="20"/>
  <c r="AA1010" i="20"/>
  <c r="AA469" i="20"/>
  <c r="AA1266" i="20"/>
  <c r="AA1299" i="20"/>
  <c r="AM937" i="20"/>
  <c r="AM1098" i="20"/>
  <c r="AA771" i="20"/>
  <c r="AA834" i="20"/>
  <c r="AM898" i="20"/>
  <c r="AA1135" i="20"/>
  <c r="AM508" i="20"/>
  <c r="AM775" i="20"/>
  <c r="AA1269" i="20"/>
  <c r="AA102" i="20"/>
  <c r="AA144" i="20"/>
  <c r="AA45" i="20"/>
  <c r="AA1310" i="20"/>
  <c r="AA48" i="20"/>
  <c r="AA78" i="20"/>
  <c r="AA188" i="20"/>
  <c r="AA262" i="20"/>
  <c r="AM30" i="20"/>
  <c r="AA36" i="20"/>
  <c r="AA141" i="20"/>
  <c r="AA259" i="20"/>
  <c r="AM336" i="20"/>
  <c r="AA217" i="20"/>
  <c r="AM372" i="20"/>
  <c r="AA223" i="20"/>
  <c r="AA310" i="20"/>
  <c r="AE223" i="20"/>
  <c r="AE225" i="20"/>
  <c r="AA282" i="20"/>
  <c r="AA228" i="20"/>
  <c r="AM229" i="20"/>
  <c r="AA407" i="20"/>
  <c r="AM475" i="20"/>
  <c r="AA539" i="20"/>
  <c r="AE699" i="20"/>
  <c r="AA682" i="20"/>
  <c r="AE554" i="20"/>
  <c r="AA699" i="20"/>
  <c r="AA554" i="20"/>
  <c r="AA578" i="20"/>
  <c r="AA721" i="20"/>
  <c r="AA766" i="20"/>
  <c r="AE766" i="20"/>
  <c r="AE768" i="20"/>
  <c r="AA786" i="20"/>
  <c r="AA840" i="20"/>
  <c r="AA742" i="20"/>
  <c r="AA774" i="20"/>
  <c r="AA768" i="20"/>
  <c r="AM772" i="20"/>
  <c r="AA822" i="20"/>
  <c r="AA858" i="20"/>
  <c r="AE858" i="20"/>
  <c r="AE907" i="20"/>
  <c r="AA901" i="20"/>
  <c r="AA897" i="20"/>
  <c r="AA907" i="20"/>
  <c r="AA915" i="20"/>
  <c r="AE937" i="20"/>
  <c r="AE987" i="20"/>
  <c r="AA1029" i="20"/>
  <c r="AA986" i="20"/>
  <c r="AA987" i="20"/>
  <c r="AE1085" i="20"/>
  <c r="AM1059" i="20"/>
  <c r="AA1167" i="20"/>
  <c r="AA1117" i="20"/>
  <c r="AA1145" i="20"/>
  <c r="AA1248" i="20"/>
  <c r="AE1248" i="20"/>
  <c r="AE1084" i="20"/>
  <c r="AA1085" i="20"/>
  <c r="AA1198" i="20"/>
  <c r="AE1198" i="20"/>
  <c r="AM1242" i="20"/>
  <c r="AA1079" i="20"/>
  <c r="AA1091" i="20"/>
  <c r="AA1165" i="20"/>
  <c r="AE1165" i="20"/>
  <c r="AM1047" i="20"/>
  <c r="AA1084" i="20"/>
  <c r="AA1290" i="20"/>
  <c r="AA1284" i="20"/>
  <c r="AE1255" i="20"/>
  <c r="AE1316" i="20"/>
  <c r="AA1333" i="20"/>
  <c r="AE1332" i="20"/>
  <c r="AA1332" i="20"/>
  <c r="AA1350" i="20"/>
  <c r="AM1326" i="20"/>
  <c r="AM1368" i="20"/>
  <c r="AA1314" i="20"/>
  <c r="AA1316" i="20"/>
  <c r="AM1356" i="20"/>
  <c r="AA1369" i="20"/>
  <c r="AD1382" i="20"/>
  <c r="AE895" i="20"/>
  <c r="AA441" i="20"/>
  <c r="AA1024" i="20"/>
  <c r="AE1024" i="20"/>
  <c r="AA736" i="20"/>
  <c r="AE736" i="20"/>
  <c r="AA1337" i="20"/>
  <c r="AE1360" i="20"/>
  <c r="AM1360" i="20"/>
  <c r="AE1357" i="20"/>
  <c r="AM1357" i="20"/>
  <c r="AE1350" i="20"/>
  <c r="AM1350" i="20"/>
  <c r="AE1346" i="20"/>
  <c r="AM1346" i="20"/>
  <c r="AE1345" i="20"/>
  <c r="AM1345" i="20"/>
  <c r="AE1340" i="20"/>
  <c r="AM1340" i="20"/>
  <c r="AE1337" i="20"/>
  <c r="AM1337" i="20"/>
  <c r="AE1335" i="20"/>
  <c r="AM1335" i="20"/>
  <c r="AE1333" i="20"/>
  <c r="AM1333" i="20"/>
  <c r="AE1315" i="20"/>
  <c r="AM1315" i="20"/>
  <c r="AE1290" i="20"/>
  <c r="AM1290" i="20"/>
  <c r="AE1284" i="20"/>
  <c r="AM1284" i="20"/>
  <c r="AE1278" i="20"/>
  <c r="AM1278" i="20"/>
  <c r="AE1274" i="20"/>
  <c r="AM1274" i="20"/>
  <c r="AE1245" i="20"/>
  <c r="AM1245" i="20"/>
  <c r="AE1239" i="20"/>
  <c r="AM1239" i="20"/>
  <c r="AE1204" i="20"/>
  <c r="AM1204" i="20"/>
  <c r="AE1091" i="20"/>
  <c r="AM1091" i="20"/>
  <c r="AE1079" i="20"/>
  <c r="AM1079" i="20"/>
  <c r="AE1017" i="20"/>
  <c r="AM1017" i="20"/>
  <c r="AE978" i="20"/>
  <c r="AM978" i="20"/>
  <c r="AE940" i="20"/>
  <c r="AM940" i="20"/>
  <c r="AE931" i="20"/>
  <c r="AE925" i="20"/>
  <c r="AM925" i="20"/>
  <c r="AE901" i="20"/>
  <c r="AM901" i="20"/>
  <c r="AE897" i="20"/>
  <c r="AM897" i="20"/>
  <c r="AE891" i="20"/>
  <c r="AM891" i="20"/>
  <c r="AE862" i="20"/>
  <c r="AM862" i="20"/>
  <c r="AE852" i="20"/>
  <c r="AM852" i="20"/>
  <c r="AE849" i="20"/>
  <c r="AM849" i="20"/>
  <c r="AE846" i="20"/>
  <c r="AM846" i="20"/>
  <c r="AE843" i="20"/>
  <c r="AM843" i="20"/>
  <c r="AE842" i="20"/>
  <c r="AM842" i="20"/>
  <c r="AE822" i="20"/>
  <c r="AM822" i="20"/>
  <c r="AE781" i="20"/>
  <c r="AM781" i="20"/>
  <c r="AE748" i="20"/>
  <c r="AM748" i="20"/>
  <c r="AE742" i="20"/>
  <c r="AM742" i="20"/>
  <c r="AE608" i="20"/>
  <c r="AM608" i="20"/>
  <c r="AE578" i="20"/>
  <c r="AM578" i="20"/>
  <c r="AE572" i="20"/>
  <c r="AM572" i="20"/>
  <c r="AE544" i="20"/>
  <c r="AM544" i="20"/>
  <c r="AE538" i="20"/>
  <c r="AM538" i="20"/>
  <c r="AE526" i="20"/>
  <c r="AM526" i="20"/>
  <c r="AE493" i="20"/>
  <c r="AM493" i="20"/>
  <c r="AE478" i="20"/>
  <c r="AM478" i="20"/>
  <c r="AE441" i="20"/>
  <c r="AM441" i="20"/>
  <c r="AE369" i="20"/>
  <c r="AM369" i="20"/>
  <c r="AE357" i="20"/>
  <c r="AM357" i="20"/>
  <c r="AE330" i="20"/>
  <c r="AM330" i="20"/>
  <c r="AE324" i="20"/>
  <c r="AM324" i="20"/>
  <c r="AE318" i="20"/>
  <c r="AM318" i="20"/>
  <c r="AE282" i="20"/>
  <c r="AM282" i="20"/>
  <c r="AE271" i="20"/>
  <c r="AE262" i="20"/>
  <c r="AM262" i="20"/>
  <c r="AE238" i="20"/>
  <c r="AM238" i="20"/>
  <c r="AE220" i="20"/>
  <c r="AM220" i="20"/>
  <c r="AE210" i="20"/>
  <c r="AM210" i="20"/>
  <c r="AE204" i="20"/>
  <c r="AM204" i="20"/>
  <c r="AE198" i="20"/>
  <c r="AM198" i="20"/>
  <c r="AE181" i="20"/>
  <c r="AM181" i="20"/>
  <c r="AE152" i="20"/>
  <c r="AM152" i="20"/>
  <c r="AE140" i="20"/>
  <c r="AM140" i="20"/>
  <c r="AE108" i="20"/>
  <c r="AM108" i="20"/>
  <c r="AE98" i="20"/>
  <c r="AM98" i="20"/>
  <c r="AA1335" i="20"/>
  <c r="AA842" i="20"/>
  <c r="AA198" i="20"/>
  <c r="AA608" i="20"/>
  <c r="AA937" i="20"/>
  <c r="AA843" i="20"/>
  <c r="AA181" i="20"/>
  <c r="AA931" i="20"/>
  <c r="AA873" i="20"/>
  <c r="AA862" i="20"/>
  <c r="AA544" i="20"/>
  <c r="AA511" i="20"/>
  <c r="AA478" i="20"/>
  <c r="AA306" i="20"/>
  <c r="AA291" i="20"/>
  <c r="AA271" i="20"/>
  <c r="AA152" i="20"/>
  <c r="AA108" i="20"/>
  <c r="AA940" i="20"/>
  <c r="AA1100" i="20"/>
  <c r="AA372" i="20"/>
  <c r="AA973" i="20"/>
  <c r="AA748" i="20"/>
  <c r="AA572" i="20"/>
  <c r="AA101" i="20"/>
  <c r="AA357" i="20"/>
  <c r="AA943" i="20"/>
  <c r="AA852" i="20"/>
  <c r="AA505" i="20"/>
  <c r="AA1239" i="20"/>
  <c r="AA992" i="20"/>
  <c r="AA318" i="20"/>
  <c r="AA737" i="20"/>
  <c r="AA113" i="20"/>
  <c r="AA378" i="20"/>
  <c r="AA1346" i="20"/>
  <c r="AA238" i="20"/>
  <c r="AA1004" i="20"/>
  <c r="AA499" i="20"/>
  <c r="AA369" i="20"/>
  <c r="AA98" i="20"/>
  <c r="AA925" i="20"/>
  <c r="AA324" i="20"/>
  <c r="AA898" i="20"/>
  <c r="AA279" i="20"/>
  <c r="AA285" i="20"/>
  <c r="AA1274" i="20"/>
  <c r="AA1204" i="20"/>
  <c r="AA406" i="20"/>
  <c r="AA1315" i="20"/>
  <c r="AA895" i="20"/>
  <c r="AA1245" i="20"/>
  <c r="AA493" i="20"/>
  <c r="AA210" i="20"/>
  <c r="AA309" i="20"/>
  <c r="AA481" i="20"/>
  <c r="AA134" i="20"/>
  <c r="AA849" i="20"/>
  <c r="AA738" i="20"/>
  <c r="AA781" i="20"/>
  <c r="AA1360" i="20"/>
  <c r="AA1357" i="20"/>
  <c r="AA225" i="20"/>
  <c r="AA1345" i="20"/>
  <c r="AA1050" i="20"/>
  <c r="AA315" i="20"/>
  <c r="AA445" i="20"/>
  <c r="AA1254" i="20"/>
  <c r="AA566" i="20"/>
  <c r="AA784" i="20"/>
  <c r="AA192" i="20"/>
  <c r="AA921" i="20"/>
  <c r="AA1255" i="20"/>
  <c r="AA1035" i="20"/>
  <c r="AA1278" i="20"/>
  <c r="AA204" i="20"/>
  <c r="AA1340" i="20"/>
  <c r="AA978" i="20"/>
  <c r="AA526" i="20"/>
  <c r="AA466" i="20"/>
  <c r="AA891" i="20"/>
  <c r="AA220" i="20"/>
  <c r="AA1098" i="20"/>
  <c r="AM463" i="20"/>
  <c r="AA538" i="20"/>
  <c r="AA1017" i="20"/>
  <c r="AA330" i="20"/>
  <c r="AA140" i="20"/>
  <c r="AA1323" i="20"/>
  <c r="AA1205" i="20"/>
  <c r="AA1257" i="20"/>
  <c r="AM1257" i="20"/>
  <c r="AA1131" i="20"/>
  <c r="AM1131" i="20"/>
  <c r="AA1036" i="20"/>
  <c r="AM1036" i="20"/>
  <c r="AA1031" i="20"/>
  <c r="AA941" i="20"/>
  <c r="AA919" i="20"/>
  <c r="AM919" i="20"/>
  <c r="AA1042" i="20"/>
  <c r="AM1042" i="20"/>
  <c r="AA944" i="20"/>
  <c r="AA1000" i="20"/>
  <c r="AA1294" i="20"/>
  <c r="AA1291" i="20"/>
  <c r="AM1291" i="20"/>
  <c r="AA1001" i="20"/>
  <c r="AA899" i="20"/>
  <c r="AA902" i="20"/>
  <c r="AM902" i="20"/>
  <c r="AA832" i="20"/>
  <c r="AM832" i="20"/>
  <c r="AA1276" i="20"/>
  <c r="AM1276" i="20"/>
  <c r="AA1304" i="20"/>
  <c r="AA991" i="20"/>
  <c r="AA982" i="20"/>
  <c r="AM982" i="20"/>
  <c r="AA805" i="20"/>
  <c r="AM805" i="20"/>
  <c r="AA1331" i="20"/>
  <c r="AM1331" i="20"/>
  <c r="AA1373" i="20"/>
  <c r="AA1324" i="20"/>
  <c r="AA1325" i="20"/>
  <c r="AA896" i="20"/>
  <c r="AM896" i="20"/>
  <c r="AA1303" i="20"/>
  <c r="AA1305" i="20"/>
  <c r="AA971" i="20"/>
  <c r="AA894" i="20"/>
  <c r="AA963" i="20"/>
  <c r="AA1005" i="20"/>
  <c r="AA820" i="20"/>
  <c r="AM820" i="20"/>
  <c r="AA883" i="20"/>
  <c r="AA817" i="20"/>
  <c r="AA1321" i="20"/>
  <c r="AA1363" i="20"/>
  <c r="AA1328" i="20"/>
  <c r="AA1302" i="20"/>
  <c r="AM1302" i="20"/>
  <c r="AA1295" i="20"/>
  <c r="AA1143" i="20"/>
  <c r="AA984" i="20"/>
  <c r="AM984" i="20"/>
  <c r="AA1076" i="20"/>
  <c r="AA1327" i="20"/>
  <c r="AM1327" i="20"/>
  <c r="AA1380" i="20"/>
  <c r="AA1074" i="20"/>
  <c r="AA1133" i="20"/>
  <c r="AA1066" i="20"/>
  <c r="AA923" i="20"/>
  <c r="AA1102" i="20"/>
  <c r="AA1078" i="20"/>
  <c r="AA1172" i="20"/>
  <c r="AA872" i="20"/>
  <c r="AA835" i="20"/>
  <c r="AA1296" i="20"/>
  <c r="AM1296" i="20"/>
  <c r="AA1229" i="20"/>
  <c r="AA1309" i="20"/>
  <c r="AM1309" i="20"/>
  <c r="AA1163" i="20"/>
  <c r="AA914" i="20"/>
  <c r="AA1046" i="20"/>
  <c r="AA1334" i="20"/>
  <c r="AA1058" i="20"/>
  <c r="AM1058" i="20"/>
  <c r="AA1157" i="20"/>
  <c r="AA886" i="20"/>
  <c r="AA776" i="20"/>
  <c r="AA1223" i="20"/>
  <c r="AM1223" i="20"/>
  <c r="AA1217" i="20"/>
  <c r="AM1217" i="20"/>
  <c r="AA1149" i="20"/>
  <c r="AA927" i="20"/>
  <c r="AA970" i="20"/>
  <c r="AA1377" i="20"/>
  <c r="AA1228" i="20"/>
  <c r="AA1077" i="20"/>
  <c r="AM1077" i="20"/>
  <c r="AA1187" i="20"/>
  <c r="AA956" i="20"/>
  <c r="AA796" i="20"/>
  <c r="AM796" i="20"/>
  <c r="AA660" i="20"/>
  <c r="AM660" i="20"/>
  <c r="AA700" i="20"/>
  <c r="AA1180" i="20"/>
  <c r="AA1185" i="20"/>
  <c r="AA1101" i="20"/>
  <c r="AA1023" i="20"/>
  <c r="AA938" i="20"/>
  <c r="AA1171" i="20"/>
  <c r="AA1155" i="20"/>
  <c r="AA1009" i="20"/>
  <c r="AM1009" i="20"/>
  <c r="AA1063" i="20"/>
  <c r="AA1012" i="20"/>
  <c r="AM1012" i="20"/>
  <c r="AA935" i="20"/>
  <c r="AA900" i="20"/>
  <c r="AA868" i="20"/>
  <c r="AA957" i="20"/>
  <c r="AA630" i="20"/>
  <c r="AA694" i="20"/>
  <c r="AA740" i="20"/>
  <c r="AA788" i="20"/>
  <c r="AA641" i="20"/>
  <c r="AA579" i="20"/>
  <c r="AA451" i="20"/>
  <c r="AA328" i="20"/>
  <c r="AA292" i="20"/>
  <c r="AM292" i="20"/>
  <c r="AA277" i="20"/>
  <c r="AA256" i="20"/>
  <c r="AA487" i="20"/>
  <c r="AA724" i="20"/>
  <c r="AA749" i="20"/>
  <c r="AA693" i="20"/>
  <c r="AA555" i="20"/>
  <c r="AA388" i="20"/>
  <c r="AA129" i="20"/>
  <c r="AA245" i="20"/>
  <c r="AM245" i="20"/>
  <c r="AA117" i="20"/>
  <c r="AM117" i="20"/>
  <c r="AA126" i="20"/>
  <c r="AA120" i="20"/>
  <c r="AA1028" i="20"/>
  <c r="AA917" i="20"/>
  <c r="AA250" i="20"/>
  <c r="AA339" i="20"/>
  <c r="AA195" i="20"/>
  <c r="AA767" i="20"/>
  <c r="AA663" i="20"/>
  <c r="AA731" i="20"/>
  <c r="AM731" i="20"/>
  <c r="AA567" i="20"/>
  <c r="AA322" i="20"/>
  <c r="AA147" i="20"/>
  <c r="AM147" i="20"/>
  <c r="AA345" i="20"/>
  <c r="AA1027" i="20"/>
  <c r="AA427" i="20"/>
  <c r="AA380" i="20"/>
  <c r="AA289" i="20"/>
  <c r="AM289" i="20"/>
  <c r="AA123" i="20"/>
  <c r="AM123" i="20"/>
  <c r="AA84" i="20"/>
  <c r="AA769" i="20"/>
  <c r="AA799" i="20"/>
  <c r="AA327" i="20"/>
  <c r="AA283" i="20"/>
  <c r="AA764" i="20"/>
  <c r="AA819" i="20"/>
  <c r="AA1364" i="20"/>
  <c r="AA1211" i="20"/>
  <c r="AM1211" i="20"/>
  <c r="AA1193" i="20"/>
  <c r="AA1260" i="20"/>
  <c r="AA1065" i="20"/>
  <c r="AA1173" i="20"/>
  <c r="AA968" i="20"/>
  <c r="AA976" i="20"/>
  <c r="AA951" i="20"/>
  <c r="AA893" i="20"/>
  <c r="AM893" i="20"/>
  <c r="AA1018" i="20"/>
  <c r="AA841" i="20"/>
  <c r="AA846" i="20"/>
  <c r="AA752" i="20"/>
  <c r="AA719" i="20"/>
  <c r="AM719" i="20"/>
  <c r="AA760" i="20"/>
  <c r="AA518" i="20"/>
  <c r="AA307" i="20"/>
  <c r="AA360" i="20"/>
  <c r="AM360" i="20"/>
  <c r="AA235" i="20"/>
  <c r="AA265" i="20"/>
  <c r="AM265" i="20"/>
  <c r="AA104" i="20"/>
  <c r="AA232" i="20"/>
  <c r="AA42" i="20"/>
  <c r="AA1210" i="20"/>
  <c r="AA611" i="20"/>
  <c r="AA922" i="20"/>
  <c r="AA962" i="20"/>
  <c r="AA1006" i="20"/>
  <c r="AA890" i="20"/>
  <c r="AA823" i="20"/>
  <c r="AA829" i="20"/>
  <c r="AM829" i="20"/>
  <c r="AA730" i="20"/>
  <c r="AA606" i="20"/>
  <c r="AA443" i="20"/>
  <c r="AA301" i="20"/>
  <c r="AA354" i="20"/>
  <c r="AA440" i="20"/>
  <c r="AA244" i="20"/>
  <c r="AA189" i="20"/>
  <c r="AA990" i="20"/>
  <c r="AA813" i="20"/>
  <c r="AA603" i="20"/>
  <c r="AM603" i="20"/>
  <c r="AA419" i="20"/>
  <c r="AM419" i="20"/>
  <c r="AA295" i="20"/>
  <c r="AM295" i="20"/>
  <c r="AA342" i="20"/>
  <c r="AA523" i="20"/>
  <c r="AA415" i="20"/>
  <c r="AA69" i="20"/>
  <c r="AA99" i="20"/>
  <c r="AA164" i="20"/>
  <c r="AA1073" i="20"/>
  <c r="AA548" i="20"/>
  <c r="AA170" i="20"/>
  <c r="AA811" i="20"/>
  <c r="AA616" i="20"/>
  <c r="AM616" i="20"/>
  <c r="AA394" i="20"/>
  <c r="AM394" i="20"/>
  <c r="AA413" i="20"/>
  <c r="AA183" i="20"/>
  <c r="AA274" i="20"/>
  <c r="AA874" i="20"/>
  <c r="AA1114" i="20"/>
  <c r="AM1271" i="20"/>
  <c r="AM375" i="20"/>
  <c r="AA1375" i="20"/>
  <c r="AA122" i="20"/>
  <c r="AA1034" i="20"/>
  <c r="AM1034" i="20"/>
  <c r="AA532" i="20"/>
  <c r="AA881" i="20"/>
  <c r="AA739" i="20"/>
  <c r="AA654" i="20"/>
  <c r="AA542" i="20"/>
  <c r="AM542" i="20"/>
  <c r="AA366" i="20"/>
  <c r="AA431" i="20"/>
  <c r="AA316" i="20"/>
  <c r="AM316" i="20"/>
  <c r="AA286" i="20"/>
  <c r="AA111" i="20"/>
  <c r="AA763" i="20"/>
  <c r="AA226" i="20"/>
  <c r="AA892" i="20"/>
  <c r="AA648" i="20"/>
  <c r="AM648" i="20"/>
  <c r="AA802" i="20"/>
  <c r="AA844" i="20"/>
  <c r="AA617" i="20"/>
  <c r="AA430" i="20"/>
  <c r="AA437" i="20"/>
  <c r="AA201" i="20"/>
  <c r="AM201" i="20"/>
  <c r="AA199" i="20"/>
  <c r="AA158" i="20"/>
  <c r="AA29" i="20"/>
  <c r="AA773" i="20"/>
  <c r="AA626" i="20"/>
  <c r="AA418" i="20"/>
  <c r="AA1272" i="20"/>
  <c r="AA135" i="20"/>
  <c r="AA642" i="20"/>
  <c r="AA706" i="20"/>
  <c r="AA672" i="20"/>
  <c r="AM672" i="20"/>
  <c r="AA615" i="20"/>
  <c r="AA516" i="20"/>
  <c r="AA506" i="20"/>
  <c r="AA416" i="20"/>
  <c r="AA272" i="20"/>
  <c r="AA304" i="20"/>
  <c r="AM304" i="20"/>
  <c r="AA389" i="20"/>
  <c r="AA733" i="20"/>
  <c r="AA705" i="20"/>
  <c r="AA403" i="20"/>
  <c r="AA1048" i="20"/>
  <c r="AA230" i="20"/>
  <c r="AA1015" i="20"/>
  <c r="AA880" i="20"/>
  <c r="AA945" i="20"/>
  <c r="AA636" i="20"/>
  <c r="AA808" i="20"/>
  <c r="AA761" i="20"/>
  <c r="AA727" i="20"/>
  <c r="AM727" i="20"/>
  <c r="AA509" i="20"/>
  <c r="AA233" i="20"/>
  <c r="AA242" i="20"/>
  <c r="AA412" i="20"/>
  <c r="AA298" i="20"/>
  <c r="AM298" i="20"/>
  <c r="AA376" i="20"/>
  <c r="AA276" i="20"/>
  <c r="AA171" i="20"/>
  <c r="AA100" i="20"/>
  <c r="AM100" i="20"/>
  <c r="AA153" i="20"/>
  <c r="AE943" i="20"/>
  <c r="AE738" i="20"/>
  <c r="AE505" i="20"/>
  <c r="AE921" i="20"/>
  <c r="AE1314" i="20"/>
  <c r="AE1004" i="20"/>
  <c r="AM1376" i="20"/>
  <c r="AE309" i="20"/>
  <c r="AE291" i="20"/>
  <c r="AE1029" i="20"/>
  <c r="AE499" i="20"/>
  <c r="AE1117" i="20"/>
  <c r="AE372" i="20"/>
  <c r="AE30" i="20"/>
  <c r="AE898" i="20"/>
  <c r="AA1279" i="20"/>
  <c r="AE134" i="20"/>
  <c r="AE279" i="20"/>
  <c r="AE481" i="20"/>
  <c r="AE973" i="20"/>
  <c r="AM1367" i="20"/>
  <c r="AE101" i="20"/>
  <c r="AE511" i="20"/>
  <c r="AE315" i="20"/>
  <c r="AE306" i="20"/>
  <c r="AE270" i="20"/>
  <c r="AE1050" i="20"/>
  <c r="AE243" i="20"/>
  <c r="AM102" i="20"/>
  <c r="AM48" i="20"/>
  <c r="AE228" i="20"/>
  <c r="AE786" i="20"/>
  <c r="AE1081" i="20"/>
  <c r="AE231" i="20"/>
  <c r="AE996" i="20"/>
  <c r="AE915" i="20"/>
  <c r="AE407" i="20"/>
  <c r="AE986" i="20"/>
  <c r="AE992" i="20"/>
  <c r="AE336" i="20"/>
  <c r="AE1098" i="20"/>
  <c r="AA333" i="20"/>
  <c r="AA321" i="20"/>
  <c r="AE909" i="20"/>
  <c r="AE363" i="20"/>
  <c r="AE873" i="20"/>
  <c r="AE466" i="20"/>
  <c r="AE774" i="20"/>
  <c r="AE445" i="20"/>
  <c r="AE285" i="20"/>
  <c r="AE1035" i="20"/>
  <c r="AA1142" i="20"/>
  <c r="AE1142" i="20"/>
  <c r="AA687" i="20"/>
  <c r="AA751" i="20"/>
  <c r="AA382" i="20"/>
  <c r="AA312" i="20"/>
  <c r="AA270" i="20"/>
  <c r="AA460" i="20"/>
  <c r="AA543" i="20"/>
  <c r="AA424" i="20"/>
  <c r="AA551" i="20"/>
  <c r="AA387" i="20"/>
  <c r="AA417" i="20"/>
  <c r="AA996" i="20"/>
  <c r="AA1081" i="20"/>
  <c r="AA909" i="20"/>
  <c r="AA974" i="20"/>
  <c r="AA816" i="20"/>
  <c r="AA1216" i="20"/>
  <c r="AA998" i="20"/>
  <c r="AA243" i="20"/>
  <c r="AA231" i="20"/>
  <c r="AA51" i="20"/>
  <c r="AA39" i="20"/>
  <c r="AE1016" i="20"/>
  <c r="AA1016" i="20"/>
  <c r="AA828" i="20"/>
  <c r="AE828" i="20"/>
  <c r="AA605" i="20"/>
  <c r="AE605" i="20"/>
  <c r="AA573" i="20"/>
  <c r="AA1190" i="20"/>
  <c r="AA826" i="20"/>
  <c r="AA865" i="20"/>
  <c r="AA1087" i="20"/>
  <c r="AA128" i="20"/>
  <c r="AA484" i="20"/>
  <c r="AA681" i="20"/>
  <c r="AA678" i="20"/>
  <c r="AA480" i="20"/>
  <c r="AA1169" i="20"/>
  <c r="AA1072" i="20"/>
  <c r="AA794" i="20"/>
  <c r="AA560" i="20"/>
  <c r="AA294" i="20"/>
  <c r="AA1011" i="20"/>
  <c r="AA545" i="20"/>
  <c r="AA726" i="20"/>
  <c r="AA379" i="20"/>
  <c r="AA142" i="20"/>
  <c r="AA1365" i="20"/>
  <c r="AA331" i="20"/>
  <c r="AE1042" i="20"/>
  <c r="AA1349" i="20"/>
  <c r="AA989" i="20"/>
  <c r="AA680" i="20"/>
  <c r="AA591" i="20"/>
  <c r="AA396" i="20"/>
  <c r="AA363" i="20"/>
  <c r="AA303" i="20"/>
  <c r="AA133" i="20"/>
  <c r="AA911" i="20"/>
  <c r="AA977" i="20"/>
  <c r="AA804" i="20"/>
  <c r="AA470" i="20"/>
  <c r="AA63" i="20"/>
  <c r="AA54" i="20"/>
  <c r="AE984" i="20"/>
  <c r="AA993" i="20"/>
  <c r="AA1222" i="20"/>
  <c r="AE1222" i="20"/>
  <c r="AA454" i="20"/>
  <c r="AE454" i="20"/>
  <c r="AA1341" i="20"/>
  <c r="AA711" i="20"/>
  <c r="AA348" i="20"/>
  <c r="AA334" i="20"/>
  <c r="AE360" i="20"/>
  <c r="AA160" i="20"/>
  <c r="AA66" i="20"/>
  <c r="AE508" i="20"/>
  <c r="AA508" i="20"/>
  <c r="AA448" i="20"/>
  <c r="AA1041" i="20"/>
  <c r="AA614" i="20"/>
  <c r="AA325" i="20"/>
  <c r="AA1287" i="20"/>
  <c r="AA814" i="20"/>
  <c r="AA659" i="20"/>
  <c r="AA549" i="20"/>
  <c r="AA107" i="20"/>
  <c r="AA1251" i="20"/>
  <c r="AA1176" i="20"/>
  <c r="AA981" i="20"/>
  <c r="AA926" i="20"/>
  <c r="AA647" i="20"/>
  <c r="AA1045" i="20"/>
  <c r="AA433" i="20"/>
  <c r="AA1235" i="20"/>
  <c r="AA280" i="20"/>
  <c r="AA775" i="20"/>
  <c r="AE775" i="20"/>
  <c r="AA1189" i="20"/>
  <c r="AA530" i="20"/>
  <c r="AA254" i="20"/>
  <c r="AA172" i="20"/>
  <c r="AA90" i="20"/>
  <c r="AA1122" i="20"/>
  <c r="AA1263" i="20"/>
  <c r="AA1055" i="20"/>
  <c r="AA953" i="20"/>
  <c r="AA946" i="20"/>
  <c r="AA812" i="20"/>
  <c r="AA485" i="20"/>
  <c r="AA257" i="20"/>
  <c r="AA444" i="20"/>
  <c r="AA391" i="20"/>
  <c r="AA461" i="20"/>
  <c r="AA399" i="20"/>
  <c r="AA293" i="20"/>
  <c r="AA278" i="20"/>
  <c r="AA169" i="20"/>
  <c r="AA296" i="20"/>
  <c r="AA432" i="20"/>
  <c r="AA194" i="20"/>
  <c r="AA260" i="20"/>
  <c r="AA43" i="20"/>
  <c r="AA1371" i="20"/>
  <c r="AA1312" i="20"/>
  <c r="AA1330" i="20"/>
  <c r="AE1356" i="20"/>
  <c r="AA1356" i="20"/>
  <c r="AA1300" i="20"/>
  <c r="AA1313" i="20"/>
  <c r="AA1329" i="20"/>
  <c r="AE1257" i="20"/>
  <c r="AA1280" i="20"/>
  <c r="AA1244" i="20"/>
  <c r="AA1186" i="20"/>
  <c r="AA1097" i="20"/>
  <c r="AA1258" i="20"/>
  <c r="AA1089" i="20"/>
  <c r="AA1183" i="20"/>
  <c r="AA1044" i="20"/>
  <c r="AA1067" i="20"/>
  <c r="AA988" i="20"/>
  <c r="AA1107" i="20"/>
  <c r="AA906" i="20"/>
  <c r="AA969" i="20"/>
  <c r="AA995" i="20"/>
  <c r="AA905" i="20"/>
  <c r="AA831" i="20"/>
  <c r="AA762" i="20"/>
  <c r="AA920" i="20"/>
  <c r="AA712" i="20"/>
  <c r="AA650" i="20"/>
  <c r="AA777" i="20"/>
  <c r="AA669" i="20"/>
  <c r="AA665" i="20"/>
  <c r="AA610" i="20"/>
  <c r="AA602" i="20"/>
  <c r="AA652" i="20"/>
  <c r="AA577" i="20"/>
  <c r="AA561" i="20"/>
  <c r="AA504" i="20"/>
  <c r="AA580" i="20"/>
  <c r="AA455" i="20"/>
  <c r="AA398" i="20"/>
  <c r="AA515" i="20"/>
  <c r="AA336" i="20"/>
  <c r="AA390" i="20"/>
  <c r="AA362" i="20"/>
  <c r="AA252" i="20"/>
  <c r="AE316" i="20"/>
  <c r="AA118" i="20"/>
  <c r="AA246" i="20"/>
  <c r="AA166" i="20"/>
  <c r="AA447" i="20"/>
  <c r="AA209" i="20"/>
  <c r="AA167" i="20"/>
  <c r="AA161" i="20"/>
  <c r="AA434" i="20"/>
  <c r="AA214" i="20"/>
  <c r="AA258" i="20"/>
  <c r="AA162" i="20"/>
  <c r="AA60" i="20"/>
  <c r="AA97" i="20"/>
  <c r="AA62" i="20"/>
  <c r="AA83" i="20"/>
  <c r="AA74" i="20"/>
  <c r="AA121" i="20"/>
  <c r="AA1134" i="20"/>
  <c r="AA658" i="20"/>
  <c r="AA564" i="20"/>
  <c r="AA1293" i="20"/>
  <c r="AA1353" i="20"/>
  <c r="AA1307" i="20"/>
  <c r="AA1207" i="20"/>
  <c r="AA1243" i="20"/>
  <c r="AA1213" i="20"/>
  <c r="AE1242" i="20"/>
  <c r="AA1242" i="20"/>
  <c r="AA1086" i="20"/>
  <c r="AA1075" i="20"/>
  <c r="AA983" i="20"/>
  <c r="AA1132" i="20"/>
  <c r="AA975" i="20"/>
  <c r="AA1111" i="20"/>
  <c r="AA979" i="20"/>
  <c r="AA936" i="20"/>
  <c r="AA1013" i="20"/>
  <c r="AA954" i="20"/>
  <c r="AA889" i="20"/>
  <c r="AA985" i="20"/>
  <c r="AA717" i="20"/>
  <c r="AA887" i="20"/>
  <c r="AA867" i="20"/>
  <c r="AA882" i="20"/>
  <c r="AA701" i="20"/>
  <c r="AA797" i="20"/>
  <c r="AA644" i="20"/>
  <c r="AA715" i="20"/>
  <c r="AA757" i="20"/>
  <c r="AA709" i="20"/>
  <c r="AA746" i="20"/>
  <c r="AA612" i="20"/>
  <c r="AA585" i="20"/>
  <c r="AA558" i="20"/>
  <c r="AA649" i="20"/>
  <c r="AA599" i="20"/>
  <c r="AA633" i="20"/>
  <c r="AA503" i="20"/>
  <c r="AA582" i="20"/>
  <c r="AA458" i="20"/>
  <c r="AA507" i="20"/>
  <c r="AA519" i="20"/>
  <c r="AA495" i="20"/>
  <c r="AA531" i="20"/>
  <c r="AA397" i="20"/>
  <c r="AA513" i="20"/>
  <c r="AA489" i="20"/>
  <c r="AA381" i="20"/>
  <c r="AA240" i="20"/>
  <c r="AA423" i="20"/>
  <c r="AA249" i="20"/>
  <c r="AA329" i="20"/>
  <c r="AA227" i="20"/>
  <c r="AA395" i="20"/>
  <c r="AA239" i="20"/>
  <c r="AA314" i="20"/>
  <c r="AA157" i="20"/>
  <c r="AA234" i="20"/>
  <c r="AA426" i="20"/>
  <c r="AA148" i="20"/>
  <c r="AA343" i="20"/>
  <c r="AA87" i="20"/>
  <c r="AA91" i="20"/>
  <c r="AA82" i="20"/>
  <c r="AA94" i="20"/>
  <c r="AA92" i="20"/>
  <c r="AA72" i="20"/>
  <c r="AA1355" i="20"/>
  <c r="AA1194" i="20"/>
  <c r="AA589" i="20"/>
  <c r="AA570" i="20"/>
  <c r="AA1338" i="20"/>
  <c r="AA1306" i="20"/>
  <c r="AA1273" i="20"/>
  <c r="AA1277" i="20"/>
  <c r="AA1158" i="20"/>
  <c r="AA1348" i="20"/>
  <c r="AA1319" i="20"/>
  <c r="AA1282" i="20"/>
  <c r="AA1320" i="20"/>
  <c r="AA1298" i="20"/>
  <c r="AA1268" i="20"/>
  <c r="AA1275" i="20"/>
  <c r="AA1256" i="20"/>
  <c r="AA1191" i="20"/>
  <c r="AA1168" i="20"/>
  <c r="AA1159" i="20"/>
  <c r="AA1119" i="20"/>
  <c r="AA1177" i="20"/>
  <c r="AA1095" i="20"/>
  <c r="AA1218" i="20"/>
  <c r="AA972" i="20"/>
  <c r="AA1092" i="20"/>
  <c r="AA848" i="20"/>
  <c r="AA980" i="20"/>
  <c r="AA947" i="20"/>
  <c r="AA806" i="20"/>
  <c r="AA856" i="20"/>
  <c r="AE796" i="20"/>
  <c r="AA863" i="20"/>
  <c r="AA783" i="20"/>
  <c r="AA754" i="20"/>
  <c r="AA690" i="20"/>
  <c r="AA638" i="20"/>
  <c r="AA888" i="20"/>
  <c r="AA695" i="20"/>
  <c r="AA653" i="20"/>
  <c r="AA592" i="20"/>
  <c r="AA600" i="20"/>
  <c r="AA643" i="20"/>
  <c r="AA581" i="20"/>
  <c r="AA552" i="20"/>
  <c r="AA571" i="20"/>
  <c r="AA703" i="20"/>
  <c r="AA613" i="20"/>
  <c r="AA501" i="20"/>
  <c r="AA537" i="20"/>
  <c r="AA482" i="20"/>
  <c r="AA492" i="20"/>
  <c r="AA410" i="20"/>
  <c r="AA383" i="20"/>
  <c r="AA290" i="20"/>
  <c r="AA377" i="20"/>
  <c r="AA237" i="20"/>
  <c r="AA247" i="20"/>
  <c r="AA326" i="20"/>
  <c r="AA224" i="20"/>
  <c r="AA453" i="20"/>
  <c r="AA156" i="20"/>
  <c r="AA213" i="20"/>
  <c r="AA203" i="20"/>
  <c r="AA106" i="20"/>
  <c r="AA138" i="20"/>
  <c r="AE123" i="20"/>
  <c r="AA236" i="20"/>
  <c r="AA154" i="20"/>
  <c r="AA218" i="20"/>
  <c r="AA132" i="20"/>
  <c r="AA208" i="20"/>
  <c r="AA178" i="20"/>
  <c r="AA81" i="20"/>
  <c r="AA41" i="20"/>
  <c r="AA40" i="20"/>
  <c r="AA77" i="20"/>
  <c r="AA61" i="20"/>
  <c r="AA115" i="20"/>
  <c r="AA1308" i="20"/>
  <c r="AA1123" i="20"/>
  <c r="AA1088" i="20"/>
  <c r="AA825" i="20"/>
  <c r="AA765" i="20"/>
  <c r="AA79" i="20"/>
  <c r="AA1374" i="20"/>
  <c r="AA1240" i="20"/>
  <c r="AA1241" i="20"/>
  <c r="AA1226" i="20"/>
  <c r="AA1147" i="20"/>
  <c r="AA1188" i="20"/>
  <c r="AA1026" i="20"/>
  <c r="AA1060" i="20"/>
  <c r="AA1025" i="20"/>
  <c r="AA967" i="20"/>
  <c r="AA871" i="20"/>
  <c r="AA879" i="20"/>
  <c r="AA885" i="20"/>
  <c r="AA809" i="20"/>
  <c r="AA861" i="20"/>
  <c r="AA857" i="20"/>
  <c r="AA780" i="20"/>
  <c r="AA851" i="20"/>
  <c r="AA696" i="20"/>
  <c r="AA791" i="20"/>
  <c r="AA710" i="20"/>
  <c r="AA683" i="20"/>
  <c r="AA632" i="20"/>
  <c r="AA755" i="20"/>
  <c r="AA707" i="20"/>
  <c r="AA743" i="20"/>
  <c r="AA657" i="20"/>
  <c r="AA525" i="20"/>
  <c r="AA676" i="20"/>
  <c r="AA640" i="20"/>
  <c r="AA500" i="20"/>
  <c r="AA574" i="20"/>
  <c r="AA624" i="20"/>
  <c r="AA494" i="20"/>
  <c r="AA474" i="20"/>
  <c r="AA472" i="20"/>
  <c r="AA486" i="20"/>
  <c r="AA409" i="20"/>
  <c r="AA374" i="20"/>
  <c r="AA370" i="20"/>
  <c r="AA464" i="20"/>
  <c r="AA368" i="20"/>
  <c r="AA429" i="20"/>
  <c r="AA364" i="20"/>
  <c r="AA371" i="20"/>
  <c r="AA465" i="20"/>
  <c r="AA269" i="20"/>
  <c r="AA143" i="20"/>
  <c r="AA212" i="20"/>
  <c r="AA313" i="20"/>
  <c r="AA176" i="20"/>
  <c r="AA75" i="20"/>
  <c r="AA666" i="20"/>
  <c r="AA30" i="20"/>
  <c r="AA80" i="20"/>
  <c r="AA95" i="20"/>
  <c r="AA70" i="20"/>
  <c r="AA1311" i="20"/>
  <c r="AA1238" i="20"/>
  <c r="AA1212" i="20"/>
  <c r="AA744" i="20"/>
  <c r="AA869" i="20"/>
  <c r="AA671" i="20"/>
  <c r="AA714" i="20"/>
  <c r="AA103" i="20"/>
  <c r="AA1378" i="20"/>
  <c r="AA1366" i="20"/>
  <c r="AA1261" i="20"/>
  <c r="AA1156" i="20"/>
  <c r="AA1358" i="20"/>
  <c r="AA1351" i="20"/>
  <c r="AA1297" i="20"/>
  <c r="AA1233" i="20"/>
  <c r="AA1236" i="20"/>
  <c r="AA1203" i="20"/>
  <c r="AA1253" i="20"/>
  <c r="AA1249" i="20"/>
  <c r="AA1144" i="20"/>
  <c r="AA1049" i="20"/>
  <c r="AA1139" i="20"/>
  <c r="AA1224" i="20"/>
  <c r="AA1209" i="20"/>
  <c r="AA1151" i="20"/>
  <c r="AA1166" i="20"/>
  <c r="AA1225" i="20"/>
  <c r="AA1059" i="20"/>
  <c r="AE1059" i="20"/>
  <c r="AA1068" i="20"/>
  <c r="AA1118" i="20"/>
  <c r="AA1148" i="20"/>
  <c r="AA1069" i="20"/>
  <c r="AA1053" i="20"/>
  <c r="AA1051" i="20"/>
  <c r="AA1170" i="20"/>
  <c r="AA1032" i="20"/>
  <c r="AA942" i="20"/>
  <c r="AA1037" i="20"/>
  <c r="AA1002" i="20"/>
  <c r="AA836" i="20"/>
  <c r="AA952" i="20"/>
  <c r="AA964" i="20"/>
  <c r="AE919" i="20"/>
  <c r="AA792" i="20"/>
  <c r="AA860" i="20"/>
  <c r="AA756" i="20"/>
  <c r="AA950" i="20"/>
  <c r="AA772" i="20"/>
  <c r="AE772" i="20"/>
  <c r="AA778" i="20"/>
  <c r="AA878" i="20"/>
  <c r="AE805" i="20"/>
  <c r="AA668" i="20"/>
  <c r="AA708" i="20"/>
  <c r="AA704" i="20"/>
  <c r="AA759" i="20"/>
  <c r="AA598" i="20"/>
  <c r="AA541" i="20"/>
  <c r="AA634" i="20"/>
  <c r="AA546" i="20"/>
  <c r="AA565" i="20"/>
  <c r="AA601" i="20"/>
  <c r="AA498" i="20"/>
  <c r="AA734" i="20"/>
  <c r="AA524" i="20"/>
  <c r="AA628" i="20"/>
  <c r="AA467" i="20"/>
  <c r="AA479" i="20"/>
  <c r="AA655" i="20"/>
  <c r="AA404" i="20"/>
  <c r="AA349" i="20"/>
  <c r="AE304" i="20"/>
  <c r="AA393" i="20"/>
  <c r="AA221" i="20"/>
  <c r="AA211" i="20"/>
  <c r="AA136" i="20"/>
  <c r="AA287" i="20"/>
  <c r="AA186" i="20"/>
  <c r="AA411" i="20"/>
  <c r="AA196" i="20"/>
  <c r="AA137" i="20"/>
  <c r="AA385" i="20"/>
  <c r="AA131" i="20"/>
  <c r="AA202" i="20"/>
  <c r="AA305" i="20"/>
  <c r="AA200" i="20"/>
  <c r="AA151" i="20"/>
  <c r="AA89" i="20"/>
  <c r="AA58" i="20"/>
  <c r="AA38" i="20"/>
  <c r="AA55" i="20"/>
  <c r="AA68" i="20"/>
  <c r="AA37" i="20"/>
  <c r="AA50" i="20"/>
  <c r="AA866" i="20"/>
  <c r="AA779" i="20"/>
  <c r="AA420" i="20"/>
  <c r="AA1352" i="20"/>
  <c r="AA1344" i="20"/>
  <c r="AA1219" i="20"/>
  <c r="AA1047" i="20"/>
  <c r="AE1047" i="20"/>
  <c r="AA1128" i="20"/>
  <c r="AA1153" i="20"/>
  <c r="AA1110" i="20"/>
  <c r="AA1090" i="20"/>
  <c r="AA939" i="20"/>
  <c r="AA948" i="20"/>
  <c r="AA1030" i="20"/>
  <c r="AA960" i="20"/>
  <c r="AA1124" i="20"/>
  <c r="AA854" i="20"/>
  <c r="AA855" i="20"/>
  <c r="AA803" i="20"/>
  <c r="AA691" i="20"/>
  <c r="AA908" i="20"/>
  <c r="AA702" i="20"/>
  <c r="AA753" i="20"/>
  <c r="AA635" i="20"/>
  <c r="AA725" i="20"/>
  <c r="AA639" i="20"/>
  <c r="AA590" i="20"/>
  <c r="AA510" i="20"/>
  <c r="AA575" i="20"/>
  <c r="AA667" i="20"/>
  <c r="AA609" i="20"/>
  <c r="AA631" i="20"/>
  <c r="AA595" i="20"/>
  <c r="AA550" i="20"/>
  <c r="AA497" i="20"/>
  <c r="AA462" i="20"/>
  <c r="AA584" i="20"/>
  <c r="AA477" i="20"/>
  <c r="AA459" i="20"/>
  <c r="AA471" i="20"/>
  <c r="AE475" i="20"/>
  <c r="AA475" i="20"/>
  <c r="AA359" i="20"/>
  <c r="AA353" i="20"/>
  <c r="AA450" i="20"/>
  <c r="AA386" i="20"/>
  <c r="AA358" i="20"/>
  <c r="AA323" i="20"/>
  <c r="AA438" i="20"/>
  <c r="AA205" i="20"/>
  <c r="AA207" i="20"/>
  <c r="AA193" i="20"/>
  <c r="AA130" i="20"/>
  <c r="AA124" i="20"/>
  <c r="AA311" i="20"/>
  <c r="AA32" i="20"/>
  <c r="AA73" i="20"/>
  <c r="AA46" i="20"/>
  <c r="AA1289" i="20"/>
  <c r="AA1127" i="20"/>
  <c r="AA1064" i="20"/>
  <c r="AA1007" i="20"/>
  <c r="AA884" i="20"/>
  <c r="AA627" i="20"/>
  <c r="AA1208" i="20"/>
  <c r="AA1231" i="20"/>
  <c r="AA1359" i="20"/>
  <c r="AA1361" i="20"/>
  <c r="AE1296" i="20"/>
  <c r="AE1309" i="20"/>
  <c r="AA1206" i="20"/>
  <c r="AA1267" i="20"/>
  <c r="AA1126" i="20"/>
  <c r="AA1192" i="20"/>
  <c r="AA1237" i="20"/>
  <c r="AA1199" i="20"/>
  <c r="AA1121" i="20"/>
  <c r="AA1175" i="20"/>
  <c r="AA1252" i="20"/>
  <c r="AA1161" i="20"/>
  <c r="AA1043" i="20"/>
  <c r="AA1105" i="20"/>
  <c r="AA1129" i="20"/>
  <c r="AA1014" i="20"/>
  <c r="AA913" i="20"/>
  <c r="AA934" i="20"/>
  <c r="AA933" i="20"/>
  <c r="AA1038" i="20"/>
  <c r="AA966" i="20"/>
  <c r="AA864" i="20"/>
  <c r="AA735" i="20"/>
  <c r="AA847" i="20"/>
  <c r="AA838" i="20"/>
  <c r="AA875" i="20"/>
  <c r="AA859" i="20"/>
  <c r="AE829" i="20"/>
  <c r="AA741" i="20"/>
  <c r="AA789" i="20"/>
  <c r="AE660" i="20"/>
  <c r="AA688" i="20"/>
  <c r="AA839" i="20"/>
  <c r="AA673" i="20"/>
  <c r="AA629" i="20"/>
  <c r="AA622" i="20"/>
  <c r="AA723" i="20"/>
  <c r="AA587" i="20"/>
  <c r="AA597" i="20"/>
  <c r="AA517" i="20"/>
  <c r="AA556" i="20"/>
  <c r="AA679" i="20"/>
  <c r="AA568" i="20"/>
  <c r="AE616" i="20"/>
  <c r="AA476" i="20"/>
  <c r="AA514" i="20"/>
  <c r="AA586" i="20"/>
  <c r="AA400" i="20"/>
  <c r="AA267" i="20"/>
  <c r="AA222" i="20"/>
  <c r="AA402" i="20"/>
  <c r="AA281" i="20"/>
  <c r="AA414" i="20"/>
  <c r="AA344" i="20"/>
  <c r="AE419" i="20"/>
  <c r="AA337" i="20"/>
  <c r="AA367" i="20"/>
  <c r="AE289" i="20"/>
  <c r="AA119" i="20"/>
  <c r="AA190" i="20"/>
  <c r="AA422" i="20"/>
  <c r="AA187" i="20"/>
  <c r="AA317" i="20"/>
  <c r="AA206" i="20"/>
  <c r="AA105" i="20"/>
  <c r="AA191" i="20"/>
  <c r="AA284" i="20"/>
  <c r="AA155" i="20"/>
  <c r="AA57" i="20"/>
  <c r="AA145" i="20"/>
  <c r="AA67" i="20"/>
  <c r="AA34" i="20"/>
  <c r="AA59" i="20"/>
  <c r="AA76" i="20"/>
  <c r="AA1179" i="20"/>
  <c r="AA924" i="20"/>
  <c r="AA563" i="20"/>
  <c r="AA651" i="20"/>
  <c r="AA1343" i="20"/>
  <c r="AA1381" i="20"/>
  <c r="AA1362" i="20"/>
  <c r="AA1283" i="20"/>
  <c r="AA1234" i="20"/>
  <c r="AA1247" i="20"/>
  <c r="AA1197" i="20"/>
  <c r="AA1182" i="20"/>
  <c r="AA1162" i="20"/>
  <c r="AA1137" i="20"/>
  <c r="AA1070" i="20"/>
  <c r="AA1221" i="20"/>
  <c r="AA1201" i="20"/>
  <c r="AA1061" i="20"/>
  <c r="AA1099" i="20"/>
  <c r="AA1093" i="20"/>
  <c r="AA1136" i="20"/>
  <c r="AA1140" i="20"/>
  <c r="AA1130" i="20"/>
  <c r="AA1019" i="20"/>
  <c r="AA965" i="20"/>
  <c r="AA997" i="20"/>
  <c r="AA732" i="20"/>
  <c r="AA815" i="20"/>
  <c r="AA850" i="20"/>
  <c r="AA845" i="20"/>
  <c r="AA853" i="20"/>
  <c r="AA833" i="20"/>
  <c r="AA787" i="20"/>
  <c r="AA684" i="20"/>
  <c r="AA713" i="20"/>
  <c r="AA692" i="20"/>
  <c r="AA588" i="20"/>
  <c r="AA596" i="20"/>
  <c r="AA593" i="20"/>
  <c r="AA619" i="20"/>
  <c r="AA637" i="20"/>
  <c r="AA457" i="20"/>
  <c r="AA529" i="20"/>
  <c r="AA468" i="20"/>
  <c r="AA361" i="20"/>
  <c r="AA346" i="20"/>
  <c r="AA219" i="20"/>
  <c r="AA355" i="20"/>
  <c r="AA452" i="20"/>
  <c r="AA446" i="20"/>
  <c r="AA347" i="20"/>
  <c r="AA340" i="20"/>
  <c r="AA428" i="20"/>
  <c r="AA365" i="20"/>
  <c r="AA308" i="20"/>
  <c r="AA149" i="20"/>
  <c r="AA184" i="20"/>
  <c r="AA275" i="20"/>
  <c r="AA251" i="20"/>
  <c r="AA56" i="20"/>
  <c r="AA49" i="20"/>
  <c r="AA53" i="20"/>
  <c r="AE100" i="20"/>
  <c r="AA930" i="20"/>
  <c r="AA821" i="20"/>
  <c r="AA904" i="20"/>
  <c r="AA656" i="20"/>
  <c r="AA646" i="20"/>
  <c r="AA1354" i="20"/>
  <c r="AA1342" i="20"/>
  <c r="AA1336" i="20"/>
  <c r="AA1379" i="20"/>
  <c r="AA1372" i="20"/>
  <c r="AE1368" i="20"/>
  <c r="AA1368" i="20"/>
  <c r="AA1317" i="20"/>
  <c r="AA1288" i="20"/>
  <c r="AA1250" i="20"/>
  <c r="AA1232" i="20"/>
  <c r="AA1215" i="20"/>
  <c r="AA1227" i="20"/>
  <c r="AA1154" i="20"/>
  <c r="AA1120" i="20"/>
  <c r="AA1196" i="20"/>
  <c r="AA1246" i="20"/>
  <c r="AA1141" i="20"/>
  <c r="AA1181" i="20"/>
  <c r="AA1164" i="20"/>
  <c r="AA1152" i="20"/>
  <c r="AA999" i="20"/>
  <c r="AA958" i="20"/>
  <c r="AA800" i="20"/>
  <c r="AA718" i="20"/>
  <c r="AA912" i="20"/>
  <c r="AA677" i="20"/>
  <c r="AA837" i="20"/>
  <c r="AA790" i="20"/>
  <c r="AE731" i="20"/>
  <c r="AA689" i="20"/>
  <c r="AA698" i="20"/>
  <c r="AA618" i="20"/>
  <c r="AA562" i="20"/>
  <c r="AA674" i="20"/>
  <c r="AA569" i="20"/>
  <c r="AA716" i="20"/>
  <c r="AA547" i="20"/>
  <c r="AA512" i="20"/>
  <c r="AA456" i="20"/>
  <c r="AA576" i="20"/>
  <c r="AA216" i="20"/>
  <c r="AE394" i="20"/>
  <c r="AA384" i="20"/>
  <c r="AE292" i="20"/>
  <c r="AA356" i="20"/>
  <c r="AA248" i="20"/>
  <c r="AA173" i="20"/>
  <c r="AA114" i="20"/>
  <c r="AA180" i="20"/>
  <c r="AA93" i="20"/>
  <c r="AA185" i="20"/>
  <c r="AA139" i="20"/>
  <c r="AA112" i="20"/>
  <c r="AA71" i="20"/>
  <c r="AA86" i="20"/>
  <c r="AA35" i="20"/>
  <c r="AA44" i="20"/>
  <c r="AA1174" i="20"/>
  <c r="AA876" i="20"/>
  <c r="AA664" i="20"/>
  <c r="AA557" i="20"/>
  <c r="AA522" i="20"/>
  <c r="AA1318" i="20"/>
  <c r="AA1281" i="20"/>
  <c r="AE1211" i="20"/>
  <c r="AA1202" i="20"/>
  <c r="AA1259" i="20"/>
  <c r="AA1264" i="20"/>
  <c r="AA1195" i="20"/>
  <c r="AA1150" i="20"/>
  <c r="AA1220" i="20"/>
  <c r="AA1109" i="20"/>
  <c r="AA1116" i="20"/>
  <c r="AA1057" i="20"/>
  <c r="AA1020" i="20"/>
  <c r="AA1104" i="20"/>
  <c r="AA1138" i="20"/>
  <c r="AA1115" i="20"/>
  <c r="AA1008" i="20"/>
  <c r="AA1003" i="20"/>
  <c r="AA994" i="20"/>
  <c r="AA918" i="20"/>
  <c r="AA961" i="20"/>
  <c r="AA830" i="20"/>
  <c r="AA720" i="20"/>
  <c r="AA795" i="20"/>
  <c r="AA932" i="20"/>
  <c r="AA798" i="20"/>
  <c r="AA929" i="20"/>
  <c r="AA782" i="20"/>
  <c r="AA758" i="20"/>
  <c r="AA729" i="20"/>
  <c r="AA594" i="20"/>
  <c r="AA604" i="20"/>
  <c r="AA645" i="20"/>
  <c r="AA625" i="20"/>
  <c r="AA607" i="20"/>
  <c r="AA675" i="20"/>
  <c r="AA534" i="20"/>
  <c r="AA553" i="20"/>
  <c r="AA540" i="20"/>
  <c r="AA473" i="20"/>
  <c r="AA491" i="20"/>
  <c r="AA488" i="20"/>
  <c r="AA536" i="20"/>
  <c r="AA350" i="20"/>
  <c r="AA341" i="20"/>
  <c r="AA392" i="20"/>
  <c r="AA439" i="20"/>
  <c r="AA273" i="20"/>
  <c r="AA335" i="20"/>
  <c r="AA401" i="20"/>
  <c r="AA483" i="20"/>
  <c r="AA352" i="20"/>
  <c r="AA179" i="20"/>
  <c r="AA302" i="20"/>
  <c r="AA338" i="20"/>
  <c r="AA174" i="20"/>
  <c r="AA299" i="20"/>
  <c r="AA65" i="20"/>
  <c r="AA88" i="20"/>
  <c r="AA31" i="20"/>
  <c r="AA109" i="20"/>
  <c r="AA85" i="20"/>
  <c r="AA52" i="20"/>
  <c r="AA1094" i="20"/>
  <c r="AA1052" i="20"/>
  <c r="AA824" i="20"/>
  <c r="AA319" i="20"/>
  <c r="AA168" i="20"/>
  <c r="AA1347" i="20"/>
  <c r="AA1292" i="20"/>
  <c r="AA1262" i="20"/>
  <c r="AA1326" i="20"/>
  <c r="AE1326" i="20"/>
  <c r="AE1302" i="20"/>
  <c r="AA1339" i="20"/>
  <c r="AA1200" i="20"/>
  <c r="AA1301" i="20"/>
  <c r="AA1230" i="20"/>
  <c r="AA1184" i="20"/>
  <c r="AA1096" i="20"/>
  <c r="AA1103" i="20"/>
  <c r="AA1056" i="20"/>
  <c r="AE1112" i="20"/>
  <c r="AA1112" i="20"/>
  <c r="AA1214" i="20"/>
  <c r="AA1054" i="20"/>
  <c r="AA1082" i="20"/>
  <c r="AA1080" i="20"/>
  <c r="AA1146" i="20"/>
  <c r="AA955" i="20"/>
  <c r="AA903" i="20"/>
  <c r="AA910" i="20"/>
  <c r="AA959" i="20"/>
  <c r="AA870" i="20"/>
  <c r="AA747" i="20"/>
  <c r="AA770" i="20"/>
  <c r="AA728" i="20"/>
  <c r="AA662" i="20"/>
  <c r="AA827" i="20"/>
  <c r="AA722" i="20"/>
  <c r="AA697" i="20"/>
  <c r="AA685" i="20"/>
  <c r="AE672" i="20"/>
  <c r="AA818" i="20"/>
  <c r="AA686" i="20"/>
  <c r="AA670" i="20"/>
  <c r="AA661" i="20"/>
  <c r="AA583" i="20"/>
  <c r="AA621" i="20"/>
  <c r="AA527" i="20"/>
  <c r="AA559" i="20"/>
  <c r="AA528" i="20"/>
  <c r="AE229" i="20"/>
  <c r="AA229" i="20"/>
  <c r="AA435" i="20"/>
  <c r="AA373" i="20"/>
  <c r="AA332" i="20"/>
  <c r="AA320" i="20"/>
  <c r="AA261" i="20"/>
  <c r="AA215" i="20"/>
  <c r="AA263" i="20"/>
  <c r="AA266" i="20"/>
  <c r="AA125" i="20"/>
  <c r="AA197" i="20"/>
  <c r="AA33" i="20"/>
  <c r="AA64" i="20"/>
  <c r="AA47" i="20"/>
  <c r="AA127" i="20"/>
  <c r="AE902" i="20"/>
  <c r="AE982" i="20"/>
  <c r="AE102" i="20"/>
  <c r="AE896" i="20"/>
  <c r="AE727" i="20"/>
  <c r="AE295" i="20"/>
  <c r="AE147" i="20"/>
  <c r="AE245" i="20"/>
  <c r="AE1009" i="20"/>
  <c r="AE1223" i="20"/>
  <c r="AE201" i="20"/>
  <c r="AE1058" i="20"/>
  <c r="AE719" i="20"/>
  <c r="AE463" i="20"/>
  <c r="AE832" i="20"/>
  <c r="AE117" i="20"/>
  <c r="AE48" i="20"/>
  <c r="AE1217" i="20"/>
  <c r="AE893" i="20"/>
  <c r="AE298" i="20"/>
  <c r="AE542" i="20"/>
  <c r="AE1131" i="20"/>
  <c r="AE1276" i="20"/>
  <c r="AE648" i="20"/>
  <c r="AE1036" i="20"/>
  <c r="AE1291" i="20"/>
  <c r="AE265" i="20"/>
  <c r="AE603" i="20"/>
  <c r="AE1327" i="20"/>
  <c r="AE1331" i="20"/>
  <c r="AE1012" i="20"/>
  <c r="AE1077" i="20"/>
  <c r="AE820" i="20"/>
  <c r="AE1380" i="20"/>
  <c r="AM1380" i="20"/>
  <c r="AE1377" i="20"/>
  <c r="AM1377" i="20"/>
  <c r="AE1375" i="20"/>
  <c r="AM1375" i="20"/>
  <c r="AE1373" i="20"/>
  <c r="AM1373" i="20"/>
  <c r="AE1371" i="20"/>
  <c r="AM1371" i="20"/>
  <c r="AE1370" i="20"/>
  <c r="AM1370" i="20"/>
  <c r="AE1369" i="20"/>
  <c r="AM1369" i="20"/>
  <c r="AE1365" i="20"/>
  <c r="AM1365" i="20"/>
  <c r="AE1364" i="20"/>
  <c r="AM1364" i="20"/>
  <c r="AE1363" i="20"/>
  <c r="AM1363" i="20"/>
  <c r="AE1349" i="20"/>
  <c r="AM1349" i="20"/>
  <c r="AE1341" i="20"/>
  <c r="AM1341" i="20"/>
  <c r="AE1334" i="20"/>
  <c r="AM1334" i="20"/>
  <c r="AE1329" i="20"/>
  <c r="AM1329" i="20"/>
  <c r="AE1328" i="20"/>
  <c r="AM1328" i="20"/>
  <c r="AE1325" i="20"/>
  <c r="AM1325" i="20"/>
  <c r="AE1324" i="20"/>
  <c r="AM1324" i="20"/>
  <c r="AE1323" i="20"/>
  <c r="AM1323" i="20"/>
  <c r="AE1322" i="20"/>
  <c r="AM1322" i="20"/>
  <c r="AE1321" i="20"/>
  <c r="AM1321" i="20"/>
  <c r="AE1312" i="20"/>
  <c r="AM1312" i="20"/>
  <c r="AE1310" i="20"/>
  <c r="AM1310" i="20"/>
  <c r="AE1305" i="20"/>
  <c r="AM1305" i="20"/>
  <c r="AE1304" i="20"/>
  <c r="AM1304" i="20"/>
  <c r="AE1303" i="20"/>
  <c r="AM1303" i="20"/>
  <c r="AE1299" i="20"/>
  <c r="AM1299" i="20"/>
  <c r="AE1295" i="20"/>
  <c r="AM1295" i="20"/>
  <c r="AE1294" i="20"/>
  <c r="AM1294" i="20"/>
  <c r="AE1293" i="20"/>
  <c r="AM1293" i="20"/>
  <c r="AE1286" i="20"/>
  <c r="AM1286" i="20"/>
  <c r="AE1285" i="20"/>
  <c r="AM1285" i="20"/>
  <c r="AE1272" i="20"/>
  <c r="AM1272" i="20"/>
  <c r="AE1270" i="20"/>
  <c r="AM1270" i="20"/>
  <c r="AE1269" i="20"/>
  <c r="AM1269" i="20"/>
  <c r="AE1266" i="20"/>
  <c r="AM1266" i="20"/>
  <c r="AE1265" i="20"/>
  <c r="AM1265" i="20"/>
  <c r="AE1263" i="20"/>
  <c r="AM1263" i="20"/>
  <c r="AE1260" i="20"/>
  <c r="AM1260" i="20"/>
  <c r="AE1254" i="20"/>
  <c r="AM1254" i="20"/>
  <c r="AE1251" i="20"/>
  <c r="AM1251" i="20"/>
  <c r="AE1235" i="20"/>
  <c r="AM1235" i="20"/>
  <c r="AE1229" i="20"/>
  <c r="AM1229" i="20"/>
  <c r="AE1228" i="20"/>
  <c r="AM1228" i="20"/>
  <c r="AE1216" i="20"/>
  <c r="AM1216" i="20"/>
  <c r="AE1210" i="20"/>
  <c r="AM1210" i="20"/>
  <c r="AE1205" i="20"/>
  <c r="AM1205" i="20"/>
  <c r="AE1200" i="20"/>
  <c r="AM1200" i="20"/>
  <c r="AE1199" i="20"/>
  <c r="AM1199" i="20"/>
  <c r="AE1193" i="20"/>
  <c r="AM1193" i="20"/>
  <c r="AE1190" i="20"/>
  <c r="AM1190" i="20"/>
  <c r="AE1189" i="20"/>
  <c r="AM1189" i="20"/>
  <c r="AE1187" i="20"/>
  <c r="AM1187" i="20"/>
  <c r="AE1185" i="20"/>
  <c r="AM1185" i="20"/>
  <c r="AE1180" i="20"/>
  <c r="AM1180" i="20"/>
  <c r="AE1178" i="20"/>
  <c r="AM1178" i="20"/>
  <c r="AE1176" i="20"/>
  <c r="AM1176" i="20"/>
  <c r="AE1175" i="20"/>
  <c r="AM1175" i="20"/>
  <c r="AE1173" i="20"/>
  <c r="AM1173" i="20"/>
  <c r="AE1172" i="20"/>
  <c r="AM1172" i="20"/>
  <c r="AE1171" i="20"/>
  <c r="AM1171" i="20"/>
  <c r="AE1169" i="20"/>
  <c r="AM1169" i="20"/>
  <c r="AE1167" i="20"/>
  <c r="AM1167" i="20"/>
  <c r="AE1166" i="20"/>
  <c r="AM1166" i="20"/>
  <c r="AE1163" i="20"/>
  <c r="AM1163" i="20"/>
  <c r="AE1161" i="20"/>
  <c r="AM1161" i="20"/>
  <c r="AE1160" i="20"/>
  <c r="AM1160" i="20"/>
  <c r="AE1159" i="20"/>
  <c r="AM1159" i="20"/>
  <c r="AE1157" i="20"/>
  <c r="AM1157" i="20"/>
  <c r="AE1155" i="20"/>
  <c r="AM1155" i="20"/>
  <c r="AE1151" i="20"/>
  <c r="AM1151" i="20"/>
  <c r="AE1149" i="20"/>
  <c r="AM1149" i="20"/>
  <c r="AE1145" i="20"/>
  <c r="AM1145" i="20"/>
  <c r="AE1143" i="20"/>
  <c r="AM1143" i="20"/>
  <c r="AE1135" i="20"/>
  <c r="AM1135" i="20"/>
  <c r="AE1133" i="20"/>
  <c r="AM1133" i="20"/>
  <c r="AE1125" i="20"/>
  <c r="AM1125" i="20"/>
  <c r="AE1122" i="20"/>
  <c r="AM1122" i="20"/>
  <c r="AE1114" i="20"/>
  <c r="AM1114" i="20"/>
  <c r="AE1113" i="20"/>
  <c r="AM1113" i="20"/>
  <c r="AE1108" i="20"/>
  <c r="AM1108" i="20"/>
  <c r="AE1106" i="20"/>
  <c r="AM1106" i="20"/>
  <c r="AE1105" i="20"/>
  <c r="AM1105" i="20"/>
  <c r="AE1102" i="20"/>
  <c r="AM1102" i="20"/>
  <c r="AE1101" i="20"/>
  <c r="AM1101" i="20"/>
  <c r="AE1100" i="20"/>
  <c r="AM1100" i="20"/>
  <c r="AE1089" i="20"/>
  <c r="AM1089" i="20"/>
  <c r="AE1087" i="20"/>
  <c r="AM1087" i="20"/>
  <c r="AE1083" i="20"/>
  <c r="AM1083" i="20"/>
  <c r="AE1078" i="20"/>
  <c r="AM1078" i="20"/>
  <c r="AE1076" i="20"/>
  <c r="AM1076" i="20"/>
  <c r="AE1074" i="20"/>
  <c r="AM1074" i="20"/>
  <c r="AE1073" i="20"/>
  <c r="AM1073" i="20"/>
  <c r="AE1072" i="20"/>
  <c r="AM1072" i="20"/>
  <c r="AE1071" i="20"/>
  <c r="AM1071" i="20"/>
  <c r="AE1066" i="20"/>
  <c r="AM1066" i="20"/>
  <c r="AE1065" i="20"/>
  <c r="AM1065" i="20"/>
  <c r="AE1063" i="20"/>
  <c r="AM1063" i="20"/>
  <c r="AE1062" i="20"/>
  <c r="AM1062" i="20"/>
  <c r="AE1046" i="20"/>
  <c r="AM1046" i="20"/>
  <c r="AE1045" i="20"/>
  <c r="AM1045" i="20"/>
  <c r="AE1043" i="20"/>
  <c r="AM1043" i="20"/>
  <c r="AE1041" i="20"/>
  <c r="AM1041" i="20"/>
  <c r="AE1040" i="20"/>
  <c r="AM1040" i="20"/>
  <c r="AE1039" i="20"/>
  <c r="AM1039" i="20"/>
  <c r="AE1034" i="20"/>
  <c r="AE1033" i="20"/>
  <c r="AM1033" i="20"/>
  <c r="AE1031" i="20"/>
  <c r="AM1031" i="20"/>
  <c r="AE1030" i="20"/>
  <c r="AM1030" i="20"/>
  <c r="AE1028" i="20"/>
  <c r="AM1028" i="20"/>
  <c r="AE1027" i="20"/>
  <c r="AM1027" i="20"/>
  <c r="AE1023" i="20"/>
  <c r="AM1023" i="20"/>
  <c r="AE1022" i="20"/>
  <c r="AM1022" i="20"/>
  <c r="AE1021" i="20"/>
  <c r="AM1021" i="20"/>
  <c r="AE1018" i="20"/>
  <c r="AM1018" i="20"/>
  <c r="AE1015" i="20"/>
  <c r="AM1015" i="20"/>
  <c r="AE1011" i="20"/>
  <c r="AM1011" i="20"/>
  <c r="AE1010" i="20"/>
  <c r="AM1010" i="20"/>
  <c r="AE1006" i="20"/>
  <c r="AM1006" i="20"/>
  <c r="AE1005" i="20"/>
  <c r="AM1005" i="20"/>
  <c r="AE1001" i="20"/>
  <c r="AM1001" i="20"/>
  <c r="AE1000" i="20"/>
  <c r="AM1000" i="20"/>
  <c r="AE998" i="20"/>
  <c r="AM998" i="20"/>
  <c r="AE993" i="20"/>
  <c r="AM993" i="20"/>
  <c r="AE991" i="20"/>
  <c r="AM991" i="20"/>
  <c r="AE990" i="20"/>
  <c r="AM990" i="20"/>
  <c r="AE989" i="20"/>
  <c r="AM989" i="20"/>
  <c r="AE988" i="20"/>
  <c r="AM988" i="20"/>
  <c r="AE983" i="20"/>
  <c r="AM983" i="20"/>
  <c r="AE981" i="20"/>
  <c r="AM981" i="20"/>
  <c r="AE977" i="20"/>
  <c r="AM977" i="20"/>
  <c r="AE976" i="20"/>
  <c r="AM976" i="20"/>
  <c r="AE974" i="20"/>
  <c r="AM974" i="20"/>
  <c r="AE971" i="20"/>
  <c r="AM971" i="20"/>
  <c r="AE970" i="20"/>
  <c r="AM970" i="20"/>
  <c r="AE968" i="20"/>
  <c r="AM968" i="20"/>
  <c r="AE963" i="20"/>
  <c r="AM963" i="20"/>
  <c r="AE962" i="20"/>
  <c r="AM962" i="20"/>
  <c r="AE957" i="20"/>
  <c r="AM957" i="20"/>
  <c r="AE956" i="20"/>
  <c r="AM956" i="20"/>
  <c r="AE951" i="20"/>
  <c r="AM951" i="20"/>
  <c r="AE949" i="20"/>
  <c r="AM949" i="20"/>
  <c r="AE945" i="20"/>
  <c r="AM945" i="20"/>
  <c r="AE944" i="20"/>
  <c r="AM944" i="20"/>
  <c r="AE941" i="20"/>
  <c r="AM941" i="20"/>
  <c r="AE938" i="20"/>
  <c r="AM938" i="20"/>
  <c r="AE935" i="20"/>
  <c r="AM935" i="20"/>
  <c r="AE934" i="20"/>
  <c r="AM934" i="20"/>
  <c r="AE928" i="20"/>
  <c r="AM928" i="20"/>
  <c r="AE927" i="20"/>
  <c r="AM927" i="20"/>
  <c r="AE926" i="20"/>
  <c r="AM926" i="20"/>
  <c r="AE923" i="20"/>
  <c r="AM923" i="20"/>
  <c r="AE922" i="20"/>
  <c r="AM922" i="20"/>
  <c r="AE917" i="20"/>
  <c r="AM917" i="20"/>
  <c r="AE916" i="20"/>
  <c r="AM916" i="20"/>
  <c r="AE914" i="20"/>
  <c r="AM914" i="20"/>
  <c r="AE911" i="20"/>
  <c r="AM911" i="20"/>
  <c r="AE900" i="20"/>
  <c r="AM900" i="20"/>
  <c r="AE899" i="20"/>
  <c r="AM899" i="20"/>
  <c r="AE894" i="20"/>
  <c r="AM894" i="20"/>
  <c r="AE892" i="20"/>
  <c r="AM892" i="20"/>
  <c r="AE890" i="20"/>
  <c r="AM890" i="20"/>
  <c r="AE886" i="20"/>
  <c r="AM886" i="20"/>
  <c r="AE883" i="20"/>
  <c r="AM883" i="20"/>
  <c r="AE882" i="20"/>
  <c r="AM882" i="20"/>
  <c r="AE881" i="20"/>
  <c r="AM881" i="20"/>
  <c r="AE880" i="20"/>
  <c r="AM880" i="20"/>
  <c r="AE877" i="20"/>
  <c r="AM877" i="20"/>
  <c r="AE872" i="20"/>
  <c r="AM872" i="20"/>
  <c r="AE868" i="20"/>
  <c r="AM868" i="20"/>
  <c r="AE865" i="20"/>
  <c r="AM865" i="20"/>
  <c r="AE863" i="20"/>
  <c r="AM863" i="20"/>
  <c r="AE855" i="20"/>
  <c r="AM855" i="20"/>
  <c r="AE848" i="20"/>
  <c r="AM848" i="20"/>
  <c r="AE844" i="20"/>
  <c r="AM844" i="20"/>
  <c r="AE841" i="20"/>
  <c r="AM841" i="20"/>
  <c r="AE840" i="20"/>
  <c r="AM840" i="20"/>
  <c r="AE838" i="20"/>
  <c r="AM838" i="20"/>
  <c r="AE836" i="20"/>
  <c r="AM836" i="20"/>
  <c r="AE835" i="20"/>
  <c r="AM835" i="20"/>
  <c r="AE834" i="20"/>
  <c r="AM834" i="20"/>
  <c r="AE826" i="20"/>
  <c r="AM826" i="20"/>
  <c r="AE823" i="20"/>
  <c r="AM823" i="20"/>
  <c r="AE819" i="20"/>
  <c r="AM819" i="20"/>
  <c r="AE817" i="20"/>
  <c r="AM817" i="20"/>
  <c r="AE816" i="20"/>
  <c r="AM816" i="20"/>
  <c r="AE814" i="20"/>
  <c r="AM814" i="20"/>
  <c r="AE813" i="20"/>
  <c r="AM813" i="20"/>
  <c r="AE811" i="20"/>
  <c r="AM811" i="20"/>
  <c r="AE810" i="20"/>
  <c r="AM810" i="20"/>
  <c r="AE808" i="20"/>
  <c r="AM808" i="20"/>
  <c r="AE807" i="20"/>
  <c r="AM807" i="20"/>
  <c r="AE804" i="20"/>
  <c r="AM804" i="20"/>
  <c r="AE802" i="20"/>
  <c r="AM802" i="20"/>
  <c r="AE801" i="20"/>
  <c r="AM801" i="20"/>
  <c r="AE799" i="20"/>
  <c r="AM799" i="20"/>
  <c r="AE794" i="20"/>
  <c r="AM794" i="20"/>
  <c r="AE793" i="20"/>
  <c r="AM793" i="20"/>
  <c r="AE788" i="20"/>
  <c r="AM788" i="20"/>
  <c r="AE785" i="20"/>
  <c r="AM785" i="20"/>
  <c r="AE784" i="20"/>
  <c r="AM784" i="20"/>
  <c r="AE776" i="20"/>
  <c r="AM776" i="20"/>
  <c r="AE773" i="20"/>
  <c r="AM773" i="20"/>
  <c r="AE771" i="20"/>
  <c r="AM771" i="20"/>
  <c r="AE769" i="20"/>
  <c r="AM769" i="20"/>
  <c r="AE767" i="20"/>
  <c r="AM767" i="20"/>
  <c r="AE764" i="20"/>
  <c r="AM764" i="20"/>
  <c r="AE761" i="20"/>
  <c r="AM761" i="20"/>
  <c r="AE760" i="20"/>
  <c r="AM760" i="20"/>
  <c r="AE754" i="20"/>
  <c r="AM754" i="20"/>
  <c r="AE752" i="20"/>
  <c r="AM752" i="20"/>
  <c r="AE751" i="20"/>
  <c r="AM751" i="20"/>
  <c r="AE750" i="20"/>
  <c r="AM750" i="20"/>
  <c r="AE749" i="20"/>
  <c r="AM749" i="20"/>
  <c r="AE745" i="20"/>
  <c r="AM745" i="20"/>
  <c r="AE740" i="20"/>
  <c r="AM740" i="20"/>
  <c r="AE739" i="20"/>
  <c r="AM739" i="20"/>
  <c r="AE737" i="20"/>
  <c r="AM737" i="20"/>
  <c r="AE733" i="20"/>
  <c r="AM733" i="20"/>
  <c r="AE730" i="20"/>
  <c r="AM730" i="20"/>
  <c r="AE726" i="20"/>
  <c r="AM726" i="20"/>
  <c r="AE724" i="20"/>
  <c r="AM724" i="20"/>
  <c r="AE721" i="20"/>
  <c r="AM721" i="20"/>
  <c r="AE718" i="20"/>
  <c r="AM718" i="20"/>
  <c r="AE712" i="20"/>
  <c r="AM712" i="20"/>
  <c r="AE711" i="20"/>
  <c r="AM711" i="20"/>
  <c r="AE706" i="20"/>
  <c r="AM706" i="20"/>
  <c r="AE705" i="20"/>
  <c r="AM705" i="20"/>
  <c r="AE700" i="20"/>
  <c r="AM700" i="20"/>
  <c r="AE694" i="20"/>
  <c r="AM694" i="20"/>
  <c r="AE693" i="20"/>
  <c r="AM693" i="20"/>
  <c r="AE687" i="20"/>
  <c r="AM687" i="20"/>
  <c r="AE682" i="20"/>
  <c r="AM682" i="20"/>
  <c r="AE681" i="20"/>
  <c r="AM681" i="20"/>
  <c r="AE680" i="20"/>
  <c r="AM680" i="20"/>
  <c r="AE678" i="20"/>
  <c r="AM678" i="20"/>
  <c r="AE675" i="20"/>
  <c r="AM675" i="20"/>
  <c r="AE669" i="20"/>
  <c r="AM669" i="20"/>
  <c r="AE667" i="20"/>
  <c r="AM667" i="20"/>
  <c r="AE663" i="20"/>
  <c r="AM663" i="20"/>
  <c r="AE659" i="20"/>
  <c r="AM659" i="20"/>
  <c r="AE654" i="20"/>
  <c r="AM654" i="20"/>
  <c r="AE653" i="20"/>
  <c r="AM653" i="20"/>
  <c r="AE647" i="20"/>
  <c r="AM647" i="20"/>
  <c r="AE642" i="20"/>
  <c r="AM642" i="20"/>
  <c r="AE641" i="20"/>
  <c r="AM641" i="20"/>
  <c r="AE636" i="20"/>
  <c r="AM636" i="20"/>
  <c r="AE635" i="20"/>
  <c r="AM635" i="20"/>
  <c r="AE630" i="20"/>
  <c r="AM630" i="20"/>
  <c r="AE629" i="20"/>
  <c r="AM629" i="20"/>
  <c r="AE623" i="20"/>
  <c r="AM623" i="20"/>
  <c r="AE620" i="20"/>
  <c r="AM620" i="20"/>
  <c r="AE617" i="20"/>
  <c r="AM617" i="20"/>
  <c r="AE615" i="20"/>
  <c r="AM615" i="20"/>
  <c r="AE614" i="20"/>
  <c r="AM614" i="20"/>
  <c r="AE611" i="20"/>
  <c r="AM611" i="20"/>
  <c r="AE606" i="20"/>
  <c r="AM606" i="20"/>
  <c r="AE591" i="20"/>
  <c r="AM591" i="20"/>
  <c r="AE579" i="20"/>
  <c r="AM579" i="20"/>
  <c r="AE573" i="20"/>
  <c r="AM573" i="20"/>
  <c r="AE567" i="20"/>
  <c r="AM567" i="20"/>
  <c r="AE566" i="20"/>
  <c r="AM566" i="20"/>
  <c r="AE560" i="20"/>
  <c r="AM560" i="20"/>
  <c r="AE558" i="20"/>
  <c r="AM558" i="20"/>
  <c r="AE555" i="20"/>
  <c r="AM555" i="20"/>
  <c r="AE551" i="20"/>
  <c r="AM551" i="20"/>
  <c r="AE549" i="20"/>
  <c r="AM549" i="20"/>
  <c r="AE548" i="20"/>
  <c r="AM548" i="20"/>
  <c r="AE545" i="20"/>
  <c r="AM545" i="20"/>
  <c r="AE543" i="20"/>
  <c r="AM543" i="20"/>
  <c r="AE539" i="20"/>
  <c r="AM539" i="20"/>
  <c r="AE535" i="20"/>
  <c r="AM535" i="20"/>
  <c r="AE533" i="20"/>
  <c r="AM533" i="20"/>
  <c r="AE532" i="20"/>
  <c r="AM532" i="20"/>
  <c r="AE530" i="20"/>
  <c r="AM530" i="20"/>
  <c r="AE527" i="20"/>
  <c r="AM527" i="20"/>
  <c r="AE523" i="20"/>
  <c r="AM523" i="20"/>
  <c r="AE521" i="20"/>
  <c r="AM521" i="20"/>
  <c r="AE520" i="20"/>
  <c r="AM520" i="20"/>
  <c r="AE518" i="20"/>
  <c r="AM518" i="20"/>
  <c r="AE516" i="20"/>
  <c r="AM516" i="20"/>
  <c r="AE509" i="20"/>
  <c r="AM509" i="20"/>
  <c r="AE506" i="20"/>
  <c r="AM506" i="20"/>
  <c r="AE502" i="20"/>
  <c r="AM502" i="20"/>
  <c r="AE496" i="20"/>
  <c r="AM496" i="20"/>
  <c r="AE490" i="20"/>
  <c r="AM490" i="20"/>
  <c r="AE487" i="20"/>
  <c r="AM487" i="20"/>
  <c r="AE484" i="20"/>
  <c r="AM484" i="20"/>
  <c r="AE480" i="20"/>
  <c r="AM480" i="20"/>
  <c r="AE472" i="20"/>
  <c r="AM472" i="20"/>
  <c r="AE470" i="20"/>
  <c r="AM470" i="20"/>
  <c r="AE469" i="20"/>
  <c r="AM469" i="20"/>
  <c r="AE460" i="20"/>
  <c r="AM460" i="20"/>
  <c r="AE457" i="20"/>
  <c r="AM457" i="20"/>
  <c r="AE451" i="20"/>
  <c r="AM451" i="20"/>
  <c r="AE449" i="20"/>
  <c r="AM449" i="20"/>
  <c r="AE448" i="20"/>
  <c r="AM448" i="20"/>
  <c r="AE443" i="20"/>
  <c r="AM443" i="20"/>
  <c r="AE442" i="20"/>
  <c r="AM442" i="20"/>
  <c r="AE440" i="20"/>
  <c r="AM440" i="20"/>
  <c r="AE439" i="20"/>
  <c r="AM439" i="20"/>
  <c r="AE437" i="20"/>
  <c r="AM437" i="20"/>
  <c r="AE436" i="20"/>
  <c r="AM436" i="20"/>
  <c r="AE433" i="20"/>
  <c r="AM433" i="20"/>
  <c r="AE431" i="20"/>
  <c r="AM431" i="20"/>
  <c r="AE430" i="20"/>
  <c r="AM430" i="20"/>
  <c r="AE427" i="20"/>
  <c r="AM427" i="20"/>
  <c r="AE425" i="20"/>
  <c r="AM425" i="20"/>
  <c r="AE424" i="20"/>
  <c r="AM424" i="20"/>
  <c r="AE421" i="20"/>
  <c r="AM421" i="20"/>
  <c r="AE418" i="20"/>
  <c r="AM418" i="20"/>
  <c r="AE417" i="20"/>
  <c r="AM417" i="20"/>
  <c r="AE416" i="20"/>
  <c r="AM416" i="20"/>
  <c r="AE415" i="20"/>
  <c r="AM415" i="20"/>
  <c r="AE413" i="20"/>
  <c r="AM413" i="20"/>
  <c r="AE412" i="20"/>
  <c r="AM412" i="20"/>
  <c r="AE410" i="20"/>
  <c r="AM410" i="20"/>
  <c r="AE409" i="20"/>
  <c r="AM409" i="20"/>
  <c r="AE408" i="20"/>
  <c r="AM408" i="20"/>
  <c r="AE406" i="20"/>
  <c r="AM406" i="20"/>
  <c r="AE405" i="20"/>
  <c r="AM405" i="20"/>
  <c r="AE403" i="20"/>
  <c r="AM403" i="20"/>
  <c r="AE396" i="20"/>
  <c r="AM396" i="20"/>
  <c r="AE389" i="20"/>
  <c r="AM389" i="20"/>
  <c r="AE388" i="20"/>
  <c r="AM388" i="20"/>
  <c r="AE387" i="20"/>
  <c r="AM387" i="20"/>
  <c r="AE385" i="20"/>
  <c r="AM385" i="20"/>
  <c r="AE382" i="20"/>
  <c r="AM382" i="20"/>
  <c r="AE380" i="20"/>
  <c r="AM380" i="20"/>
  <c r="AE379" i="20"/>
  <c r="AM379" i="20"/>
  <c r="AE378" i="20"/>
  <c r="AM378" i="20"/>
  <c r="AE376" i="20"/>
  <c r="AM376" i="20"/>
  <c r="AE366" i="20"/>
  <c r="AM366" i="20"/>
  <c r="AE354" i="20"/>
  <c r="AM354" i="20"/>
  <c r="AE351" i="20"/>
  <c r="AM351" i="20"/>
  <c r="AE348" i="20"/>
  <c r="AM348" i="20"/>
  <c r="AE345" i="20"/>
  <c r="AM345" i="20"/>
  <c r="AE342" i="20"/>
  <c r="AM342" i="20"/>
  <c r="AE340" i="20"/>
  <c r="AM340" i="20"/>
  <c r="AE339" i="20"/>
  <c r="AM339" i="20"/>
  <c r="AE334" i="20"/>
  <c r="AM334" i="20"/>
  <c r="AE331" i="20"/>
  <c r="AM331" i="20"/>
  <c r="AE328" i="20"/>
  <c r="AM328" i="20"/>
  <c r="AE325" i="20"/>
  <c r="AM325" i="20"/>
  <c r="AE322" i="20"/>
  <c r="AM322" i="20"/>
  <c r="AE313" i="20"/>
  <c r="AM313" i="20"/>
  <c r="AE312" i="20"/>
  <c r="AM312" i="20"/>
  <c r="AE310" i="20"/>
  <c r="AM310" i="20"/>
  <c r="AE307" i="20"/>
  <c r="AM307" i="20"/>
  <c r="AE303" i="20"/>
  <c r="AM303" i="20"/>
  <c r="AE301" i="20"/>
  <c r="AM301" i="20"/>
  <c r="AE300" i="20"/>
  <c r="AM300" i="20"/>
  <c r="AE297" i="20"/>
  <c r="AM297" i="20"/>
  <c r="AE294" i="20"/>
  <c r="AM294" i="20"/>
  <c r="AE290" i="20"/>
  <c r="AM290" i="20"/>
  <c r="AE288" i="20"/>
  <c r="AM288" i="20"/>
  <c r="AE286" i="20"/>
  <c r="AM286" i="20"/>
  <c r="AE283" i="20"/>
  <c r="AM283" i="20"/>
  <c r="AE280" i="20"/>
  <c r="AM280" i="20"/>
  <c r="AE277" i="20"/>
  <c r="AM277" i="20"/>
  <c r="AE276" i="20"/>
  <c r="AM276" i="20"/>
  <c r="AE274" i="20"/>
  <c r="AM274" i="20"/>
  <c r="AE272" i="20"/>
  <c r="AM272" i="20"/>
  <c r="AE269" i="20"/>
  <c r="AM269" i="20"/>
  <c r="AE268" i="20"/>
  <c r="AM268" i="20"/>
  <c r="AE264" i="20"/>
  <c r="AM264" i="20"/>
  <c r="AE259" i="20"/>
  <c r="AM259" i="20"/>
  <c r="AE256" i="20"/>
  <c r="AM256" i="20"/>
  <c r="AE255" i="20"/>
  <c r="AM255" i="20"/>
  <c r="AE254" i="20"/>
  <c r="AM254" i="20"/>
  <c r="AE253" i="20"/>
  <c r="AM253" i="20"/>
  <c r="AE250" i="20"/>
  <c r="AM250" i="20"/>
  <c r="AE244" i="20"/>
  <c r="AM244" i="20"/>
  <c r="AE242" i="20"/>
  <c r="AM242" i="20"/>
  <c r="AE241" i="20"/>
  <c r="AM241" i="20"/>
  <c r="AE235" i="20"/>
  <c r="AM235" i="20"/>
  <c r="AE233" i="20"/>
  <c r="AM233" i="20"/>
  <c r="AE232" i="20"/>
  <c r="AM232" i="20"/>
  <c r="AE230" i="20"/>
  <c r="AM230" i="20"/>
  <c r="AE227" i="20"/>
  <c r="AM227" i="20"/>
  <c r="AE226" i="20"/>
  <c r="AM226" i="20"/>
  <c r="AE224" i="20"/>
  <c r="AM224" i="20"/>
  <c r="AE217" i="20"/>
  <c r="AM217" i="20"/>
  <c r="AE199" i="20"/>
  <c r="AM199" i="20"/>
  <c r="AE195" i="20"/>
  <c r="AM195" i="20"/>
  <c r="AE192" i="20"/>
  <c r="AM192" i="20"/>
  <c r="AE189" i="20"/>
  <c r="AM189" i="20"/>
  <c r="AE188" i="20"/>
  <c r="AM188" i="20"/>
  <c r="AE183" i="20"/>
  <c r="AM183" i="20"/>
  <c r="AE182" i="20"/>
  <c r="AM182" i="20"/>
  <c r="AE178" i="20"/>
  <c r="AM178" i="20"/>
  <c r="AE177" i="20"/>
  <c r="AM177" i="20"/>
  <c r="AE176" i="20"/>
  <c r="AM176" i="20"/>
  <c r="AE175" i="20"/>
  <c r="AM175" i="20"/>
  <c r="AE172" i="20"/>
  <c r="AM172" i="20"/>
  <c r="AE171" i="20"/>
  <c r="AM171" i="20"/>
  <c r="AE170" i="20"/>
  <c r="AM170" i="20"/>
  <c r="AE165" i="20"/>
  <c r="AM165" i="20"/>
  <c r="AE164" i="20"/>
  <c r="AM164" i="20"/>
  <c r="AE163" i="20"/>
  <c r="AM163" i="20"/>
  <c r="AE160" i="20"/>
  <c r="AM160" i="20"/>
  <c r="AE159" i="20"/>
  <c r="AM159" i="20"/>
  <c r="AE158" i="20"/>
  <c r="AM158" i="20"/>
  <c r="AE150" i="20"/>
  <c r="AM150" i="20"/>
  <c r="AE146" i="20"/>
  <c r="AM146" i="20"/>
  <c r="AE144" i="20"/>
  <c r="AM144" i="20"/>
  <c r="AE142" i="20"/>
  <c r="AM142" i="20"/>
  <c r="AE141" i="20"/>
  <c r="AM141" i="20"/>
  <c r="AE135" i="20"/>
  <c r="AM135" i="20"/>
  <c r="AE133" i="20"/>
  <c r="AM133" i="20"/>
  <c r="AE129" i="20"/>
  <c r="AM129" i="20"/>
  <c r="AE128" i="20"/>
  <c r="AM128" i="20"/>
  <c r="AE126" i="20"/>
  <c r="AM126" i="20"/>
  <c r="AE122" i="20"/>
  <c r="AM122" i="20"/>
  <c r="AE120" i="20"/>
  <c r="AM120" i="20"/>
  <c r="AE118" i="20"/>
  <c r="AM118" i="20"/>
  <c r="AE116" i="20"/>
  <c r="AM116" i="20"/>
  <c r="AE113" i="20"/>
  <c r="AM113" i="20"/>
  <c r="AE111" i="20"/>
  <c r="AM111" i="20"/>
  <c r="AE110" i="20"/>
  <c r="AM110" i="20"/>
  <c r="AE107" i="20"/>
  <c r="AM107" i="20"/>
  <c r="AE106" i="20"/>
  <c r="AM106" i="20"/>
  <c r="AE104" i="20"/>
  <c r="AM104" i="20"/>
  <c r="AE99" i="20"/>
  <c r="AM99" i="20"/>
  <c r="AE96" i="20"/>
  <c r="AM96" i="20"/>
  <c r="AE90" i="20"/>
  <c r="AM90" i="20"/>
  <c r="AE87" i="20"/>
  <c r="AM87" i="20"/>
  <c r="AE84" i="20"/>
  <c r="AM84" i="20"/>
  <c r="AE81" i="20"/>
  <c r="AM81" i="20"/>
  <c r="AE78" i="20"/>
  <c r="AM78" i="20"/>
  <c r="AE75" i="20"/>
  <c r="AM75" i="20"/>
  <c r="AE72" i="20"/>
  <c r="AM72" i="20"/>
  <c r="AE69" i="20"/>
  <c r="AM69" i="20"/>
  <c r="AE66" i="20"/>
  <c r="AM66" i="20"/>
  <c r="AE63" i="20"/>
  <c r="AM63" i="20"/>
  <c r="AE60" i="20"/>
  <c r="AM60" i="20"/>
  <c r="AE57" i="20"/>
  <c r="AM57" i="20"/>
  <c r="AE54" i="20"/>
  <c r="AM54" i="20"/>
  <c r="AE51" i="20"/>
  <c r="AM51" i="20"/>
  <c r="AE45" i="20"/>
  <c r="AM45" i="20"/>
  <c r="AE42" i="20"/>
  <c r="AM42" i="20"/>
  <c r="AE39" i="20"/>
  <c r="AM39" i="20"/>
  <c r="AE36" i="20"/>
  <c r="AM36" i="20"/>
  <c r="AE33" i="20"/>
  <c r="AM33" i="20"/>
  <c r="AE29" i="20"/>
  <c r="AM29" i="20"/>
  <c r="AA1376" i="20"/>
  <c r="AA375" i="20"/>
  <c r="AM537" i="20"/>
  <c r="AM154" i="20"/>
  <c r="AM577" i="20"/>
  <c r="AM1088" i="20"/>
  <c r="AM1070" i="20"/>
  <c r="AA1022" i="20"/>
  <c r="AM1280" i="20"/>
  <c r="AM1378" i="20"/>
  <c r="AM1124" i="20"/>
  <c r="AM1307" i="20"/>
  <c r="AM709" i="20"/>
  <c r="AM148" i="20"/>
  <c r="AM156" i="20"/>
  <c r="AM145" i="20"/>
  <c r="AM221" i="20"/>
  <c r="AM908" i="20"/>
  <c r="AM168" i="20"/>
  <c r="AM948" i="20"/>
  <c r="AM1002" i="20"/>
  <c r="AM999" i="20"/>
  <c r="AM676" i="20"/>
  <c r="AM257" i="20"/>
  <c r="AM275" i="20"/>
  <c r="AM246" i="20"/>
  <c r="AM423" i="20"/>
  <c r="AM512" i="20"/>
  <c r="AM434" i="20"/>
  <c r="AM1208" i="20"/>
  <c r="AM994" i="20"/>
  <c r="AM1013" i="20"/>
  <c r="AA1271" i="20"/>
  <c r="AM187" i="20"/>
  <c r="AM293" i="20"/>
  <c r="AM37" i="20"/>
  <c r="AM701" i="20"/>
  <c r="AM234" i="20"/>
  <c r="AM661" i="20"/>
  <c r="AM1353" i="20"/>
  <c r="AM553" i="20"/>
  <c r="AM787" i="20"/>
  <c r="AM1179" i="20"/>
  <c r="AM1120" i="20"/>
  <c r="AM459" i="20"/>
  <c r="AM329" i="20"/>
  <c r="AM236" i="20"/>
  <c r="AM1264" i="20"/>
  <c r="AM1140" i="20"/>
  <c r="AM955" i="20"/>
  <c r="AA1367" i="20"/>
  <c r="AE1376" i="20"/>
  <c r="AM777" i="20"/>
  <c r="AM184" i="20"/>
  <c r="AM590" i="20"/>
  <c r="AM853" i="20"/>
  <c r="AM758" i="20"/>
  <c r="AM1194" i="20"/>
  <c r="AE1367" i="20"/>
  <c r="AM634" i="20"/>
  <c r="AM798" i="20"/>
  <c r="AM138" i="20"/>
  <c r="AM428" i="20"/>
  <c r="AM127" i="20"/>
  <c r="AM68" i="20"/>
  <c r="AM1061" i="20"/>
  <c r="AM1118" i="20"/>
  <c r="AM1094" i="20"/>
  <c r="AM70" i="20"/>
  <c r="AM404" i="20"/>
  <c r="AM936" i="20"/>
  <c r="AM1134" i="20"/>
  <c r="AM1301" i="20"/>
  <c r="AM1273" i="20"/>
  <c r="AE375" i="20"/>
  <c r="AM77" i="20"/>
  <c r="AM1007" i="20"/>
  <c r="AM609" i="20"/>
  <c r="AM1132" i="20"/>
  <c r="AM1249" i="20"/>
  <c r="AM350" i="20"/>
  <c r="AM1153" i="20"/>
  <c r="AE1271" i="20"/>
  <c r="AE423" i="20"/>
  <c r="AE329" i="20"/>
  <c r="AE1070" i="20"/>
  <c r="AE1094" i="20"/>
  <c r="AE275" i="20"/>
  <c r="AE577" i="20"/>
  <c r="AE1088" i="20"/>
  <c r="AE955" i="20"/>
  <c r="AE908" i="20"/>
  <c r="AE1280" i="20"/>
  <c r="AE70" i="20"/>
  <c r="AE948" i="20"/>
  <c r="AE350" i="20"/>
  <c r="AE798" i="20"/>
  <c r="AE257" i="20"/>
  <c r="AE145" i="20"/>
  <c r="L1382" i="20"/>
  <c r="N1382" i="20"/>
  <c r="Q1382" i="20"/>
  <c r="R1382" i="20"/>
  <c r="Z1382" i="20"/>
  <c r="K1382" i="20"/>
  <c r="AE68" i="20"/>
  <c r="AE553" i="20"/>
  <c r="AE168" i="20"/>
  <c r="AE994" i="20"/>
  <c r="AE236" i="20"/>
  <c r="AE1061" i="20"/>
  <c r="AE1179" i="20"/>
  <c r="AE138" i="20"/>
  <c r="AE1002" i="20"/>
  <c r="AE156" i="20"/>
  <c r="AE434" i="20"/>
  <c r="AE1307" i="20"/>
  <c r="AE936" i="20"/>
  <c r="AE1273" i="20"/>
  <c r="AE184" i="20"/>
  <c r="AE148" i="20"/>
  <c r="AE787" i="20"/>
  <c r="AE127" i="20"/>
  <c r="AE1134" i="20"/>
  <c r="AE187" i="20"/>
  <c r="AE634" i="20"/>
  <c r="AE853" i="20"/>
  <c r="AE1264" i="20"/>
  <c r="AE428" i="20"/>
  <c r="AE1194" i="20"/>
  <c r="AE709" i="20"/>
  <c r="AE1007" i="20"/>
  <c r="AE661" i="20"/>
  <c r="AE77" i="20"/>
  <c r="AE1301" i="20"/>
  <c r="AE154" i="20"/>
  <c r="AE293" i="20"/>
  <c r="AE777" i="20"/>
  <c r="AE221" i="20"/>
  <c r="AE999" i="20"/>
  <c r="AE701" i="20"/>
  <c r="AE1124" i="20"/>
  <c r="AE758" i="20"/>
  <c r="AE1140" i="20"/>
  <c r="AE459" i="20"/>
  <c r="AE1378" i="20"/>
  <c r="AE234" i="20"/>
  <c r="AE1013" i="20"/>
  <c r="AE1118" i="20"/>
  <c r="AE590" i="20"/>
  <c r="AE1120" i="20"/>
  <c r="AE537" i="20"/>
  <c r="AE676" i="20"/>
  <c r="AE512" i="20"/>
  <c r="AE1208" i="20"/>
  <c r="AE1353" i="20"/>
  <c r="AE1381" i="20"/>
  <c r="AM1381" i="20"/>
  <c r="AE1379" i="20"/>
  <c r="AM1379" i="20"/>
  <c r="AE1374" i="20"/>
  <c r="AM1374" i="20"/>
  <c r="AE1372" i="20"/>
  <c r="AM1372" i="20"/>
  <c r="AE1366" i="20"/>
  <c r="AM1366" i="20"/>
  <c r="AE1362" i="20"/>
  <c r="AM1362" i="20"/>
  <c r="AE1361" i="20"/>
  <c r="AM1361" i="20"/>
  <c r="AE1359" i="20"/>
  <c r="AM1359" i="20"/>
  <c r="AE1358" i="20"/>
  <c r="AM1358" i="20"/>
  <c r="AE1355" i="20"/>
  <c r="AM1355" i="20"/>
  <c r="AE1354" i="20"/>
  <c r="AM1354" i="20"/>
  <c r="AE1352" i="20"/>
  <c r="AM1352" i="20"/>
  <c r="AE1351" i="20"/>
  <c r="AM1351" i="20"/>
  <c r="AE1348" i="20"/>
  <c r="AM1348" i="20"/>
  <c r="AE1347" i="20"/>
  <c r="AM1347" i="20"/>
  <c r="AE1344" i="20"/>
  <c r="AM1344" i="20"/>
  <c r="AE1343" i="20"/>
  <c r="AM1343" i="20"/>
  <c r="AE1342" i="20"/>
  <c r="AM1342" i="20"/>
  <c r="AE1339" i="20"/>
  <c r="AM1339" i="20"/>
  <c r="AE1338" i="20"/>
  <c r="AM1338" i="20"/>
  <c r="AE1336" i="20"/>
  <c r="AM1336" i="20"/>
  <c r="AE1330" i="20"/>
  <c r="AM1330" i="20"/>
  <c r="AE1320" i="20"/>
  <c r="AM1320" i="20"/>
  <c r="AE1319" i="20"/>
  <c r="AM1319" i="20"/>
  <c r="AE1318" i="20"/>
  <c r="AM1318" i="20"/>
  <c r="AE1317" i="20"/>
  <c r="AM1317" i="20"/>
  <c r="AE1313" i="20"/>
  <c r="AM1313" i="20"/>
  <c r="AE1311" i="20"/>
  <c r="AM1311" i="20"/>
  <c r="AE1308" i="20"/>
  <c r="AM1308" i="20"/>
  <c r="AE1306" i="20"/>
  <c r="AM1306" i="20"/>
  <c r="AE1300" i="20"/>
  <c r="AM1300" i="20"/>
  <c r="AE1298" i="20"/>
  <c r="AM1298" i="20"/>
  <c r="AE1297" i="20"/>
  <c r="AM1297" i="20"/>
  <c r="AE1292" i="20"/>
  <c r="AM1292" i="20"/>
  <c r="AE1289" i="20"/>
  <c r="AM1289" i="20"/>
  <c r="AE1288" i="20"/>
  <c r="AM1288" i="20"/>
  <c r="AE1287" i="20"/>
  <c r="AM1287" i="20"/>
  <c r="AE1283" i="20"/>
  <c r="AM1283" i="20"/>
  <c r="AE1282" i="20"/>
  <c r="AM1282" i="20"/>
  <c r="AE1281" i="20"/>
  <c r="AM1281" i="20"/>
  <c r="AE1279" i="20"/>
  <c r="AM1279" i="20"/>
  <c r="AE1277" i="20"/>
  <c r="AM1277" i="20"/>
  <c r="AE1275" i="20"/>
  <c r="AM1275" i="20"/>
  <c r="AE1268" i="20"/>
  <c r="AM1268" i="20"/>
  <c r="AE1267" i="20"/>
  <c r="AM1267" i="20"/>
  <c r="AE1262" i="20"/>
  <c r="AM1262" i="20"/>
  <c r="AE1261" i="20"/>
  <c r="AM1261" i="20"/>
  <c r="AE1259" i="20"/>
  <c r="AM1259" i="20"/>
  <c r="AE1258" i="20"/>
  <c r="AM1258" i="20"/>
  <c r="AE1256" i="20"/>
  <c r="AM1256" i="20"/>
  <c r="AE1253" i="20"/>
  <c r="AM1253" i="20"/>
  <c r="AE1252" i="20"/>
  <c r="AM1252" i="20"/>
  <c r="AE1250" i="20"/>
  <c r="AM1250" i="20"/>
  <c r="AE1249" i="20"/>
  <c r="AE1247" i="20"/>
  <c r="AM1247" i="20"/>
  <c r="AE1246" i="20"/>
  <c r="AM1246" i="20"/>
  <c r="AE1244" i="20"/>
  <c r="AM1244" i="20"/>
  <c r="AE1243" i="20"/>
  <c r="AM1243" i="20"/>
  <c r="AE1241" i="20"/>
  <c r="AM1241" i="20"/>
  <c r="AE1240" i="20"/>
  <c r="AM1240" i="20"/>
  <c r="AE1238" i="20"/>
  <c r="AM1238" i="20"/>
  <c r="AE1237" i="20"/>
  <c r="AM1237" i="20"/>
  <c r="AE1236" i="20"/>
  <c r="AM1236" i="20"/>
  <c r="AE1234" i="20"/>
  <c r="AM1234" i="20"/>
  <c r="AE1233" i="20"/>
  <c r="AM1233" i="20"/>
  <c r="AE1232" i="20"/>
  <c r="AM1232" i="20"/>
  <c r="AE1231" i="20"/>
  <c r="AM1231" i="20"/>
  <c r="AE1230" i="20"/>
  <c r="AM1230" i="20"/>
  <c r="AE1227" i="20"/>
  <c r="AM1227" i="20"/>
  <c r="AE1226" i="20"/>
  <c r="AM1226" i="20"/>
  <c r="AE1225" i="20"/>
  <c r="AM1225" i="20"/>
  <c r="AE1224" i="20"/>
  <c r="AM1224" i="20"/>
  <c r="AE1221" i="20"/>
  <c r="AM1221" i="20"/>
  <c r="AE1220" i="20"/>
  <c r="AM1220" i="20"/>
  <c r="AE1219" i="20"/>
  <c r="AM1219" i="20"/>
  <c r="AE1218" i="20"/>
  <c r="AM1218" i="20"/>
  <c r="AE1215" i="20"/>
  <c r="AM1215" i="20"/>
  <c r="AE1214" i="20"/>
  <c r="AM1214" i="20"/>
  <c r="AE1213" i="20"/>
  <c r="AM1213" i="20"/>
  <c r="AE1212" i="20"/>
  <c r="AM1212" i="20"/>
  <c r="AE1209" i="20"/>
  <c r="AM1209" i="20"/>
  <c r="AE1207" i="20"/>
  <c r="AM1207" i="20"/>
  <c r="AE1206" i="20"/>
  <c r="AM1206" i="20"/>
  <c r="AE1203" i="20"/>
  <c r="AM1203" i="20"/>
  <c r="AE1202" i="20"/>
  <c r="AM1202" i="20"/>
  <c r="AE1201" i="20"/>
  <c r="AM1201" i="20"/>
  <c r="AE1197" i="20"/>
  <c r="AM1197" i="20"/>
  <c r="AE1196" i="20"/>
  <c r="AM1196" i="20"/>
  <c r="AE1195" i="20"/>
  <c r="AM1195" i="20"/>
  <c r="AE1192" i="20"/>
  <c r="AM1192" i="20"/>
  <c r="AE1191" i="20"/>
  <c r="AM1191" i="20"/>
  <c r="AE1188" i="20"/>
  <c r="AM1188" i="20"/>
  <c r="AE1186" i="20"/>
  <c r="AM1186" i="20"/>
  <c r="AE1184" i="20"/>
  <c r="AM1184" i="20"/>
  <c r="AE1183" i="20"/>
  <c r="AM1183" i="20"/>
  <c r="AE1182" i="20"/>
  <c r="AM1182" i="20"/>
  <c r="AE1181" i="20"/>
  <c r="AM1181" i="20"/>
  <c r="AE1177" i="20"/>
  <c r="AM1177" i="20"/>
  <c r="AE1174" i="20"/>
  <c r="AM1174" i="20"/>
  <c r="AE1170" i="20"/>
  <c r="AM1170" i="20"/>
  <c r="AE1168" i="20"/>
  <c r="AM1168" i="20"/>
  <c r="AE1164" i="20"/>
  <c r="AM1164" i="20"/>
  <c r="AE1162" i="20"/>
  <c r="AM1162" i="20"/>
  <c r="AE1158" i="20"/>
  <c r="AM1158" i="20"/>
  <c r="AE1156" i="20"/>
  <c r="AM1156" i="20"/>
  <c r="AE1154" i="20"/>
  <c r="AM1154" i="20"/>
  <c r="AE1153" i="20"/>
  <c r="AE1152" i="20"/>
  <c r="AM1152" i="20"/>
  <c r="AE1150" i="20"/>
  <c r="AM1150" i="20"/>
  <c r="AE1148" i="20"/>
  <c r="AM1148" i="20"/>
  <c r="AE1147" i="20"/>
  <c r="AM1147" i="20"/>
  <c r="AE1146" i="20"/>
  <c r="AM1146" i="20"/>
  <c r="AE1144" i="20"/>
  <c r="AM1144" i="20"/>
  <c r="AE1141" i="20"/>
  <c r="AM1141" i="20"/>
  <c r="AE1139" i="20"/>
  <c r="AM1139" i="20"/>
  <c r="AE1138" i="20"/>
  <c r="AM1138" i="20"/>
  <c r="AE1137" i="20"/>
  <c r="AM1137" i="20"/>
  <c r="AE1136" i="20"/>
  <c r="AM1136" i="20"/>
  <c r="AE1132" i="20"/>
  <c r="AE1130" i="20"/>
  <c r="AM1130" i="20"/>
  <c r="AE1129" i="20"/>
  <c r="AM1129" i="20"/>
  <c r="AE1128" i="20"/>
  <c r="AM1128" i="20"/>
  <c r="AE1127" i="20"/>
  <c r="AM1127" i="20"/>
  <c r="AE1126" i="20"/>
  <c r="AM1126" i="20"/>
  <c r="AE1123" i="20"/>
  <c r="AM1123" i="20"/>
  <c r="AE1121" i="20"/>
  <c r="AM1121" i="20"/>
  <c r="AE1119" i="20"/>
  <c r="AM1119" i="20"/>
  <c r="AE1116" i="20"/>
  <c r="AM1116" i="20"/>
  <c r="AE1115" i="20"/>
  <c r="AM1115" i="20"/>
  <c r="AE1111" i="20"/>
  <c r="AM1111" i="20"/>
  <c r="AE1110" i="20"/>
  <c r="AM1110" i="20"/>
  <c r="AE1109" i="20"/>
  <c r="AM1109" i="20"/>
  <c r="AE1107" i="20"/>
  <c r="AM1107" i="20"/>
  <c r="AE1104" i="20"/>
  <c r="AM1104" i="20"/>
  <c r="AE1103" i="20"/>
  <c r="AM1103" i="20"/>
  <c r="AE1099" i="20"/>
  <c r="AM1099" i="20"/>
  <c r="AE1097" i="20"/>
  <c r="AM1097" i="20"/>
  <c r="AE1096" i="20"/>
  <c r="AM1096" i="20"/>
  <c r="AE1095" i="20"/>
  <c r="AM1095" i="20"/>
  <c r="AE1093" i="20"/>
  <c r="AM1093" i="20"/>
  <c r="AE1092" i="20"/>
  <c r="AM1092" i="20"/>
  <c r="AE1090" i="20"/>
  <c r="AM1090" i="20"/>
  <c r="AE1086" i="20"/>
  <c r="AM1086" i="20"/>
  <c r="AE1082" i="20"/>
  <c r="AM1082" i="20"/>
  <c r="AE1080" i="20"/>
  <c r="AM1080" i="20"/>
  <c r="AE1075" i="20"/>
  <c r="AM1075" i="20"/>
  <c r="AE1069" i="20"/>
  <c r="AM1069" i="20"/>
  <c r="AE1068" i="20"/>
  <c r="AM1068" i="20"/>
  <c r="AE1067" i="20"/>
  <c r="AM1067" i="20"/>
  <c r="AE1064" i="20"/>
  <c r="AM1064" i="20"/>
  <c r="AE1060" i="20"/>
  <c r="AM1060" i="20"/>
  <c r="AE1057" i="20"/>
  <c r="AM1057" i="20"/>
  <c r="AE1056" i="20"/>
  <c r="AM1056" i="20"/>
  <c r="AE1055" i="20"/>
  <c r="AM1055" i="20"/>
  <c r="AE1054" i="20"/>
  <c r="AM1054" i="20"/>
  <c r="AE1053" i="20"/>
  <c r="AM1053" i="20"/>
  <c r="AE1052" i="20"/>
  <c r="AM1052" i="20"/>
  <c r="AE1051" i="20"/>
  <c r="AM1051" i="20"/>
  <c r="AE1049" i="20"/>
  <c r="AM1049" i="20"/>
  <c r="AE1048" i="20"/>
  <c r="AM1048" i="20"/>
  <c r="AE1044" i="20"/>
  <c r="AM1044" i="20"/>
  <c r="AE1038" i="20"/>
  <c r="AM1038" i="20"/>
  <c r="AE1037" i="20"/>
  <c r="AM1037" i="20"/>
  <c r="AE1032" i="20"/>
  <c r="AM1032" i="20"/>
  <c r="AE1026" i="20"/>
  <c r="AM1026" i="20"/>
  <c r="AE1025" i="20"/>
  <c r="AM1025" i="20"/>
  <c r="AE1020" i="20"/>
  <c r="AM1020" i="20"/>
  <c r="AE1019" i="20"/>
  <c r="AM1019" i="20"/>
  <c r="AE1014" i="20"/>
  <c r="AM1014" i="20"/>
  <c r="AE1008" i="20"/>
  <c r="AM1008" i="20"/>
  <c r="AE1003" i="20"/>
  <c r="AM1003" i="20"/>
  <c r="AE997" i="20"/>
  <c r="AM997" i="20"/>
  <c r="AE995" i="20"/>
  <c r="AM995" i="20"/>
  <c r="AE985" i="20"/>
  <c r="AM985" i="20"/>
  <c r="AE980" i="20"/>
  <c r="AM980" i="20"/>
  <c r="AE979" i="20"/>
  <c r="AM979" i="20"/>
  <c r="AE975" i="20"/>
  <c r="AM975" i="20"/>
  <c r="AE972" i="20"/>
  <c r="AM972" i="20"/>
  <c r="AE969" i="20"/>
  <c r="AM969" i="20"/>
  <c r="AE967" i="20"/>
  <c r="AM967" i="20"/>
  <c r="AE966" i="20"/>
  <c r="AM966" i="20"/>
  <c r="AE965" i="20"/>
  <c r="AM965" i="20"/>
  <c r="AE964" i="20"/>
  <c r="AM964" i="20"/>
  <c r="AE961" i="20"/>
  <c r="AM961" i="20"/>
  <c r="AE960" i="20"/>
  <c r="AM960" i="20"/>
  <c r="AE959" i="20"/>
  <c r="AM959" i="20"/>
  <c r="AE958" i="20"/>
  <c r="AM958" i="20"/>
  <c r="AE954" i="20"/>
  <c r="AM954" i="20"/>
  <c r="AE953" i="20"/>
  <c r="AM953" i="20"/>
  <c r="AE952" i="20"/>
  <c r="AM952" i="20"/>
  <c r="AE950" i="20"/>
  <c r="AM950" i="20"/>
  <c r="AE947" i="20"/>
  <c r="AM947" i="20"/>
  <c r="AE946" i="20"/>
  <c r="AM946" i="20"/>
  <c r="AE942" i="20"/>
  <c r="AM942" i="20"/>
  <c r="AE939" i="20"/>
  <c r="AM939" i="20"/>
  <c r="AE933" i="20"/>
  <c r="AM933" i="20"/>
  <c r="AE932" i="20"/>
  <c r="AM932" i="20"/>
  <c r="AE930" i="20"/>
  <c r="AM930" i="20"/>
  <c r="AE929" i="20"/>
  <c r="AM929" i="20"/>
  <c r="AE924" i="20"/>
  <c r="AM924" i="20"/>
  <c r="AE920" i="20"/>
  <c r="AM920" i="20"/>
  <c r="AE918" i="20"/>
  <c r="AM918" i="20"/>
  <c r="AE913" i="20"/>
  <c r="AM913" i="20"/>
  <c r="AE912" i="20"/>
  <c r="AM912" i="20"/>
  <c r="AE910" i="20"/>
  <c r="AM910" i="20"/>
  <c r="AE906" i="20"/>
  <c r="AM906" i="20"/>
  <c r="AE905" i="20"/>
  <c r="AM905" i="20"/>
  <c r="AE904" i="20"/>
  <c r="AM904" i="20"/>
  <c r="AE903" i="20"/>
  <c r="AM903" i="20"/>
  <c r="AE889" i="20"/>
  <c r="AM889" i="20"/>
  <c r="AE888" i="20"/>
  <c r="AM888" i="20"/>
  <c r="AE887" i="20"/>
  <c r="AM887" i="20"/>
  <c r="AE885" i="20"/>
  <c r="AM885" i="20"/>
  <c r="AE884" i="20"/>
  <c r="AM884" i="20"/>
  <c r="AE879" i="20"/>
  <c r="AM879" i="20"/>
  <c r="AE878" i="20"/>
  <c r="AM878" i="20"/>
  <c r="AE876" i="20"/>
  <c r="AM876" i="20"/>
  <c r="AE875" i="20"/>
  <c r="AM875" i="20"/>
  <c r="AE874" i="20"/>
  <c r="AM874" i="20"/>
  <c r="AE871" i="20"/>
  <c r="AM871" i="20"/>
  <c r="AE870" i="20"/>
  <c r="AM870" i="20"/>
  <c r="AE869" i="20"/>
  <c r="AM869" i="20"/>
  <c r="AE867" i="20"/>
  <c r="AM867" i="20"/>
  <c r="AE866" i="20"/>
  <c r="AM866" i="20"/>
  <c r="AE864" i="20"/>
  <c r="AM864" i="20"/>
  <c r="AE861" i="20"/>
  <c r="AM861" i="20"/>
  <c r="AE860" i="20"/>
  <c r="AM860" i="20"/>
  <c r="AE859" i="20"/>
  <c r="AM859" i="20"/>
  <c r="AE857" i="20"/>
  <c r="AM857" i="20"/>
  <c r="AE856" i="20"/>
  <c r="AM856" i="20"/>
  <c r="AE854" i="20"/>
  <c r="AM854" i="20"/>
  <c r="AE851" i="20"/>
  <c r="AM851" i="20"/>
  <c r="AE850" i="20"/>
  <c r="AM850" i="20"/>
  <c r="AE847" i="20"/>
  <c r="AM847" i="20"/>
  <c r="AE845" i="20"/>
  <c r="AM845" i="20"/>
  <c r="AE839" i="20"/>
  <c r="AM839" i="20"/>
  <c r="AE837" i="20"/>
  <c r="AM837" i="20"/>
  <c r="AE833" i="20"/>
  <c r="AM833" i="20"/>
  <c r="AE831" i="20"/>
  <c r="AM831" i="20"/>
  <c r="AE830" i="20"/>
  <c r="AM830" i="20"/>
  <c r="AE827" i="20"/>
  <c r="AM827" i="20"/>
  <c r="AE825" i="20"/>
  <c r="AM825" i="20"/>
  <c r="AE824" i="20"/>
  <c r="AM824" i="20"/>
  <c r="AE821" i="20"/>
  <c r="AM821" i="20"/>
  <c r="AE818" i="20"/>
  <c r="AM818" i="20"/>
  <c r="AE815" i="20"/>
  <c r="AM815" i="20"/>
  <c r="AE812" i="20"/>
  <c r="AM812" i="20"/>
  <c r="AE809" i="20"/>
  <c r="AM809" i="20"/>
  <c r="AE806" i="20"/>
  <c r="AM806" i="20"/>
  <c r="AE803" i="20"/>
  <c r="AM803" i="20"/>
  <c r="AE800" i="20"/>
  <c r="AM800" i="20"/>
  <c r="AE797" i="20"/>
  <c r="AM797" i="20"/>
  <c r="AE795" i="20"/>
  <c r="AM795" i="20"/>
  <c r="AE792" i="20"/>
  <c r="AM792" i="20"/>
  <c r="AE791" i="20"/>
  <c r="AM791" i="20"/>
  <c r="AE790" i="20"/>
  <c r="AM790" i="20"/>
  <c r="AE789" i="20"/>
  <c r="AM789" i="20"/>
  <c r="AE783" i="20"/>
  <c r="AM783" i="20"/>
  <c r="AE782" i="20"/>
  <c r="AM782" i="20"/>
  <c r="AE780" i="20"/>
  <c r="AM780" i="20"/>
  <c r="AE779" i="20"/>
  <c r="AM779" i="20"/>
  <c r="AE778" i="20"/>
  <c r="AM778" i="20"/>
  <c r="AE770" i="20"/>
  <c r="AM770" i="20"/>
  <c r="AE765" i="20"/>
  <c r="AM765" i="20"/>
  <c r="AE763" i="20"/>
  <c r="AM763" i="20"/>
  <c r="AE762" i="20"/>
  <c r="AM762" i="20"/>
  <c r="AE759" i="20"/>
  <c r="AM759" i="20"/>
  <c r="AE757" i="20"/>
  <c r="AM757" i="20"/>
  <c r="AE756" i="20"/>
  <c r="AM756" i="20"/>
  <c r="AE755" i="20"/>
  <c r="AM755" i="20"/>
  <c r="AE753" i="20"/>
  <c r="AM753" i="20"/>
  <c r="AE747" i="20"/>
  <c r="AM747" i="20"/>
  <c r="AE746" i="20"/>
  <c r="AM746" i="20"/>
  <c r="AE744" i="20"/>
  <c r="AM744" i="20"/>
  <c r="AE743" i="20"/>
  <c r="AM743" i="20"/>
  <c r="AE741" i="20"/>
  <c r="AM741" i="20"/>
  <c r="AE735" i="20"/>
  <c r="AM735" i="20"/>
  <c r="AE734" i="20"/>
  <c r="AM734" i="20"/>
  <c r="AE732" i="20"/>
  <c r="AM732" i="20"/>
  <c r="AE729" i="20"/>
  <c r="AM729" i="20"/>
  <c r="AE728" i="20"/>
  <c r="AM728" i="20"/>
  <c r="AE725" i="20"/>
  <c r="AM725" i="20"/>
  <c r="AE723" i="20"/>
  <c r="AM723" i="20"/>
  <c r="AE722" i="20"/>
  <c r="AM722" i="20"/>
  <c r="AE720" i="20"/>
  <c r="AM720" i="20"/>
  <c r="AE717" i="20"/>
  <c r="AM717" i="20"/>
  <c r="AE716" i="20"/>
  <c r="AM716" i="20"/>
  <c r="AE715" i="20"/>
  <c r="AM715" i="20"/>
  <c r="AE714" i="20"/>
  <c r="AM714" i="20"/>
  <c r="AE713" i="20"/>
  <c r="AM713" i="20"/>
  <c r="AE710" i="20"/>
  <c r="AM710" i="20"/>
  <c r="AE708" i="20"/>
  <c r="AM708" i="20"/>
  <c r="AE707" i="20"/>
  <c r="AM707" i="20"/>
  <c r="AE704" i="20"/>
  <c r="AM704" i="20"/>
  <c r="AE703" i="20"/>
  <c r="AM703" i="20"/>
  <c r="AE702" i="20"/>
  <c r="AM702" i="20"/>
  <c r="AE698" i="20"/>
  <c r="AM698" i="20"/>
  <c r="AE697" i="20"/>
  <c r="AM697" i="20"/>
  <c r="AE696" i="20"/>
  <c r="AM696" i="20"/>
  <c r="AE695" i="20"/>
  <c r="AM695" i="20"/>
  <c r="AE692" i="20"/>
  <c r="AM692" i="20"/>
  <c r="AE691" i="20"/>
  <c r="AM691" i="20"/>
  <c r="AE690" i="20"/>
  <c r="AM690" i="20"/>
  <c r="AE689" i="20"/>
  <c r="AM689" i="20"/>
  <c r="AE688" i="20"/>
  <c r="AM688" i="20"/>
  <c r="AE686" i="20"/>
  <c r="AM686" i="20"/>
  <c r="AE685" i="20"/>
  <c r="AM685" i="20"/>
  <c r="AE684" i="20"/>
  <c r="AM684" i="20"/>
  <c r="AE683" i="20"/>
  <c r="AM683" i="20"/>
  <c r="AE679" i="20"/>
  <c r="AM679" i="20"/>
  <c r="AE677" i="20"/>
  <c r="AM677" i="20"/>
  <c r="AE674" i="20"/>
  <c r="AM674" i="20"/>
  <c r="AE673" i="20"/>
  <c r="AM673" i="20"/>
  <c r="AE671" i="20"/>
  <c r="AM671" i="20"/>
  <c r="AE670" i="20"/>
  <c r="AM670" i="20"/>
  <c r="AE668" i="20"/>
  <c r="AM668" i="20"/>
  <c r="AE666" i="20"/>
  <c r="AM666" i="20"/>
  <c r="AE665" i="20"/>
  <c r="AM665" i="20"/>
  <c r="AE664" i="20"/>
  <c r="AM664" i="20"/>
  <c r="AE662" i="20"/>
  <c r="AM662" i="20"/>
  <c r="AE658" i="20"/>
  <c r="AM658" i="20"/>
  <c r="AE657" i="20"/>
  <c r="AM657" i="20"/>
  <c r="AE656" i="20"/>
  <c r="AM656" i="20"/>
  <c r="AE655" i="20"/>
  <c r="AM655" i="20"/>
  <c r="AE652" i="20"/>
  <c r="AM652" i="20"/>
  <c r="AE651" i="20"/>
  <c r="AM651" i="20"/>
  <c r="AE650" i="20"/>
  <c r="AM650" i="20"/>
  <c r="AE649" i="20"/>
  <c r="AM649" i="20"/>
  <c r="AE646" i="20"/>
  <c r="AM646" i="20"/>
  <c r="AE645" i="20"/>
  <c r="AM645" i="20"/>
  <c r="AE644" i="20"/>
  <c r="AM644" i="20"/>
  <c r="AE643" i="20"/>
  <c r="AM643" i="20"/>
  <c r="AE640" i="20"/>
  <c r="AM640" i="20"/>
  <c r="AE639" i="20"/>
  <c r="AM639" i="20"/>
  <c r="AE638" i="20"/>
  <c r="AM638" i="20"/>
  <c r="AE637" i="20"/>
  <c r="AM637" i="20"/>
  <c r="AE633" i="20"/>
  <c r="AM633" i="20"/>
  <c r="AE632" i="20"/>
  <c r="AM632" i="20"/>
  <c r="AE631" i="20"/>
  <c r="AM631" i="20"/>
  <c r="AE628" i="20"/>
  <c r="AM628" i="20"/>
  <c r="AE627" i="20"/>
  <c r="AM627" i="20"/>
  <c r="AE626" i="20"/>
  <c r="AM626" i="20"/>
  <c r="AE625" i="20"/>
  <c r="AM625" i="20"/>
  <c r="AE624" i="20"/>
  <c r="AM624" i="20"/>
  <c r="AE622" i="20"/>
  <c r="AM622" i="20"/>
  <c r="AE621" i="20"/>
  <c r="AM621" i="20"/>
  <c r="AE619" i="20"/>
  <c r="AM619" i="20"/>
  <c r="AE618" i="20"/>
  <c r="AM618" i="20"/>
  <c r="AE613" i="20"/>
  <c r="AM613" i="20"/>
  <c r="AE612" i="20"/>
  <c r="AM612" i="20"/>
  <c r="AE610" i="20"/>
  <c r="AM610" i="20"/>
  <c r="AE609" i="20"/>
  <c r="AE607" i="20"/>
  <c r="AM607" i="20"/>
  <c r="AE604" i="20"/>
  <c r="AM604" i="20"/>
  <c r="AE602" i="20"/>
  <c r="AM602" i="20"/>
  <c r="AE601" i="20"/>
  <c r="AM601" i="20"/>
  <c r="AE600" i="20"/>
  <c r="AM600" i="20"/>
  <c r="AE599" i="20"/>
  <c r="AM599" i="20"/>
  <c r="AE598" i="20"/>
  <c r="AM598" i="20"/>
  <c r="AE597" i="20"/>
  <c r="AM597" i="20"/>
  <c r="AE596" i="20"/>
  <c r="AM596" i="20"/>
  <c r="AE595" i="20"/>
  <c r="AM595" i="20"/>
  <c r="AE594" i="20"/>
  <c r="AM594" i="20"/>
  <c r="AE593" i="20"/>
  <c r="AM593" i="20"/>
  <c r="AE592" i="20"/>
  <c r="AM592" i="20"/>
  <c r="AE589" i="20"/>
  <c r="AM589" i="20"/>
  <c r="AE588" i="20"/>
  <c r="AM588" i="20"/>
  <c r="AE587" i="20"/>
  <c r="AM587" i="20"/>
  <c r="AE586" i="20"/>
  <c r="AM586" i="20"/>
  <c r="AE585" i="20"/>
  <c r="AM585" i="20"/>
  <c r="AE584" i="20"/>
  <c r="AM584" i="20"/>
  <c r="AE583" i="20"/>
  <c r="AM583" i="20"/>
  <c r="AE582" i="20"/>
  <c r="AM582" i="20"/>
  <c r="AE581" i="20"/>
  <c r="AM581" i="20"/>
  <c r="AE580" i="20"/>
  <c r="AM580" i="20"/>
  <c r="AE576" i="20"/>
  <c r="AM576" i="20"/>
  <c r="AE575" i="20"/>
  <c r="AM575" i="20"/>
  <c r="AE574" i="20"/>
  <c r="AM574" i="20"/>
  <c r="AE571" i="20"/>
  <c r="AM571" i="20"/>
  <c r="AE570" i="20"/>
  <c r="AM570" i="20"/>
  <c r="AE569" i="20"/>
  <c r="AM569" i="20"/>
  <c r="AE568" i="20"/>
  <c r="AM568" i="20"/>
  <c r="AE565" i="20"/>
  <c r="AM565" i="20"/>
  <c r="AE564" i="20"/>
  <c r="AM564" i="20"/>
  <c r="AE563" i="20"/>
  <c r="AM563" i="20"/>
  <c r="AE562" i="20"/>
  <c r="AM562" i="20"/>
  <c r="AE561" i="20"/>
  <c r="AM561" i="20"/>
  <c r="AE559" i="20"/>
  <c r="AM559" i="20"/>
  <c r="AE557" i="20"/>
  <c r="AM557" i="20"/>
  <c r="AE556" i="20"/>
  <c r="AM556" i="20"/>
  <c r="AE552" i="20"/>
  <c r="AM552" i="20"/>
  <c r="AE550" i="20"/>
  <c r="AM550" i="20"/>
  <c r="AE547" i="20"/>
  <c r="AM547" i="20"/>
  <c r="AE546" i="20"/>
  <c r="AM546" i="20"/>
  <c r="AE541" i="20"/>
  <c r="AM541" i="20"/>
  <c r="AE540" i="20"/>
  <c r="AM540" i="20"/>
  <c r="AE536" i="20"/>
  <c r="AM536" i="20"/>
  <c r="AE534" i="20"/>
  <c r="AM534" i="20"/>
  <c r="AE531" i="20"/>
  <c r="AM531" i="20"/>
  <c r="AE529" i="20"/>
  <c r="AM529" i="20"/>
  <c r="AE528" i="20"/>
  <c r="AM528" i="20"/>
  <c r="AE525" i="20"/>
  <c r="AM525" i="20"/>
  <c r="AE524" i="20"/>
  <c r="AM524" i="20"/>
  <c r="AE522" i="20"/>
  <c r="AM522" i="20"/>
  <c r="AE519" i="20"/>
  <c r="AM519" i="20"/>
  <c r="AE517" i="20"/>
  <c r="AM517" i="20"/>
  <c r="AE515" i="20"/>
  <c r="AM515" i="20"/>
  <c r="AE514" i="20"/>
  <c r="AM514" i="20"/>
  <c r="AE513" i="20"/>
  <c r="AM513" i="20"/>
  <c r="AE510" i="20"/>
  <c r="AM510" i="20"/>
  <c r="AE507" i="20"/>
  <c r="AM507" i="20"/>
  <c r="AE504" i="20"/>
  <c r="AM504" i="20"/>
  <c r="AE503" i="20"/>
  <c r="AM503" i="20"/>
  <c r="AE501" i="20"/>
  <c r="AM501" i="20"/>
  <c r="AE500" i="20"/>
  <c r="AM500" i="20"/>
  <c r="AE498" i="20"/>
  <c r="AM498" i="20"/>
  <c r="AE497" i="20"/>
  <c r="AM497" i="20"/>
  <c r="AE495" i="20"/>
  <c r="AM495" i="20"/>
  <c r="AE494" i="20"/>
  <c r="AM494" i="20"/>
  <c r="AE492" i="20"/>
  <c r="AM492" i="20"/>
  <c r="AE491" i="20"/>
  <c r="AM491" i="20"/>
  <c r="AE489" i="20"/>
  <c r="AM489" i="20"/>
  <c r="AE488" i="20"/>
  <c r="AM488" i="20"/>
  <c r="AE486" i="20"/>
  <c r="AM486" i="20"/>
  <c r="AE485" i="20"/>
  <c r="AM485" i="20"/>
  <c r="AE483" i="20"/>
  <c r="AM483" i="20"/>
  <c r="AE482" i="20"/>
  <c r="AM482" i="20"/>
  <c r="AE479" i="20"/>
  <c r="AM479" i="20"/>
  <c r="AE477" i="20"/>
  <c r="AM477" i="20"/>
  <c r="AE476" i="20"/>
  <c r="AM476" i="20"/>
  <c r="AE474" i="20"/>
  <c r="AM474" i="20"/>
  <c r="AE473" i="20"/>
  <c r="AM473" i="20"/>
  <c r="AE471" i="20"/>
  <c r="AM471" i="20"/>
  <c r="AE468" i="20"/>
  <c r="AM468" i="20"/>
  <c r="AE467" i="20"/>
  <c r="AM467" i="20"/>
  <c r="AE465" i="20"/>
  <c r="AM465" i="20"/>
  <c r="AE464" i="20"/>
  <c r="AM464" i="20"/>
  <c r="AE462" i="20"/>
  <c r="AM462" i="20"/>
  <c r="AE461" i="20"/>
  <c r="AM461" i="20"/>
  <c r="AE458" i="20"/>
  <c r="AM458" i="20"/>
  <c r="AE456" i="20"/>
  <c r="AM456" i="20"/>
  <c r="AE455" i="20"/>
  <c r="AM455" i="20"/>
  <c r="AE453" i="20"/>
  <c r="AM453" i="20"/>
  <c r="AE452" i="20"/>
  <c r="AM452" i="20"/>
  <c r="AE450" i="20"/>
  <c r="AM450" i="20"/>
  <c r="AE447" i="20"/>
  <c r="AM447" i="20"/>
  <c r="AE446" i="20"/>
  <c r="AM446" i="20"/>
  <c r="AE444" i="20"/>
  <c r="AM444" i="20"/>
  <c r="AE438" i="20"/>
  <c r="AM438" i="20"/>
  <c r="AE435" i="20"/>
  <c r="AM435" i="20"/>
  <c r="AE432" i="20"/>
  <c r="AM432" i="20"/>
  <c r="AE429" i="20"/>
  <c r="AM429" i="20"/>
  <c r="AE426" i="20"/>
  <c r="AM426" i="20"/>
  <c r="AE422" i="20"/>
  <c r="AM422" i="20"/>
  <c r="AE420" i="20"/>
  <c r="AM420" i="20"/>
  <c r="AE414" i="20"/>
  <c r="AM414" i="20"/>
  <c r="AE411" i="20"/>
  <c r="AM411" i="20"/>
  <c r="AE404" i="20"/>
  <c r="AE402" i="20"/>
  <c r="AM402" i="20"/>
  <c r="AE401" i="20"/>
  <c r="AM401" i="20"/>
  <c r="AE400" i="20"/>
  <c r="AM400" i="20"/>
  <c r="AE399" i="20"/>
  <c r="AM399" i="20"/>
  <c r="AE398" i="20"/>
  <c r="AM398" i="20"/>
  <c r="AE397" i="20"/>
  <c r="AM397" i="20"/>
  <c r="AE395" i="20"/>
  <c r="AM395" i="20"/>
  <c r="AE393" i="20"/>
  <c r="AM393" i="20"/>
  <c r="AE392" i="20"/>
  <c r="AM392" i="20"/>
  <c r="AE391" i="20"/>
  <c r="AM391" i="20"/>
  <c r="AE390" i="20"/>
  <c r="AM390" i="20"/>
  <c r="AE386" i="20"/>
  <c r="AM386" i="20"/>
  <c r="AE384" i="20"/>
  <c r="AM384" i="20"/>
  <c r="AE383" i="20"/>
  <c r="AM383" i="20"/>
  <c r="AE381" i="20"/>
  <c r="AM381" i="20"/>
  <c r="AE377" i="20"/>
  <c r="AM377" i="20"/>
  <c r="AE374" i="20"/>
  <c r="AM374" i="20"/>
  <c r="AE373" i="20"/>
  <c r="AM373" i="20"/>
  <c r="AE371" i="20"/>
  <c r="AM371" i="20"/>
  <c r="AE370" i="20"/>
  <c r="AM370" i="20"/>
  <c r="AE368" i="20"/>
  <c r="AM368" i="20"/>
  <c r="AE367" i="20"/>
  <c r="AM367" i="20"/>
  <c r="AE365" i="20"/>
  <c r="AM365" i="20"/>
  <c r="AE364" i="20"/>
  <c r="AM364" i="20"/>
  <c r="AE362" i="20"/>
  <c r="AM362" i="20"/>
  <c r="AE361" i="20"/>
  <c r="AM361" i="20"/>
  <c r="AE359" i="20"/>
  <c r="AM359" i="20"/>
  <c r="AE358" i="20"/>
  <c r="AM358" i="20"/>
  <c r="AE356" i="20"/>
  <c r="AM356" i="20"/>
  <c r="AE355" i="20"/>
  <c r="AM355" i="20"/>
  <c r="AE353" i="20"/>
  <c r="AM353" i="20"/>
  <c r="AE352" i="20"/>
  <c r="AM352" i="20"/>
  <c r="AE349" i="20"/>
  <c r="AM349" i="20"/>
  <c r="AE347" i="20"/>
  <c r="AM347" i="20"/>
  <c r="AE346" i="20"/>
  <c r="AM346" i="20"/>
  <c r="AE344" i="20"/>
  <c r="AM344" i="20"/>
  <c r="AE343" i="20"/>
  <c r="AM343" i="20"/>
  <c r="AE341" i="20"/>
  <c r="AM341" i="20"/>
  <c r="AE338" i="20"/>
  <c r="AM338" i="20"/>
  <c r="AE337" i="20"/>
  <c r="AM337" i="20"/>
  <c r="AE335" i="20"/>
  <c r="AM335" i="20"/>
  <c r="AE333" i="20"/>
  <c r="AM333" i="20"/>
  <c r="AE332" i="20"/>
  <c r="AM332" i="20"/>
  <c r="AE327" i="20"/>
  <c r="AM327" i="20"/>
  <c r="AE326" i="20"/>
  <c r="AM326" i="20"/>
  <c r="AE323" i="20"/>
  <c r="AM323" i="20"/>
  <c r="AE321" i="20"/>
  <c r="AM321" i="20"/>
  <c r="AE320" i="20"/>
  <c r="AM320" i="20"/>
  <c r="AE319" i="20"/>
  <c r="AM319" i="20"/>
  <c r="AE317" i="20"/>
  <c r="AM317" i="20"/>
  <c r="AE314" i="20"/>
  <c r="AM314" i="20"/>
  <c r="AE311" i="20"/>
  <c r="AM311" i="20"/>
  <c r="AE308" i="20"/>
  <c r="AM308" i="20"/>
  <c r="AE305" i="20"/>
  <c r="AM305" i="20"/>
  <c r="AE302" i="20"/>
  <c r="AM302" i="20"/>
  <c r="AE299" i="20"/>
  <c r="AM299" i="20"/>
  <c r="AE296" i="20"/>
  <c r="AM296" i="20"/>
  <c r="AE287" i="20"/>
  <c r="AM287" i="20"/>
  <c r="AE284" i="20"/>
  <c r="AM284" i="20"/>
  <c r="AE281" i="20"/>
  <c r="AM281" i="20"/>
  <c r="AE278" i="20"/>
  <c r="AM278" i="20"/>
  <c r="AE273" i="20"/>
  <c r="AM273" i="20"/>
  <c r="AE267" i="20"/>
  <c r="AM267" i="20"/>
  <c r="AE266" i="20"/>
  <c r="AM266" i="20"/>
  <c r="AE263" i="20"/>
  <c r="AM263" i="20"/>
  <c r="AE261" i="20"/>
  <c r="AM261" i="20"/>
  <c r="AE260" i="20"/>
  <c r="AM260" i="20"/>
  <c r="AE258" i="20"/>
  <c r="AM258" i="20"/>
  <c r="AE252" i="20"/>
  <c r="AM252" i="20"/>
  <c r="AE251" i="20"/>
  <c r="AM251" i="20"/>
  <c r="AE249" i="20"/>
  <c r="AM249" i="20"/>
  <c r="AE248" i="20"/>
  <c r="AM248" i="20"/>
  <c r="AE247" i="20"/>
  <c r="AM247" i="20"/>
  <c r="AE246" i="20"/>
  <c r="AE240" i="20"/>
  <c r="AM240" i="20"/>
  <c r="AE239" i="20"/>
  <c r="AM239" i="20"/>
  <c r="AE237" i="20"/>
  <c r="AM237" i="20"/>
  <c r="AE222" i="20"/>
  <c r="AM222" i="20"/>
  <c r="AE219" i="20"/>
  <c r="AM219" i="20"/>
  <c r="AE218" i="20"/>
  <c r="AM218" i="20"/>
  <c r="AE216" i="20"/>
  <c r="AM216" i="20"/>
  <c r="AE215" i="20"/>
  <c r="AM215" i="20"/>
  <c r="AE214" i="20"/>
  <c r="AM214" i="20"/>
  <c r="AE213" i="20"/>
  <c r="AM213" i="20"/>
  <c r="AE212" i="20"/>
  <c r="AM212" i="20"/>
  <c r="AE211" i="20"/>
  <c r="AM211" i="20"/>
  <c r="AE209" i="20"/>
  <c r="AM209" i="20"/>
  <c r="AE208" i="20"/>
  <c r="AM208" i="20"/>
  <c r="AE207" i="20"/>
  <c r="AM207" i="20"/>
  <c r="AE206" i="20"/>
  <c r="AM206" i="20"/>
  <c r="AE205" i="20"/>
  <c r="AM205" i="20"/>
  <c r="AE203" i="20"/>
  <c r="AM203" i="20"/>
  <c r="AE202" i="20"/>
  <c r="AM202" i="20"/>
  <c r="AE200" i="20"/>
  <c r="AM200" i="20"/>
  <c r="AE197" i="20"/>
  <c r="AM197" i="20"/>
  <c r="AE196" i="20"/>
  <c r="AM196" i="20"/>
  <c r="AE194" i="20"/>
  <c r="AM194" i="20"/>
  <c r="AE193" i="20"/>
  <c r="AM193" i="20"/>
  <c r="AE191" i="20"/>
  <c r="AM191" i="20"/>
  <c r="AE190" i="20"/>
  <c r="AM190" i="20"/>
  <c r="AE186" i="20"/>
  <c r="AM186" i="20"/>
  <c r="AE185" i="20"/>
  <c r="AM185" i="20"/>
  <c r="AE180" i="20"/>
  <c r="AM180" i="20"/>
  <c r="AE179" i="20"/>
  <c r="AM179" i="20"/>
  <c r="AE174" i="20"/>
  <c r="AM174" i="20"/>
  <c r="AE173" i="20"/>
  <c r="AM173" i="20"/>
  <c r="AE169" i="20"/>
  <c r="AM169" i="20"/>
  <c r="AE167" i="20"/>
  <c r="AM167" i="20"/>
  <c r="AE166" i="20"/>
  <c r="AM166" i="20"/>
  <c r="AE162" i="20"/>
  <c r="AM162" i="20"/>
  <c r="AE161" i="20"/>
  <c r="AM161" i="20"/>
  <c r="AE157" i="20"/>
  <c r="AM157" i="20"/>
  <c r="AE155" i="20"/>
  <c r="AM155" i="20"/>
  <c r="AE153" i="20"/>
  <c r="AM153" i="20"/>
  <c r="AE151" i="20"/>
  <c r="AM151" i="20"/>
  <c r="AE149" i="20"/>
  <c r="AM149" i="20"/>
  <c r="AE143" i="20"/>
  <c r="AM143" i="20"/>
  <c r="AE139" i="20"/>
  <c r="AM139" i="20"/>
  <c r="AE137" i="20"/>
  <c r="AM137" i="20"/>
  <c r="AE136" i="20"/>
  <c r="AM136" i="20"/>
  <c r="AE132" i="20"/>
  <c r="AM132" i="20"/>
  <c r="AE131" i="20"/>
  <c r="AM131" i="20"/>
  <c r="AE130" i="20"/>
  <c r="AM130" i="20"/>
  <c r="AE125" i="20"/>
  <c r="AM125" i="20"/>
  <c r="AE124" i="20"/>
  <c r="AM124" i="20"/>
  <c r="AE121" i="20"/>
  <c r="AM121" i="20"/>
  <c r="AE119" i="20"/>
  <c r="AM119" i="20"/>
  <c r="AE115" i="20"/>
  <c r="AM115" i="20"/>
  <c r="AE114" i="20"/>
  <c r="AM114" i="20"/>
  <c r="AE112" i="20"/>
  <c r="AM112" i="20"/>
  <c r="AE109" i="20"/>
  <c r="AM109" i="20"/>
  <c r="AE105" i="20"/>
  <c r="AM105" i="20"/>
  <c r="AE103" i="20"/>
  <c r="AM103" i="20"/>
  <c r="AE97" i="20"/>
  <c r="AM97" i="20"/>
  <c r="AE95" i="20"/>
  <c r="AM95" i="20"/>
  <c r="AE94" i="20"/>
  <c r="AM94" i="20"/>
  <c r="AE93" i="20"/>
  <c r="AM93" i="20"/>
  <c r="AE92" i="20"/>
  <c r="AM92" i="20"/>
  <c r="AE91" i="20"/>
  <c r="AM91" i="20"/>
  <c r="AE89" i="20"/>
  <c r="AM89" i="20"/>
  <c r="AE88" i="20"/>
  <c r="AM88" i="20"/>
  <c r="AE86" i="20"/>
  <c r="AM86" i="20"/>
  <c r="AE85" i="20"/>
  <c r="AM85" i="20"/>
  <c r="AE83" i="20"/>
  <c r="AM83" i="20"/>
  <c r="AE82" i="20"/>
  <c r="AM82" i="20"/>
  <c r="AE80" i="20"/>
  <c r="AM80" i="20"/>
  <c r="AE79" i="20"/>
  <c r="AM79" i="20"/>
  <c r="AE76" i="20"/>
  <c r="AM76" i="20"/>
  <c r="AE74" i="20"/>
  <c r="AM74" i="20"/>
  <c r="AE73" i="20"/>
  <c r="AM73" i="20"/>
  <c r="AE71" i="20"/>
  <c r="AM71" i="20"/>
  <c r="AE67" i="20"/>
  <c r="AM67" i="20"/>
  <c r="AE65" i="20"/>
  <c r="AM65" i="20"/>
  <c r="AE64" i="20"/>
  <c r="AM64" i="20"/>
  <c r="AE62" i="20"/>
  <c r="AM62" i="20"/>
  <c r="AE61" i="20"/>
  <c r="AM61" i="20"/>
  <c r="AE59" i="20"/>
  <c r="AM59" i="20"/>
  <c r="AE58" i="20"/>
  <c r="AM58" i="20"/>
  <c r="AE56" i="20"/>
  <c r="AM56" i="20"/>
  <c r="AE55" i="20"/>
  <c r="AM55" i="20"/>
  <c r="AE53" i="20"/>
  <c r="AM53" i="20"/>
  <c r="AE52" i="20"/>
  <c r="AM52" i="20"/>
  <c r="AE50" i="20"/>
  <c r="AM50" i="20"/>
  <c r="AE49" i="20"/>
  <c r="AM49" i="20"/>
  <c r="AE47" i="20"/>
  <c r="AM47" i="20"/>
  <c r="AE46" i="20"/>
  <c r="AM46" i="20"/>
  <c r="AE44" i="20"/>
  <c r="AM44" i="20"/>
  <c r="AE43" i="20"/>
  <c r="AM43" i="20"/>
  <c r="AE41" i="20"/>
  <c r="AM41" i="20"/>
  <c r="AE40" i="20"/>
  <c r="AM40" i="20"/>
  <c r="AE38" i="20"/>
  <c r="AM38" i="20"/>
  <c r="AE37" i="20"/>
  <c r="AE35" i="20"/>
  <c r="AM35" i="20"/>
  <c r="AE34" i="20"/>
  <c r="AM34" i="20"/>
  <c r="AE32" i="20"/>
  <c r="AM32" i="20"/>
  <c r="AE31" i="20"/>
  <c r="AM31" i="20"/>
  <c r="P1384" i="20"/>
  <c r="AB1390" i="20"/>
  <c r="T1382" i="20"/>
  <c r="X1382" i="20"/>
  <c r="M1382" i="20"/>
  <c r="M1384" i="20"/>
  <c r="AA6" i="20"/>
  <c r="AM6" i="20"/>
  <c r="AA9" i="20"/>
  <c r="AA13" i="20"/>
  <c r="AA22" i="20"/>
  <c r="AA28" i="20"/>
  <c r="AA23" i="20"/>
  <c r="AA5" i="20"/>
  <c r="AA19" i="20"/>
  <c r="AA26" i="20"/>
  <c r="AA10" i="20"/>
  <c r="AA27" i="20"/>
  <c r="AE6" i="20"/>
  <c r="AA16" i="20"/>
  <c r="AA25" i="20"/>
  <c r="AA12" i="20"/>
  <c r="AA20" i="20"/>
  <c r="AA15" i="20"/>
  <c r="AA18" i="20"/>
  <c r="AA24" i="20"/>
  <c r="AA21" i="20"/>
  <c r="AA7" i="20"/>
  <c r="AA14" i="20"/>
  <c r="AA17" i="20"/>
  <c r="AA8" i="20"/>
  <c r="AM17" i="20"/>
  <c r="S1382" i="20"/>
  <c r="AM24" i="20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2" i="19"/>
  <c r="AE28" i="20"/>
  <c r="AM28" i="20"/>
  <c r="AE27" i="20"/>
  <c r="AM27" i="20"/>
  <c r="AE26" i="20"/>
  <c r="AM26" i="20"/>
  <c r="AE25" i="20"/>
  <c r="AM25" i="20"/>
  <c r="AE24" i="20"/>
  <c r="AE23" i="20"/>
  <c r="AM23" i="20"/>
  <c r="AE22" i="20"/>
  <c r="AM22" i="20"/>
  <c r="AE21" i="20"/>
  <c r="AM21" i="20"/>
  <c r="AE20" i="20"/>
  <c r="AM20" i="20"/>
  <c r="AE19" i="20"/>
  <c r="AM19" i="20"/>
  <c r="AE18" i="20"/>
  <c r="AM18" i="20"/>
  <c r="AE16" i="20"/>
  <c r="AM16" i="20"/>
  <c r="AE15" i="20"/>
  <c r="AM15" i="20"/>
  <c r="AE14" i="20"/>
  <c r="AM14" i="20"/>
  <c r="AE13" i="20"/>
  <c r="AM13" i="20"/>
  <c r="AE12" i="20"/>
  <c r="AM12" i="20"/>
  <c r="AE10" i="20"/>
  <c r="AM10" i="20"/>
  <c r="AE9" i="20"/>
  <c r="AM9" i="20"/>
  <c r="AE8" i="20"/>
  <c r="AM8" i="20"/>
  <c r="AE7" i="20"/>
  <c r="AM7" i="20"/>
  <c r="AE5" i="20"/>
  <c r="AM5" i="20"/>
  <c r="AA11" i="20"/>
  <c r="U1382" i="20"/>
  <c r="W1382" i="20"/>
  <c r="V1382" i="20"/>
  <c r="AE11" i="20"/>
  <c r="AM11" i="20"/>
  <c r="Y1384" i="20"/>
  <c r="AM4" i="20"/>
  <c r="AA4" i="20"/>
  <c r="AA1382" i="20"/>
  <c r="AC1382" i="20"/>
  <c r="AE4" i="20"/>
  <c r="AE1382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Hassan</author>
  </authors>
  <commentList>
    <comment ref="N3" authorId="0" shapeId="0" xr:uid="{3BF7D12D-CB24-482D-B353-4E725E5983B0}">
      <text>
        <r>
          <rPr>
            <b/>
            <sz val="9"/>
            <color indexed="81"/>
            <rFont val="Tahoma"/>
            <family val="2"/>
          </rPr>
          <t>Hassan: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إجمالي الدخل من جهة العمل الآخرى
 ."</t>
        </r>
        <r>
          <rPr>
            <b/>
            <i/>
            <u/>
            <sz val="11"/>
            <color indexed="81"/>
            <rFont val="Tahoma"/>
            <family val="2"/>
          </rPr>
          <t>لا يُدرج بتسوية المنظومة"</t>
        </r>
      </text>
    </comment>
    <comment ref="B1389" authorId="0" shapeId="0" xr:uid="{9487DBBD-60E6-48FF-A289-7E7DA5AF1F08}">
      <text>
        <r>
          <rPr>
            <b/>
            <sz val="9"/>
            <color indexed="81"/>
            <rFont val="Tahoma"/>
            <family val="2"/>
          </rPr>
          <t>Hassan: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20"/>
            <color indexed="81"/>
            <rFont val="Arial"/>
            <family val="2"/>
          </rPr>
          <t>لا يُدرَج بتسوية المنظومة</t>
        </r>
      </text>
    </comment>
  </commentList>
</comments>
</file>

<file path=xl/sharedStrings.xml><?xml version="1.0" encoding="utf-8"?>
<sst xmlns="http://schemas.openxmlformats.org/spreadsheetml/2006/main" count="184" uniqueCount="141">
  <si>
    <t>الفرق</t>
  </si>
  <si>
    <t>الضريبه المسدده عن المبالغ القطعيه بجهه العمل الأخرى</t>
  </si>
  <si>
    <t>اجمالي الدخل من جميع الجهات</t>
  </si>
  <si>
    <t>كود الموظف</t>
  </si>
  <si>
    <t xml:space="preserve">تاريخ الاشتراك في التامينات الاجتماعية </t>
  </si>
  <si>
    <t>الموقف من التامينات</t>
  </si>
  <si>
    <t>إسم الموظف</t>
  </si>
  <si>
    <t>الوظيفة</t>
  </si>
  <si>
    <t>رقم التأمينات</t>
  </si>
  <si>
    <t>الرقم القومي</t>
  </si>
  <si>
    <t>رقم الهاتف</t>
  </si>
  <si>
    <t>الموقف من التأمينات</t>
  </si>
  <si>
    <t>الاسم</t>
  </si>
  <si>
    <t xml:space="preserve">الوظيفة </t>
  </si>
  <si>
    <t xml:space="preserve">الرقم التاميني </t>
  </si>
  <si>
    <t xml:space="preserve">الرقم القومي </t>
  </si>
  <si>
    <t>رقم التليفون</t>
  </si>
  <si>
    <t xml:space="preserve">مدة العمل </t>
  </si>
  <si>
    <t xml:space="preserve">الاجر الاساسي </t>
  </si>
  <si>
    <t xml:space="preserve">بدلات و مكافاءات </t>
  </si>
  <si>
    <t>حصة العامل فى التامينات</t>
  </si>
  <si>
    <t xml:space="preserve">خصومات اخري (جزاءات) </t>
  </si>
  <si>
    <t xml:space="preserve">تامين طبي </t>
  </si>
  <si>
    <t>الصافى</t>
  </si>
  <si>
    <t>اعفاء شخصي</t>
  </si>
  <si>
    <t>الوعاء</t>
  </si>
  <si>
    <t>الوعاء السنوى</t>
  </si>
  <si>
    <t>الضريبه السنويه</t>
  </si>
  <si>
    <t>خصومات أخري</t>
  </si>
  <si>
    <t xml:space="preserve">Social
 Insurance
Comp. Share </t>
  </si>
  <si>
    <t xml:space="preserve">المنصرف من البنك </t>
  </si>
  <si>
    <t>المنصرف من البنك وفقًا للشركة</t>
  </si>
  <si>
    <t>نهله مفيد عبدالعليم الابيارى</t>
  </si>
  <si>
    <t>أستشارى</t>
  </si>
  <si>
    <t>01223103177</t>
  </si>
  <si>
    <t>محمود هشام رفعت يونس بزان</t>
  </si>
  <si>
    <t>01002269979</t>
  </si>
  <si>
    <t>آيه كمال مهران مهران</t>
  </si>
  <si>
    <t>01066089255</t>
  </si>
  <si>
    <t>خالد عبد الحميد محمد سيف الدين</t>
  </si>
  <si>
    <t>موظف</t>
  </si>
  <si>
    <t>16/08/2007</t>
  </si>
  <si>
    <t>01210438146</t>
  </si>
  <si>
    <t>محمود شعبان أمام على</t>
  </si>
  <si>
    <t>01023354552</t>
  </si>
  <si>
    <t>سيد شعبان سيد عثمان</t>
  </si>
  <si>
    <t>01287572466</t>
  </si>
  <si>
    <t>جورج جاد نظير جاد</t>
  </si>
  <si>
    <t>01284851213</t>
  </si>
  <si>
    <t>محمد حسن حسن موسى</t>
  </si>
  <si>
    <t>01228025713</t>
  </si>
  <si>
    <t>أحمد ذكى محمد رمضان خليفة</t>
  </si>
  <si>
    <t>16/09/2018</t>
  </si>
  <si>
    <t>01273727064</t>
  </si>
  <si>
    <t>سيد فاروق أحمد قطب</t>
  </si>
  <si>
    <t>19/09/2018</t>
  </si>
  <si>
    <t>01119079275</t>
  </si>
  <si>
    <t>وليد محمد سمير إبراهيم</t>
  </si>
  <si>
    <t>01204400443</t>
  </si>
  <si>
    <t>أحمد السعيد أحمد عبد المقصود</t>
  </si>
  <si>
    <t>01114475752</t>
  </si>
  <si>
    <t>أبو بكر عاطف عبد الوهاب عبد الرازق</t>
  </si>
  <si>
    <t>13/03/2019</t>
  </si>
  <si>
    <t>01142916611</t>
  </si>
  <si>
    <t>أشرف إبراهيم سليمان إبراهيم</t>
  </si>
  <si>
    <t>01222557813</t>
  </si>
  <si>
    <t>محمد عوض أحمد محمد</t>
  </si>
  <si>
    <t>01151883826</t>
  </si>
  <si>
    <t>هشام محمد إبراهيم الكفراوى</t>
  </si>
  <si>
    <t>25/08/2021</t>
  </si>
  <si>
    <t>01002171525</t>
  </si>
  <si>
    <t>حامد محمد عثمان محمد</t>
  </si>
  <si>
    <t>01099288775</t>
  </si>
  <si>
    <t>شريف محمد أحمد الكويدى</t>
  </si>
  <si>
    <t>01008407900</t>
  </si>
  <si>
    <t>محمود مأمون عبد السلام الجوجرى</t>
  </si>
  <si>
    <t>01099581275</t>
  </si>
  <si>
    <t>عمر سمير حسين محمد</t>
  </si>
  <si>
    <t>01112559167</t>
  </si>
  <si>
    <t>محمد عبد العليم فرج أبو جايدة</t>
  </si>
  <si>
    <t>01022877161</t>
  </si>
  <si>
    <t>محمد شحاته عبد المالك جابر</t>
  </si>
  <si>
    <t>18/07/2022</t>
  </si>
  <si>
    <t>01062297859</t>
  </si>
  <si>
    <t>مصطفى منير إبراهيم محمد</t>
  </si>
  <si>
    <t>01114673303</t>
  </si>
  <si>
    <t>أميرة ناصر محمد محمد</t>
  </si>
  <si>
    <t>14/09/2022</t>
  </si>
  <si>
    <t>01120314092</t>
  </si>
  <si>
    <t>أحمد سمير فاروق مصطفى</t>
  </si>
  <si>
    <t>16/09/2022</t>
  </si>
  <si>
    <t>01208300240</t>
  </si>
  <si>
    <t>محمد جمعه محمود جمعه</t>
  </si>
  <si>
    <t>01021067555</t>
  </si>
  <si>
    <t>عبدالرحمن أنور عبدالباقي الخولي</t>
  </si>
  <si>
    <t>01003273437</t>
  </si>
  <si>
    <t>محمد وجدي حسني تفكير</t>
  </si>
  <si>
    <t>01021320080</t>
  </si>
  <si>
    <t>نورهان محمود أحمد المليجي</t>
  </si>
  <si>
    <t>01152898284</t>
  </si>
  <si>
    <t>كريم ضياء الدين عبدالله</t>
  </si>
  <si>
    <t>01220920909</t>
  </si>
  <si>
    <t>اسماء محمد عواد احمد</t>
  </si>
  <si>
    <t>01154683778</t>
  </si>
  <si>
    <t>خلود طارق حسن السيد</t>
  </si>
  <si>
    <t>01147325004</t>
  </si>
  <si>
    <t>سيد عبدالرضي محمود عبدالرضي</t>
  </si>
  <si>
    <t>احمد زكي صالح زكي</t>
  </si>
  <si>
    <t>محمود حسن محمد جمعه</t>
  </si>
  <si>
    <t>01142229709</t>
  </si>
  <si>
    <t>بسمه محمود جمال الدين</t>
  </si>
  <si>
    <t>مريم محمد خليل الشويخ</t>
  </si>
  <si>
    <t>احمد عادل ابراهيم عبد التواب</t>
  </si>
  <si>
    <t>01033372455</t>
  </si>
  <si>
    <t>01069487401</t>
  </si>
  <si>
    <t>01124213767</t>
  </si>
  <si>
    <t>01151056200</t>
  </si>
  <si>
    <t>01156969060</t>
  </si>
  <si>
    <t>Net Salary</t>
  </si>
  <si>
    <t>الإجمالي</t>
  </si>
  <si>
    <t>ضريبة الفتره</t>
  </si>
  <si>
    <t>المبالغ المنصرفه من جهات العمل الأخرى</t>
  </si>
  <si>
    <t>إجمالي الدخل</t>
  </si>
  <si>
    <t>أجـــــــــــــــــــــــــــــــــــــــــــــــــــــــــــــــــــــــــــــــــور مُــــــــــــــــــــــــــــــــــــــــــعـــــــــــــــــــــــــــــــــــــــــــــــــــــــــــاريـــــــــــــيــــــــــــــــــــــــــــــــــــــــــــن</t>
  </si>
  <si>
    <t>من مذكورين</t>
  </si>
  <si>
    <t>إلي مذكورين</t>
  </si>
  <si>
    <t xml:space="preserve">الاجمــــــــــــــــــــــــــــــــــــــــــــــالى </t>
  </si>
  <si>
    <t>حـ/ البنك</t>
  </si>
  <si>
    <t>حـ/ الهيئه العامه للتأمينات الإجتماعية</t>
  </si>
  <si>
    <t>حـ/ ضريبة كسب العمل</t>
  </si>
  <si>
    <t>حـ/ سُلَف</t>
  </si>
  <si>
    <t>حـ/ أجور ومرتبات وما فى حكمها</t>
  </si>
  <si>
    <t>حـ/ حصة الشركة في التأمينات الإجتماعية</t>
  </si>
  <si>
    <t>قيد المرتبات الشهري</t>
  </si>
  <si>
    <t>إسم المحاسب/ حسن علي حسن</t>
  </si>
  <si>
    <t>Settlement of wages and salaries for the month of Jan 2025</t>
  </si>
  <si>
    <t>company : El Mohandes</t>
  </si>
  <si>
    <t>م</t>
  </si>
  <si>
    <t>سداد السلف الدائمة</t>
  </si>
  <si>
    <t xml:space="preserve">رقم التسجيل الضريبي/ </t>
  </si>
  <si>
    <t xml:space="preserve">إسم الشركة/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</si>
</sst>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(* #,##0.00_);_(* \(#,##0.00\);_(* &quot;-&quot;??_);_(@_)"/>
    <numFmt numFmtId="165" formatCode="#,##0_ ;\-#,##0\ "/>
    <numFmt numFmtId="166" formatCode="_-* #,##0_-;\-* #,##0_-;_-* &quot;-&quot;??_-;_-@_-"/>
    <numFmt numFmtId="167" formatCode="_-* #,##0.00_-;_-* #,##0.00\-;_-* &quot;-&quot;??_-;_-@_-"/>
    <numFmt numFmtId="168" formatCode="_(* #,##0_);_(* \(#,##0\);_(* &quot;-&quot;??_);_(@_)"/>
    <numFmt numFmtId="169" formatCode="#,##0.00_ ;\-#,##0.00\ "/>
    <numFmt numFmtId="170" formatCode="#,##0.000000_ ;\-#,##0.000000\ "/>
    <numFmt numFmtId="171" formatCode="_-* #,##0_-;_-* #,##0\-;_-* &quot;-&quot;??_-;_-@_-"/>
    <numFmt numFmtId="172" formatCode="#,##0_ ;[Red]\-#,##0\ "/>
    <numFmt numFmtId="173" formatCode="0.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u/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5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u/>
      <sz val="14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5"/>
      <name val="Calibri"/>
      <family val="2"/>
      <scheme val="minor"/>
    </font>
    <font>
      <b/>
      <i/>
      <sz val="11"/>
      <color theme="5"/>
      <name val="Calibri"/>
      <family val="2"/>
      <scheme val="minor"/>
    </font>
    <font>
      <b/>
      <i/>
      <u/>
      <sz val="12"/>
      <color rgb="FFFFFF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i/>
      <sz val="12"/>
      <color rgb="FFFFFF00"/>
      <name val="Calibri"/>
      <family val="2"/>
      <scheme val="minor"/>
    </font>
    <font>
      <b/>
      <sz val="10"/>
      <color indexed="81"/>
      <name val="Tahoma"/>
      <family val="2"/>
    </font>
    <font>
      <b/>
      <i/>
      <u/>
      <sz val="11"/>
      <color indexed="81"/>
      <name val="Tahoma"/>
      <family val="2"/>
    </font>
    <font>
      <b/>
      <sz val="14"/>
      <color rgb="FFFFFF00"/>
      <name val="Arial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20"/>
      <color indexed="81"/>
      <name val="Arial"/>
      <family val="2"/>
    </font>
    <font>
      <b/>
      <sz val="16"/>
      <color theme="9"/>
      <name val="Calibri"/>
      <family val="2"/>
      <scheme val="minor"/>
    </font>
    <font>
      <b/>
      <i/>
      <u/>
      <sz val="14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2">
    <xf numFmtId="0" fontId="0" fillId="0" borderId="0" xfId="0"/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8" fontId="3" fillId="0" borderId="1" xfId="6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164" fontId="3" fillId="0" borderId="3" xfId="6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6" applyFont="1" applyAlignment="1">
      <alignment horizontal="center" vertical="center"/>
    </xf>
    <xf numFmtId="0" fontId="9" fillId="0" borderId="0" xfId="2" applyFont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3" fontId="7" fillId="2" borderId="6" xfId="0" applyNumberFormat="1" applyFont="1" applyFill="1" applyBorder="1" applyAlignment="1">
      <alignment horizontal="center" vertical="center"/>
    </xf>
    <xf numFmtId="3" fontId="7" fillId="2" borderId="7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9" fontId="9" fillId="0" borderId="0" xfId="2" applyNumberFormat="1" applyFont="1" applyAlignment="1">
      <alignment horizontal="center" vertical="center" wrapText="1"/>
    </xf>
    <xf numFmtId="169" fontId="9" fillId="0" borderId="0" xfId="2" applyNumberFormat="1" applyFont="1" applyAlignment="1">
      <alignment horizontal="center" vertical="center"/>
    </xf>
    <xf numFmtId="169" fontId="10" fillId="0" borderId="0" xfId="0" applyNumberFormat="1" applyFont="1" applyAlignment="1">
      <alignment horizontal="center" vertical="center" wrapText="1"/>
    </xf>
    <xf numFmtId="170" fontId="3" fillId="0" borderId="0" xfId="0" applyNumberFormat="1" applyFont="1" applyAlignment="1">
      <alignment horizontal="center" vertical="center"/>
    </xf>
    <xf numFmtId="166" fontId="3" fillId="0" borderId="0" xfId="7" applyNumberFormat="1" applyFont="1" applyAlignment="1">
      <alignment horizontal="center" vertical="center"/>
    </xf>
    <xf numFmtId="164" fontId="10" fillId="0" borderId="0" xfId="6" applyFont="1" applyAlignment="1">
      <alignment horizontal="center" vertical="center"/>
    </xf>
    <xf numFmtId="166" fontId="15" fillId="0" borderId="0" xfId="7" applyNumberFormat="1" applyFont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166" fontId="15" fillId="0" borderId="0" xfId="7" applyNumberFormat="1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166" fontId="3" fillId="0" borderId="0" xfId="7" applyNumberFormat="1" applyFont="1" applyAlignment="1">
      <alignment horizontal="center" vertical="center" wrapText="1"/>
    </xf>
    <xf numFmtId="164" fontId="3" fillId="0" borderId="0" xfId="6" applyFont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/>
    </xf>
    <xf numFmtId="1" fontId="16" fillId="2" borderId="17" xfId="0" applyNumberFormat="1" applyFont="1" applyFill="1" applyBorder="1" applyAlignment="1">
      <alignment horizontal="center" vertical="center"/>
    </xf>
    <xf numFmtId="49" fontId="16" fillId="2" borderId="17" xfId="0" applyNumberFormat="1" applyFont="1" applyFill="1" applyBorder="1" applyAlignment="1" applyProtection="1">
      <alignment horizontal="center" vertical="center"/>
      <protection locked="0"/>
    </xf>
    <xf numFmtId="49" fontId="16" fillId="2" borderId="17" xfId="0" applyNumberFormat="1" applyFont="1" applyFill="1" applyBorder="1" applyAlignment="1">
      <alignment horizontal="center" vertical="center"/>
    </xf>
    <xf numFmtId="3" fontId="16" fillId="2" borderId="17" xfId="0" applyNumberFormat="1" applyFont="1" applyFill="1" applyBorder="1" applyAlignment="1">
      <alignment horizontal="center" vertical="center"/>
    </xf>
    <xf numFmtId="168" fontId="16" fillId="2" borderId="17" xfId="6" applyNumberFormat="1" applyFont="1" applyFill="1" applyBorder="1" applyAlignment="1">
      <alignment horizontal="center" vertical="center"/>
    </xf>
    <xf numFmtId="3" fontId="16" fillId="2" borderId="18" xfId="0" applyNumberFormat="1" applyFont="1" applyFill="1" applyBorder="1" applyAlignment="1">
      <alignment horizontal="center" vertical="center"/>
    </xf>
    <xf numFmtId="164" fontId="16" fillId="2" borderId="12" xfId="6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 wrapText="1"/>
    </xf>
    <xf numFmtId="0" fontId="23" fillId="0" borderId="0" xfId="2" applyFont="1" applyFill="1"/>
    <xf numFmtId="0" fontId="23" fillId="0" borderId="0" xfId="2" applyFont="1" applyFill="1" applyAlignment="1">
      <alignment horizontal="center"/>
    </xf>
    <xf numFmtId="0" fontId="23" fillId="0" borderId="0" xfId="2" applyFont="1" applyFill="1" applyBorder="1"/>
    <xf numFmtId="0" fontId="23" fillId="0" borderId="0" xfId="2" applyFont="1" applyFill="1" applyBorder="1" applyAlignment="1">
      <alignment horizontal="right"/>
    </xf>
    <xf numFmtId="1" fontId="23" fillId="0" borderId="0" xfId="2" applyNumberFormat="1" applyFont="1" applyFill="1" applyAlignment="1">
      <alignment horizontal="center"/>
    </xf>
    <xf numFmtId="0" fontId="3" fillId="0" borderId="0" xfId="2" applyFont="1" applyFill="1" applyAlignment="1">
      <alignment horizontal="center" vertical="center"/>
    </xf>
    <xf numFmtId="0" fontId="3" fillId="0" borderId="0" xfId="2" applyFont="1" applyFill="1" applyBorder="1" applyAlignment="1">
      <alignment horizontal="right"/>
    </xf>
    <xf numFmtId="0" fontId="3" fillId="0" borderId="0" xfId="2" applyFont="1" applyFill="1"/>
    <xf numFmtId="0" fontId="23" fillId="3" borderId="0" xfId="2" applyFont="1" applyFill="1"/>
    <xf numFmtId="171" fontId="23" fillId="3" borderId="0" xfId="2" applyNumberFormat="1" applyFont="1" applyFill="1"/>
    <xf numFmtId="1" fontId="23" fillId="3" borderId="0" xfId="2" applyNumberFormat="1" applyFont="1" applyFill="1"/>
    <xf numFmtId="0" fontId="23" fillId="3" borderId="0" xfId="2" applyFont="1" applyFill="1" applyAlignment="1">
      <alignment horizontal="center"/>
    </xf>
    <xf numFmtId="1" fontId="3" fillId="3" borderId="0" xfId="2" applyNumberFormat="1" applyFont="1" applyFill="1"/>
    <xf numFmtId="171" fontId="3" fillId="3" borderId="0" xfId="2" applyNumberFormat="1" applyFont="1" applyFill="1"/>
    <xf numFmtId="164" fontId="23" fillId="3" borderId="0" xfId="2" applyNumberFormat="1" applyFont="1" applyFill="1"/>
    <xf numFmtId="0" fontId="3" fillId="3" borderId="0" xfId="2" applyFont="1" applyFill="1" applyBorder="1" applyAlignment="1">
      <alignment horizontal="right"/>
    </xf>
    <xf numFmtId="0" fontId="3" fillId="3" borderId="0" xfId="2" applyFont="1" applyFill="1" applyBorder="1"/>
    <xf numFmtId="171" fontId="23" fillId="3" borderId="0" xfId="5" applyNumberFormat="1" applyFont="1" applyFill="1" applyBorder="1"/>
    <xf numFmtId="0" fontId="25" fillId="3" borderId="20" xfId="2" applyFont="1" applyFill="1" applyBorder="1"/>
    <xf numFmtId="0" fontId="25" fillId="3" borderId="0" xfId="2" applyFont="1" applyFill="1" applyBorder="1"/>
    <xf numFmtId="0" fontId="25" fillId="3" borderId="13" xfId="2" applyFont="1" applyFill="1" applyBorder="1"/>
    <xf numFmtId="171" fontId="25" fillId="3" borderId="19" xfId="5" applyNumberFormat="1" applyFont="1" applyFill="1" applyBorder="1"/>
    <xf numFmtId="0" fontId="24" fillId="3" borderId="20" xfId="2" applyFont="1" applyFill="1" applyBorder="1" applyAlignment="1">
      <alignment horizontal="right"/>
    </xf>
    <xf numFmtId="0" fontId="25" fillId="3" borderId="21" xfId="2" applyFont="1" applyFill="1" applyBorder="1"/>
    <xf numFmtId="171" fontId="24" fillId="3" borderId="22" xfId="2" applyNumberFormat="1" applyFont="1" applyFill="1" applyBorder="1"/>
    <xf numFmtId="0" fontId="24" fillId="3" borderId="0" xfId="2" applyFont="1" applyFill="1" applyBorder="1" applyAlignment="1"/>
    <xf numFmtId="0" fontId="24" fillId="3" borderId="0" xfId="2" applyFont="1" applyFill="1" applyBorder="1" applyAlignment="1">
      <alignment horizontal="center"/>
    </xf>
    <xf numFmtId="0" fontId="25" fillId="3" borderId="23" xfId="2" applyFont="1" applyFill="1" applyBorder="1"/>
    <xf numFmtId="171" fontId="24" fillId="3" borderId="0" xfId="2" applyNumberFormat="1" applyFont="1" applyFill="1" applyBorder="1" applyAlignment="1"/>
    <xf numFmtId="0" fontId="24" fillId="3" borderId="0" xfId="2" applyFont="1" applyFill="1" applyBorder="1" applyAlignment="1">
      <alignment horizontal="right"/>
    </xf>
    <xf numFmtId="171" fontId="25" fillId="3" borderId="22" xfId="5" applyNumberFormat="1" applyFont="1" applyFill="1" applyBorder="1"/>
    <xf numFmtId="0" fontId="24" fillId="3" borderId="0" xfId="2" applyFont="1" applyFill="1" applyBorder="1"/>
    <xf numFmtId="171" fontId="24" fillId="3" borderId="0" xfId="2" applyNumberFormat="1" applyFont="1" applyFill="1" applyBorder="1"/>
    <xf numFmtId="0" fontId="24" fillId="3" borderId="23" xfId="2" applyFont="1" applyFill="1" applyBorder="1" applyAlignment="1"/>
    <xf numFmtId="0" fontId="25" fillId="3" borderId="23" xfId="2" applyFont="1" applyFill="1" applyBorder="1" applyAlignment="1">
      <alignment horizontal="right"/>
    </xf>
    <xf numFmtId="171" fontId="25" fillId="3" borderId="24" xfId="5" applyNumberFormat="1" applyFont="1" applyFill="1" applyBorder="1"/>
    <xf numFmtId="0" fontId="24" fillId="3" borderId="13" xfId="2" applyFont="1" applyFill="1" applyBorder="1"/>
    <xf numFmtId="171" fontId="24" fillId="3" borderId="13" xfId="2" applyNumberFormat="1" applyFont="1" applyFill="1" applyBorder="1"/>
    <xf numFmtId="0" fontId="24" fillId="3" borderId="13" xfId="2" applyFont="1" applyFill="1" applyBorder="1" applyAlignment="1"/>
    <xf numFmtId="0" fontId="24" fillId="3" borderId="25" xfId="2" applyFont="1" applyFill="1" applyBorder="1" applyAlignment="1"/>
    <xf numFmtId="0" fontId="24" fillId="3" borderId="0" xfId="2" applyFont="1" applyFill="1"/>
    <xf numFmtId="0" fontId="25" fillId="3" borderId="0" xfId="2" applyFont="1" applyFill="1"/>
    <xf numFmtId="171" fontId="24" fillId="3" borderId="0" xfId="5" applyNumberFormat="1" applyFont="1" applyFill="1"/>
    <xf numFmtId="171" fontId="24" fillId="3" borderId="0" xfId="2" applyNumberFormat="1" applyFont="1" applyFill="1"/>
    <xf numFmtId="172" fontId="3" fillId="0" borderId="0" xfId="0" applyNumberFormat="1" applyFont="1" applyAlignment="1">
      <alignment horizontal="center" vertical="center"/>
    </xf>
    <xf numFmtId="169" fontId="23" fillId="0" borderId="0" xfId="2" applyNumberFormat="1" applyFont="1" applyFill="1"/>
    <xf numFmtId="43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3" fontId="3" fillId="0" borderId="0" xfId="0" applyNumberFormat="1" applyFont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169" fontId="3" fillId="0" borderId="26" xfId="0" applyNumberFormat="1" applyFont="1" applyBorder="1" applyAlignment="1">
      <alignment horizontal="center" vertical="center"/>
    </xf>
    <xf numFmtId="43" fontId="11" fillId="0" borderId="5" xfId="7" applyFont="1" applyBorder="1" applyAlignment="1">
      <alignment horizontal="center" vertical="center"/>
    </xf>
    <xf numFmtId="169" fontId="11" fillId="0" borderId="6" xfId="0" applyNumberFormat="1" applyFont="1" applyBorder="1" applyAlignment="1">
      <alignment horizontal="center" vertical="center"/>
    </xf>
    <xf numFmtId="166" fontId="11" fillId="0" borderId="7" xfId="7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171" fontId="3" fillId="3" borderId="0" xfId="2" applyNumberFormat="1" applyFont="1" applyFill="1" applyBorder="1"/>
    <xf numFmtId="0" fontId="29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2" fillId="2" borderId="0" xfId="2" applyFont="1" applyFill="1" applyAlignment="1">
      <alignment horizontal="center" vertical="center" wrapText="1"/>
    </xf>
    <xf numFmtId="3" fontId="6" fillId="2" borderId="8" xfId="0" applyNumberFormat="1" applyFont="1" applyFill="1" applyBorder="1" applyAlignment="1">
      <alignment horizontal="center" vertical="center"/>
    </xf>
    <xf numFmtId="3" fontId="6" fillId="2" borderId="9" xfId="0" applyNumberFormat="1" applyFont="1" applyFill="1" applyBorder="1" applyAlignment="1">
      <alignment horizontal="center" vertical="center"/>
    </xf>
    <xf numFmtId="3" fontId="6" fillId="2" borderId="10" xfId="0" applyNumberFormat="1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4" fillId="3" borderId="0" xfId="2" applyFont="1" applyFill="1" applyBorder="1" applyAlignment="1">
      <alignment horizontal="right"/>
    </xf>
    <xf numFmtId="0" fontId="27" fillId="3" borderId="0" xfId="0" applyFont="1" applyFill="1" applyAlignment="1">
      <alignment horizontal="center"/>
    </xf>
    <xf numFmtId="0" fontId="28" fillId="3" borderId="0" xfId="2" applyFont="1" applyFill="1" applyAlignment="1">
      <alignment horizontal="center" vertical="center"/>
    </xf>
    <xf numFmtId="0" fontId="28" fillId="3" borderId="23" xfId="2" applyFont="1" applyFill="1" applyBorder="1" applyAlignment="1">
      <alignment horizontal="center" vertical="center"/>
    </xf>
    <xf numFmtId="0" fontId="24" fillId="3" borderId="13" xfId="2" applyFont="1" applyFill="1" applyBorder="1" applyAlignment="1">
      <alignment horizontal="right"/>
    </xf>
  </cellXfs>
  <cellStyles count="8">
    <cellStyle name="Comma" xfId="7" builtinId="3"/>
    <cellStyle name="Comma 2" xfId="1" xr:uid="{66B1753F-BE55-4FB6-BB26-8B89B36193DC}"/>
    <cellStyle name="Comma 2 2" xfId="5" xr:uid="{072AC332-1FBB-4A06-9AA3-98F2902761AE}"/>
    <cellStyle name="Comma 3" xfId="3" xr:uid="{65F0F725-00EA-4649-8A10-43F07DCCA3DD}"/>
    <cellStyle name="Comma 4" xfId="6" xr:uid="{F85F8850-22DA-4AAB-AE4B-ACB60753B714}"/>
    <cellStyle name="Normal" xfId="0" builtinId="0"/>
    <cellStyle name="Normal 2" xfId="2" xr:uid="{0E172567-D295-42A8-9D69-23628AEE4AA5}"/>
    <cellStyle name="Normal 4" xfId="4" xr:uid="{5CF6883C-E560-42A8-BDF9-083AFDF732AD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B862A-78F7-4867-A272-EC9B87A596FE}">
  <sheetPr codeName="Sheet1">
    <tabColor theme="3"/>
  </sheetPr>
  <dimension ref="A1:H42"/>
  <sheetViews>
    <sheetView rightToLeft="1" workbookViewId="0">
      <selection activeCell="E39" sqref="E39"/>
    </sheetView>
  </sheetViews>
  <sheetFormatPr defaultColWidth="14.9296875" defaultRowHeight="15" x14ac:dyDescent="0.2"/>
  <cols>
    <col min="1" max="1" width="14.9296875" style="1" customWidth="1"/>
    <col min="2" max="2" width="28.65234375" style="1" bestFit="1" customWidth="1"/>
    <col min="3" max="3" width="14.9296875" style="1"/>
    <col min="4" max="4" width="15.06640625" style="3" bestFit="1" customWidth="1"/>
    <col min="5" max="5" width="14.9296875" style="4"/>
    <col min="6" max="6" width="14.9296875" style="3"/>
    <col min="7" max="7" width="29.99609375" style="2" bestFit="1" customWidth="1"/>
    <col min="8" max="16384" width="14.9296875" style="1"/>
  </cols>
  <sheetData>
    <row r="1" spans="1:8" ht="18.75" customHeight="1" x14ac:dyDescent="0.2">
      <c r="A1" s="1" t="s">
        <v>3</v>
      </c>
      <c r="B1" s="1" t="s">
        <v>6</v>
      </c>
      <c r="C1" s="1" t="s">
        <v>7</v>
      </c>
      <c r="D1" s="3" t="s">
        <v>9</v>
      </c>
      <c r="E1" s="4" t="s">
        <v>10</v>
      </c>
      <c r="F1" s="3" t="s">
        <v>8</v>
      </c>
      <c r="G1" s="2" t="s">
        <v>4</v>
      </c>
      <c r="H1" s="1" t="s">
        <v>11</v>
      </c>
    </row>
    <row r="2" spans="1:8" x14ac:dyDescent="0.2">
      <c r="A2" s="1">
        <v>1034</v>
      </c>
      <c r="B2" s="1" t="s">
        <v>32</v>
      </c>
      <c r="C2" s="1" t="s">
        <v>33</v>
      </c>
      <c r="D2" s="3">
        <v>26109242101464</v>
      </c>
      <c r="E2" s="4" t="s">
        <v>34</v>
      </c>
      <c r="F2" s="3">
        <v>12003267</v>
      </c>
      <c r="G2" s="2">
        <v>44947</v>
      </c>
      <c r="H2" s="5" t="str">
        <f>IF(F2&gt;0,"مؤمن","غير مؤمن")</f>
        <v>مؤمن</v>
      </c>
    </row>
    <row r="3" spans="1:8" x14ac:dyDescent="0.2">
      <c r="B3" s="1" t="s">
        <v>35</v>
      </c>
      <c r="C3" s="1" t="s">
        <v>33</v>
      </c>
      <c r="D3" s="3">
        <v>29502122102496</v>
      </c>
      <c r="E3" s="4" t="s">
        <v>36</v>
      </c>
      <c r="H3" s="5" t="str">
        <f t="shared" ref="H3:H39" si="0">IF(F3&gt;0,"مؤمن","غير مؤمن")</f>
        <v>غير مؤمن</v>
      </c>
    </row>
    <row r="4" spans="1:8" x14ac:dyDescent="0.2">
      <c r="A4" s="1">
        <v>1010</v>
      </c>
      <c r="B4" s="1" t="s">
        <v>37</v>
      </c>
      <c r="C4" s="1" t="s">
        <v>33</v>
      </c>
      <c r="D4" s="3">
        <v>28608280103822</v>
      </c>
      <c r="E4" s="4" t="s">
        <v>38</v>
      </c>
      <c r="H4" s="5" t="str">
        <f t="shared" si="0"/>
        <v>غير مؤمن</v>
      </c>
    </row>
    <row r="5" spans="1:8" x14ac:dyDescent="0.2">
      <c r="B5" s="1" t="s">
        <v>39</v>
      </c>
      <c r="C5" s="1" t="s">
        <v>40</v>
      </c>
      <c r="D5" s="3">
        <v>27307031402191</v>
      </c>
      <c r="E5" s="4" t="s">
        <v>42</v>
      </c>
      <c r="F5" s="3">
        <v>38573443</v>
      </c>
      <c r="G5" s="2" t="s">
        <v>41</v>
      </c>
      <c r="H5" s="5" t="str">
        <f t="shared" si="0"/>
        <v>مؤمن</v>
      </c>
    </row>
    <row r="6" spans="1:8" x14ac:dyDescent="0.2">
      <c r="A6" s="1">
        <v>1030</v>
      </c>
      <c r="B6" s="1" t="s">
        <v>43</v>
      </c>
      <c r="C6" s="1" t="s">
        <v>40</v>
      </c>
      <c r="D6" s="3">
        <v>26806300103254</v>
      </c>
      <c r="E6" s="4" t="s">
        <v>44</v>
      </c>
      <c r="F6" s="3">
        <v>11603102</v>
      </c>
      <c r="G6" s="2" t="s">
        <v>41</v>
      </c>
      <c r="H6" s="5" t="str">
        <f t="shared" si="0"/>
        <v>مؤمن</v>
      </c>
    </row>
    <row r="7" spans="1:8" x14ac:dyDescent="0.2">
      <c r="A7" s="1">
        <v>1016</v>
      </c>
      <c r="B7" s="1" t="s">
        <v>45</v>
      </c>
      <c r="C7" s="1" t="s">
        <v>40</v>
      </c>
      <c r="D7" s="3">
        <v>29110122501794</v>
      </c>
      <c r="E7" s="4" t="s">
        <v>46</v>
      </c>
      <c r="F7" s="3">
        <v>72087589</v>
      </c>
      <c r="G7" s="2">
        <v>42016</v>
      </c>
      <c r="H7" s="5" t="str">
        <f t="shared" si="0"/>
        <v>مؤمن</v>
      </c>
    </row>
    <row r="8" spans="1:8" x14ac:dyDescent="0.2">
      <c r="A8" s="1">
        <v>1011</v>
      </c>
      <c r="B8" s="1" t="s">
        <v>47</v>
      </c>
      <c r="C8" s="1" t="s">
        <v>40</v>
      </c>
      <c r="D8" s="3">
        <v>28810120103994</v>
      </c>
      <c r="E8" s="4" t="s">
        <v>48</v>
      </c>
      <c r="F8" s="3">
        <v>34754839</v>
      </c>
      <c r="G8" s="2">
        <v>43107</v>
      </c>
      <c r="H8" s="5" t="str">
        <f t="shared" si="0"/>
        <v>مؤمن</v>
      </c>
    </row>
    <row r="9" spans="1:8" x14ac:dyDescent="0.2">
      <c r="A9" s="1">
        <v>1024</v>
      </c>
      <c r="B9" s="1" t="s">
        <v>49</v>
      </c>
      <c r="C9" s="1" t="s">
        <v>40</v>
      </c>
      <c r="D9" s="3">
        <v>27910280100712</v>
      </c>
      <c r="E9" s="4" t="s">
        <v>50</v>
      </c>
      <c r="F9" s="3">
        <v>27885883</v>
      </c>
      <c r="G9" s="2">
        <v>43382</v>
      </c>
      <c r="H9" s="5" t="str">
        <f t="shared" si="0"/>
        <v>مؤمن</v>
      </c>
    </row>
    <row r="10" spans="1:8" x14ac:dyDescent="0.2">
      <c r="B10" s="1" t="s">
        <v>51</v>
      </c>
      <c r="C10" s="1" t="s">
        <v>40</v>
      </c>
      <c r="D10" s="3">
        <v>29109112101935</v>
      </c>
      <c r="E10" s="4" t="s">
        <v>53</v>
      </c>
      <c r="F10" s="3">
        <v>69260735</v>
      </c>
      <c r="G10" s="2" t="s">
        <v>52</v>
      </c>
      <c r="H10" s="5" t="str">
        <f t="shared" si="0"/>
        <v>مؤمن</v>
      </c>
    </row>
    <row r="11" spans="1:8" x14ac:dyDescent="0.2">
      <c r="A11" s="1">
        <v>1017</v>
      </c>
      <c r="B11" s="1" t="s">
        <v>54</v>
      </c>
      <c r="C11" s="1" t="s">
        <v>40</v>
      </c>
      <c r="D11" s="3">
        <v>28905102102191</v>
      </c>
      <c r="E11" s="4" t="s">
        <v>56</v>
      </c>
      <c r="F11" s="3">
        <v>25295319</v>
      </c>
      <c r="G11" s="2" t="s">
        <v>55</v>
      </c>
      <c r="H11" s="5" t="str">
        <f t="shared" si="0"/>
        <v>مؤمن</v>
      </c>
    </row>
    <row r="12" spans="1:8" x14ac:dyDescent="0.2">
      <c r="A12" s="1">
        <v>1037</v>
      </c>
      <c r="B12" s="1" t="s">
        <v>57</v>
      </c>
      <c r="C12" s="1" t="s">
        <v>40</v>
      </c>
      <c r="D12" s="3">
        <v>27507171400812</v>
      </c>
      <c r="E12" s="4" t="s">
        <v>58</v>
      </c>
      <c r="F12" s="3">
        <v>39476856</v>
      </c>
      <c r="G12" s="2">
        <v>43680</v>
      </c>
      <c r="H12" s="5" t="str">
        <f t="shared" si="0"/>
        <v>مؤمن</v>
      </c>
    </row>
    <row r="13" spans="1:8" x14ac:dyDescent="0.2">
      <c r="B13" s="1" t="s">
        <v>59</v>
      </c>
      <c r="C13" s="1" t="s">
        <v>40</v>
      </c>
      <c r="D13" s="3">
        <v>29311242101337</v>
      </c>
      <c r="E13" s="4" t="s">
        <v>60</v>
      </c>
      <c r="F13" s="3">
        <v>77004772</v>
      </c>
      <c r="G13" s="2">
        <v>43619</v>
      </c>
      <c r="H13" s="5" t="str">
        <f t="shared" si="0"/>
        <v>مؤمن</v>
      </c>
    </row>
    <row r="14" spans="1:8" x14ac:dyDescent="0.2">
      <c r="B14" s="1" t="s">
        <v>61</v>
      </c>
      <c r="C14" s="1" t="s">
        <v>40</v>
      </c>
      <c r="D14" s="3">
        <v>29208022300937</v>
      </c>
      <c r="E14" s="4" t="s">
        <v>63</v>
      </c>
      <c r="F14" s="3">
        <v>67135151</v>
      </c>
      <c r="G14" s="2" t="s">
        <v>62</v>
      </c>
      <c r="H14" s="5" t="str">
        <f t="shared" si="0"/>
        <v>مؤمن</v>
      </c>
    </row>
    <row r="15" spans="1:8" x14ac:dyDescent="0.2">
      <c r="A15" s="1">
        <v>1008</v>
      </c>
      <c r="B15" s="1" t="s">
        <v>64</v>
      </c>
      <c r="C15" s="1" t="s">
        <v>40</v>
      </c>
      <c r="D15" s="3">
        <v>27002042800672</v>
      </c>
      <c r="E15" s="4" t="s">
        <v>65</v>
      </c>
      <c r="F15" s="3">
        <v>5066029</v>
      </c>
      <c r="G15" s="2">
        <v>43535</v>
      </c>
      <c r="H15" s="5" t="str">
        <f t="shared" si="0"/>
        <v>مؤمن</v>
      </c>
    </row>
    <row r="16" spans="1:8" x14ac:dyDescent="0.2">
      <c r="A16" s="1">
        <v>1027</v>
      </c>
      <c r="B16" s="1" t="s">
        <v>66</v>
      </c>
      <c r="C16" s="1" t="s">
        <v>40</v>
      </c>
      <c r="D16" s="3">
        <v>27612072800254</v>
      </c>
      <c r="E16" s="4" t="s">
        <v>67</v>
      </c>
      <c r="F16" s="3">
        <v>16302528</v>
      </c>
      <c r="G16" s="2">
        <v>44203</v>
      </c>
      <c r="H16" s="5" t="str">
        <f t="shared" si="0"/>
        <v>مؤمن</v>
      </c>
    </row>
    <row r="17" spans="1:8" x14ac:dyDescent="0.2">
      <c r="A17" s="1">
        <v>1036</v>
      </c>
      <c r="B17" s="1" t="s">
        <v>68</v>
      </c>
      <c r="C17" s="1" t="s">
        <v>40</v>
      </c>
      <c r="D17" s="3">
        <v>29109221401752</v>
      </c>
      <c r="E17" s="4" t="s">
        <v>70</v>
      </c>
      <c r="F17" s="3">
        <v>67806024</v>
      </c>
      <c r="G17" s="2" t="s">
        <v>69</v>
      </c>
      <c r="H17" s="5" t="str">
        <f t="shared" si="0"/>
        <v>مؤمن</v>
      </c>
    </row>
    <row r="18" spans="1:8" x14ac:dyDescent="0.2">
      <c r="A18" s="1">
        <v>1012</v>
      </c>
      <c r="B18" s="1" t="s">
        <v>71</v>
      </c>
      <c r="C18" s="1" t="s">
        <v>40</v>
      </c>
      <c r="D18" s="3">
        <v>28312172101256</v>
      </c>
      <c r="E18" s="4" t="s">
        <v>72</v>
      </c>
      <c r="F18" s="3">
        <v>33733310</v>
      </c>
      <c r="G18" s="2">
        <v>44565</v>
      </c>
      <c r="H18" s="5" t="str">
        <f t="shared" si="0"/>
        <v>مؤمن</v>
      </c>
    </row>
    <row r="19" spans="1:8" x14ac:dyDescent="0.2">
      <c r="A19" s="1">
        <v>1018</v>
      </c>
      <c r="B19" s="1" t="s">
        <v>73</v>
      </c>
      <c r="C19" s="1" t="s">
        <v>40</v>
      </c>
      <c r="D19" s="3">
        <v>28908101602335</v>
      </c>
      <c r="E19" s="4" t="s">
        <v>74</v>
      </c>
      <c r="F19" s="3">
        <v>34253322</v>
      </c>
      <c r="G19" s="2">
        <v>44568</v>
      </c>
      <c r="H19" s="5" t="str">
        <f t="shared" si="0"/>
        <v>مؤمن</v>
      </c>
    </row>
    <row r="20" spans="1:8" x14ac:dyDescent="0.2">
      <c r="B20" s="1" t="s">
        <v>75</v>
      </c>
      <c r="C20" s="1" t="s">
        <v>40</v>
      </c>
      <c r="D20" s="3">
        <v>29001011650215</v>
      </c>
      <c r="E20" s="4" t="s">
        <v>76</v>
      </c>
      <c r="F20" s="3">
        <v>33885885</v>
      </c>
      <c r="G20" s="2">
        <v>44567</v>
      </c>
      <c r="H20" s="5" t="str">
        <f t="shared" si="0"/>
        <v>مؤمن</v>
      </c>
    </row>
    <row r="21" spans="1:8" x14ac:dyDescent="0.2">
      <c r="A21" s="1">
        <v>1020</v>
      </c>
      <c r="B21" s="1" t="s">
        <v>77</v>
      </c>
      <c r="C21" s="1" t="s">
        <v>40</v>
      </c>
      <c r="D21" s="3">
        <v>28307251403914</v>
      </c>
      <c r="E21" s="4" t="s">
        <v>78</v>
      </c>
      <c r="F21" s="3">
        <v>37879461</v>
      </c>
      <c r="G21" s="2">
        <v>44567</v>
      </c>
      <c r="H21" s="5" t="str">
        <f t="shared" si="0"/>
        <v>مؤمن</v>
      </c>
    </row>
    <row r="22" spans="1:8" x14ac:dyDescent="0.2">
      <c r="B22" s="1" t="s">
        <v>79</v>
      </c>
      <c r="C22" s="1" t="s">
        <v>40</v>
      </c>
      <c r="D22" s="3">
        <v>29807252103112</v>
      </c>
      <c r="E22" s="4" t="s">
        <v>80</v>
      </c>
      <c r="F22" s="3">
        <v>68502803</v>
      </c>
      <c r="G22" s="2">
        <v>44687</v>
      </c>
      <c r="H22" s="5" t="str">
        <f t="shared" si="0"/>
        <v>مؤمن</v>
      </c>
    </row>
    <row r="23" spans="1:8" x14ac:dyDescent="0.2">
      <c r="B23" s="1" t="s">
        <v>81</v>
      </c>
      <c r="C23" s="1" t="s">
        <v>40</v>
      </c>
      <c r="D23" s="3">
        <v>29808112103313</v>
      </c>
      <c r="E23" s="4" t="s">
        <v>83</v>
      </c>
      <c r="F23" s="3">
        <v>67893120</v>
      </c>
      <c r="G23" s="2" t="s">
        <v>82</v>
      </c>
      <c r="H23" s="5" t="str">
        <f t="shared" si="0"/>
        <v>مؤمن</v>
      </c>
    </row>
    <row r="24" spans="1:8" x14ac:dyDescent="0.2">
      <c r="A24" s="1">
        <v>1033</v>
      </c>
      <c r="B24" s="1" t="s">
        <v>84</v>
      </c>
      <c r="C24" s="1" t="s">
        <v>40</v>
      </c>
      <c r="D24" s="3">
        <v>28911012107291</v>
      </c>
      <c r="E24" s="4" t="s">
        <v>85</v>
      </c>
      <c r="F24" s="3">
        <v>68472407</v>
      </c>
      <c r="G24" s="2">
        <v>44751</v>
      </c>
      <c r="H24" s="5" t="str">
        <f t="shared" si="0"/>
        <v>مؤمن</v>
      </c>
    </row>
    <row r="25" spans="1:8" x14ac:dyDescent="0.2">
      <c r="A25" s="1">
        <v>1009</v>
      </c>
      <c r="B25" s="1" t="s">
        <v>86</v>
      </c>
      <c r="C25" s="1" t="s">
        <v>40</v>
      </c>
      <c r="D25" s="3">
        <v>29209291300184</v>
      </c>
      <c r="E25" s="4" t="s">
        <v>88</v>
      </c>
      <c r="F25" s="3">
        <v>74321525</v>
      </c>
      <c r="G25" s="2" t="s">
        <v>87</v>
      </c>
      <c r="H25" s="5" t="str">
        <f t="shared" si="0"/>
        <v>مؤمن</v>
      </c>
    </row>
    <row r="26" spans="1:8" x14ac:dyDescent="0.2">
      <c r="A26" s="1">
        <v>1004</v>
      </c>
      <c r="B26" s="1" t="s">
        <v>89</v>
      </c>
      <c r="C26" s="1" t="s">
        <v>40</v>
      </c>
      <c r="D26" s="3">
        <v>29608042101033</v>
      </c>
      <c r="E26" s="4" t="s">
        <v>91</v>
      </c>
      <c r="F26" s="3">
        <v>73511766</v>
      </c>
      <c r="G26" s="2" t="s">
        <v>90</v>
      </c>
      <c r="H26" s="5" t="str">
        <f t="shared" si="0"/>
        <v>مؤمن</v>
      </c>
    </row>
    <row r="27" spans="1:8" x14ac:dyDescent="0.2">
      <c r="A27" s="1">
        <v>1028</v>
      </c>
      <c r="B27" s="1" t="s">
        <v>92</v>
      </c>
      <c r="C27" s="1" t="s">
        <v>40</v>
      </c>
      <c r="D27" s="3">
        <v>28605012108219</v>
      </c>
      <c r="E27" s="4" t="s">
        <v>93</v>
      </c>
      <c r="F27" s="3">
        <v>2949710</v>
      </c>
      <c r="G27" s="2">
        <v>45097</v>
      </c>
      <c r="H27" s="5" t="str">
        <f t="shared" si="0"/>
        <v>مؤمن</v>
      </c>
    </row>
    <row r="28" spans="1:8" x14ac:dyDescent="0.2">
      <c r="A28" s="1">
        <v>1019</v>
      </c>
      <c r="B28" s="1" t="s">
        <v>94</v>
      </c>
      <c r="C28" s="1" t="s">
        <v>40</v>
      </c>
      <c r="D28" s="3">
        <v>29610201600776</v>
      </c>
      <c r="E28" s="4" t="s">
        <v>95</v>
      </c>
      <c r="F28" s="3">
        <v>71568472</v>
      </c>
      <c r="G28" s="2">
        <v>45097</v>
      </c>
      <c r="H28" s="5" t="str">
        <f t="shared" si="0"/>
        <v>مؤمن</v>
      </c>
    </row>
    <row r="29" spans="1:8" x14ac:dyDescent="0.2">
      <c r="A29" s="1">
        <v>1029</v>
      </c>
      <c r="B29" s="1" t="s">
        <v>96</v>
      </c>
      <c r="C29" s="1" t="s">
        <v>40</v>
      </c>
      <c r="D29" s="3">
        <v>29906082100553</v>
      </c>
      <c r="E29" s="4" t="s">
        <v>97</v>
      </c>
      <c r="F29" s="3">
        <v>83879140</v>
      </c>
      <c r="G29" s="2">
        <v>45111</v>
      </c>
      <c r="H29" s="5" t="str">
        <f t="shared" si="0"/>
        <v>مؤمن</v>
      </c>
    </row>
    <row r="30" spans="1:8" x14ac:dyDescent="0.2">
      <c r="A30" s="1">
        <v>1035</v>
      </c>
      <c r="B30" s="1" t="s">
        <v>98</v>
      </c>
      <c r="C30" s="1" t="s">
        <v>40</v>
      </c>
      <c r="D30" s="3">
        <v>29309228800724</v>
      </c>
      <c r="E30" s="4" t="s">
        <v>99</v>
      </c>
      <c r="F30" s="3">
        <v>84289665</v>
      </c>
      <c r="G30" s="2">
        <v>45200</v>
      </c>
      <c r="H30" s="5" t="str">
        <f t="shared" si="0"/>
        <v>مؤمن</v>
      </c>
    </row>
    <row r="31" spans="1:8" x14ac:dyDescent="0.2">
      <c r="A31" s="1">
        <v>1021</v>
      </c>
      <c r="B31" s="1" t="s">
        <v>100</v>
      </c>
      <c r="C31" s="1" t="s">
        <v>40</v>
      </c>
      <c r="D31" s="3">
        <v>28807252100896</v>
      </c>
      <c r="E31" s="4" t="s">
        <v>101</v>
      </c>
      <c r="F31" s="3">
        <v>41531742</v>
      </c>
      <c r="G31" s="2">
        <v>45270</v>
      </c>
      <c r="H31" s="5" t="str">
        <f t="shared" si="0"/>
        <v>مؤمن</v>
      </c>
    </row>
    <row r="32" spans="1:8" x14ac:dyDescent="0.2">
      <c r="A32" s="1">
        <v>1038</v>
      </c>
      <c r="B32" s="1" t="s">
        <v>102</v>
      </c>
      <c r="C32" s="1" t="s">
        <v>40</v>
      </c>
      <c r="D32" s="3">
        <v>29703010107661</v>
      </c>
      <c r="E32" s="4" t="s">
        <v>103</v>
      </c>
      <c r="F32" s="3">
        <v>78552944</v>
      </c>
      <c r="G32" s="2">
        <v>45292</v>
      </c>
      <c r="H32" s="5" t="str">
        <f t="shared" si="0"/>
        <v>مؤمن</v>
      </c>
    </row>
    <row r="33" spans="1:8" x14ac:dyDescent="0.2">
      <c r="B33" s="1" t="s">
        <v>104</v>
      </c>
      <c r="C33" s="1" t="s">
        <v>40</v>
      </c>
      <c r="D33" s="3">
        <v>29611070101023</v>
      </c>
      <c r="E33" s="4" t="s">
        <v>105</v>
      </c>
      <c r="F33" s="3">
        <v>71346135</v>
      </c>
      <c r="G33" s="2">
        <v>45354</v>
      </c>
      <c r="H33" s="5" t="str">
        <f t="shared" si="0"/>
        <v>مؤمن</v>
      </c>
    </row>
    <row r="34" spans="1:8" x14ac:dyDescent="0.2">
      <c r="A34" s="1">
        <v>1040</v>
      </c>
      <c r="B34" s="1" t="s">
        <v>106</v>
      </c>
      <c r="C34" s="1" t="s">
        <v>40</v>
      </c>
      <c r="D34" s="3">
        <v>28112072800093</v>
      </c>
      <c r="E34" s="4" t="s">
        <v>116</v>
      </c>
      <c r="F34" s="3">
        <v>57623187</v>
      </c>
      <c r="G34" s="2">
        <v>45453</v>
      </c>
      <c r="H34" s="5" t="str">
        <f t="shared" si="0"/>
        <v>مؤمن</v>
      </c>
    </row>
    <row r="35" spans="1:8" x14ac:dyDescent="0.2">
      <c r="B35" s="1" t="s">
        <v>107</v>
      </c>
      <c r="C35" s="1" t="s">
        <v>40</v>
      </c>
      <c r="D35" s="3">
        <v>29303010109371</v>
      </c>
      <c r="E35" s="4" t="s">
        <v>117</v>
      </c>
      <c r="F35" s="3">
        <v>65994518</v>
      </c>
      <c r="G35" s="2">
        <v>45505</v>
      </c>
      <c r="H35" s="5" t="str">
        <f t="shared" si="0"/>
        <v>مؤمن</v>
      </c>
    </row>
    <row r="36" spans="1:8" x14ac:dyDescent="0.2">
      <c r="B36" s="1" t="s">
        <v>108</v>
      </c>
      <c r="C36" s="1" t="s">
        <v>40</v>
      </c>
      <c r="D36" s="3">
        <v>28309072800814</v>
      </c>
      <c r="E36" s="4" t="s">
        <v>109</v>
      </c>
      <c r="F36" s="3">
        <v>59056385</v>
      </c>
      <c r="G36" s="2">
        <v>45575</v>
      </c>
      <c r="H36" s="5" t="str">
        <f t="shared" si="0"/>
        <v>مؤمن</v>
      </c>
    </row>
    <row r="37" spans="1:8" x14ac:dyDescent="0.2">
      <c r="B37" s="1" t="s">
        <v>110</v>
      </c>
      <c r="C37" s="1" t="s">
        <v>40</v>
      </c>
      <c r="D37" s="3">
        <v>30109302106084</v>
      </c>
      <c r="E37" s="4" t="s">
        <v>114</v>
      </c>
      <c r="F37" s="3">
        <v>77589652</v>
      </c>
      <c r="G37" s="2">
        <v>45599</v>
      </c>
      <c r="H37" s="5" t="str">
        <f t="shared" si="0"/>
        <v>مؤمن</v>
      </c>
    </row>
    <row r="38" spans="1:8" x14ac:dyDescent="0.2">
      <c r="B38" s="1" t="s">
        <v>111</v>
      </c>
      <c r="C38" s="1" t="s">
        <v>40</v>
      </c>
      <c r="D38" s="3">
        <v>30208142104363</v>
      </c>
      <c r="E38" s="4" t="s">
        <v>115</v>
      </c>
      <c r="F38" s="3">
        <v>84969259</v>
      </c>
      <c r="G38" s="2">
        <v>45599</v>
      </c>
      <c r="H38" s="5" t="str">
        <f t="shared" si="0"/>
        <v>مؤمن</v>
      </c>
    </row>
    <row r="39" spans="1:8" x14ac:dyDescent="0.2">
      <c r="B39" s="1" t="s">
        <v>112</v>
      </c>
      <c r="C39" s="1" t="s">
        <v>40</v>
      </c>
      <c r="D39" s="3">
        <v>30007252104916</v>
      </c>
      <c r="E39" s="4" t="s">
        <v>113</v>
      </c>
      <c r="F39" s="3">
        <v>86327966</v>
      </c>
      <c r="G39" s="2">
        <v>45627</v>
      </c>
      <c r="H39" s="5" t="str">
        <f t="shared" si="0"/>
        <v>مؤمن</v>
      </c>
    </row>
    <row r="40" spans="1:8" x14ac:dyDescent="0.2">
      <c r="A40" s="3"/>
      <c r="H40" s="5"/>
    </row>
    <row r="41" spans="1:8" x14ac:dyDescent="0.2">
      <c r="H41" s="5"/>
    </row>
    <row r="42" spans="1:8" x14ac:dyDescent="0.2">
      <c r="H42" s="5"/>
    </row>
  </sheetData>
  <conditionalFormatting sqref="B1:B1048576">
    <cfRule type="duplicateValues" dxfId="17" priority="1"/>
  </conditionalFormatting>
  <pageMargins left="0.7" right="0.7" top="0.75" bottom="0.75" header="0.3" footer="0.3"/>
  <ignoredErrors>
    <ignoredError sqref="H2:H39" unlockedFormula="1"/>
    <ignoredError sqref="E2:E33 E39 E37:E38 E36 E34:E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AFB9C-B3D0-484D-9B7F-214F250C8B72}">
  <sheetPr codeName="Sheet2">
    <tabColor theme="3"/>
  </sheetPr>
  <dimension ref="A1:AN1444"/>
  <sheetViews>
    <sheetView rightToLeft="1" tabSelected="1" topLeftCell="AB1" zoomScale="85" zoomScaleNormal="85" workbookViewId="0">
      <selection activeCell="AF19" sqref="AF19"/>
    </sheetView>
  </sheetViews>
  <sheetFormatPr defaultColWidth="9.14453125" defaultRowHeight="15" x14ac:dyDescent="0.2"/>
  <cols>
    <col min="1" max="1" width="9.14453125" style="18" customWidth="1"/>
    <col min="2" max="2" width="9.01171875" style="18" customWidth="1"/>
    <col min="3" max="3" width="18.4296875" style="18" customWidth="1"/>
    <col min="4" max="4" width="15.06640625" style="18" customWidth="1"/>
    <col min="5" max="5" width="18.16015625" style="18" customWidth="1"/>
    <col min="6" max="6" width="14.52734375" style="18" bestFit="1" customWidth="1"/>
    <col min="7" max="7" width="9.81640625" style="18" customWidth="1"/>
    <col min="8" max="8" width="12.10546875" style="18" customWidth="1"/>
    <col min="9" max="9" width="9.4140625" style="18" customWidth="1"/>
    <col min="10" max="10" width="7.12890625" style="18" customWidth="1"/>
    <col min="11" max="11" width="15.6015625" style="18" bestFit="1" customWidth="1"/>
    <col min="12" max="12" width="13.44921875" style="18" bestFit="1" customWidth="1"/>
    <col min="13" max="13" width="15.33203125" style="18" bestFit="1" customWidth="1"/>
    <col min="14" max="14" width="16.6796875" style="18" customWidth="1"/>
    <col min="15" max="15" width="16.0078125" style="18" customWidth="1"/>
    <col min="16" max="16" width="12.375" style="18" customWidth="1"/>
    <col min="17" max="17" width="12.64453125" style="18" customWidth="1"/>
    <col min="18" max="18" width="7.6640625" style="18" customWidth="1"/>
    <col min="19" max="19" width="12.5078125" style="18" bestFit="1" customWidth="1"/>
    <col min="20" max="20" width="11.703125" style="18" customWidth="1"/>
    <col min="21" max="21" width="12.5078125" style="18" bestFit="1" customWidth="1"/>
    <col min="22" max="22" width="13.046875" style="18" customWidth="1"/>
    <col min="23" max="23" width="12.5078125" style="18" bestFit="1" customWidth="1"/>
    <col min="24" max="24" width="19.63671875" style="18" customWidth="1"/>
    <col min="25" max="25" width="11.296875" style="18" customWidth="1"/>
    <col min="26" max="26" width="9.68359375" style="18" customWidth="1"/>
    <col min="27" max="27" width="17.3515625" style="18" bestFit="1" customWidth="1"/>
    <col min="28" max="28" width="13.046875" style="18" customWidth="1"/>
    <col min="29" max="29" width="12.375" style="18" customWidth="1"/>
    <col min="30" max="30" width="17.484375" style="16" bestFit="1" customWidth="1"/>
    <col min="31" max="31" width="14.9296875" style="37" bestFit="1" customWidth="1"/>
    <col min="32" max="32" width="13.71875" style="18" bestFit="1" customWidth="1"/>
    <col min="33" max="36" width="9.14453125" style="18"/>
    <col min="37" max="37" width="14.125" style="18" bestFit="1" customWidth="1"/>
    <col min="38" max="38" width="16.27734375" style="18" bestFit="1" customWidth="1"/>
    <col min="39" max="39" width="13.046875" style="18" bestFit="1" customWidth="1"/>
    <col min="40" max="40" width="14.125" style="18" bestFit="1" customWidth="1"/>
    <col min="41" max="16384" width="9.14453125" style="18"/>
  </cols>
  <sheetData>
    <row r="1" spans="1:40" s="21" customFormat="1" ht="19.5" hidden="1" customHeight="1" x14ac:dyDescent="0.2">
      <c r="B1" s="120" t="s">
        <v>136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33"/>
      <c r="AE1" s="39"/>
      <c r="AF1" s="40"/>
      <c r="AG1" s="40"/>
      <c r="AH1" s="20"/>
      <c r="AI1" s="20"/>
      <c r="AJ1" s="20"/>
      <c r="AK1" s="20"/>
    </row>
    <row r="2" spans="1:40" s="21" customFormat="1" ht="20.25" hidden="1" thickBot="1" x14ac:dyDescent="0.25">
      <c r="B2" s="120" t="s">
        <v>135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34"/>
      <c r="AE2" s="41"/>
      <c r="AF2" s="42"/>
      <c r="AG2" s="42"/>
    </row>
    <row r="3" spans="1:40" s="22" customFormat="1" ht="60" thickBot="1" x14ac:dyDescent="0.25">
      <c r="A3" s="118" t="s">
        <v>137</v>
      </c>
      <c r="B3" s="25" t="s">
        <v>3</v>
      </c>
      <c r="C3" s="26" t="s">
        <v>12</v>
      </c>
      <c r="D3" s="26" t="s">
        <v>13</v>
      </c>
      <c r="E3" s="26" t="s">
        <v>15</v>
      </c>
      <c r="F3" s="26" t="s">
        <v>16</v>
      </c>
      <c r="G3" s="26" t="s">
        <v>14</v>
      </c>
      <c r="H3" s="26" t="s">
        <v>4</v>
      </c>
      <c r="I3" s="26" t="s">
        <v>5</v>
      </c>
      <c r="J3" s="26" t="s">
        <v>17</v>
      </c>
      <c r="K3" s="27" t="s">
        <v>18</v>
      </c>
      <c r="L3" s="27" t="s">
        <v>19</v>
      </c>
      <c r="M3" s="27" t="s">
        <v>122</v>
      </c>
      <c r="N3" s="26" t="s">
        <v>121</v>
      </c>
      <c r="O3" s="26" t="s">
        <v>2</v>
      </c>
      <c r="P3" s="27" t="s">
        <v>20</v>
      </c>
      <c r="Q3" s="27" t="s">
        <v>21</v>
      </c>
      <c r="R3" s="27" t="s">
        <v>22</v>
      </c>
      <c r="S3" s="27" t="s">
        <v>23</v>
      </c>
      <c r="T3" s="27" t="s">
        <v>24</v>
      </c>
      <c r="U3" s="27" t="s">
        <v>25</v>
      </c>
      <c r="V3" s="27" t="s">
        <v>26</v>
      </c>
      <c r="W3" s="27" t="s">
        <v>27</v>
      </c>
      <c r="X3" s="27" t="s">
        <v>1</v>
      </c>
      <c r="Y3" s="57" t="s">
        <v>120</v>
      </c>
      <c r="Z3" s="27" t="s">
        <v>28</v>
      </c>
      <c r="AA3" s="27" t="s">
        <v>118</v>
      </c>
      <c r="AB3" s="27" t="s">
        <v>29</v>
      </c>
      <c r="AC3" s="28" t="s">
        <v>30</v>
      </c>
      <c r="AD3" s="35" t="s">
        <v>31</v>
      </c>
      <c r="AE3" s="43" t="s">
        <v>0</v>
      </c>
      <c r="AF3" s="44"/>
      <c r="AG3" s="119"/>
      <c r="AH3" s="119"/>
      <c r="AI3" s="119"/>
      <c r="AK3" s="116" t="s">
        <v>138</v>
      </c>
      <c r="AL3" s="27" t="s">
        <v>118</v>
      </c>
      <c r="AM3" s="27" t="s">
        <v>0</v>
      </c>
      <c r="AN3" s="28" t="s">
        <v>31</v>
      </c>
    </row>
    <row r="4" spans="1:40" x14ac:dyDescent="0.2">
      <c r="B4" s="7"/>
      <c r="C4" s="8"/>
      <c r="D4" s="8"/>
      <c r="E4" s="9"/>
      <c r="F4" s="6"/>
      <c r="G4" s="8"/>
      <c r="H4" s="32"/>
      <c r="I4" s="10" t="str">
        <f>IF(G4&gt;0,"1","21")</f>
        <v>21</v>
      </c>
      <c r="J4" s="11">
        <v>1</v>
      </c>
      <c r="K4" s="11"/>
      <c r="L4" s="11"/>
      <c r="M4" s="11">
        <f>SUM(K4:L4)</f>
        <v>0</v>
      </c>
      <c r="N4" s="11"/>
      <c r="O4" s="11">
        <f>+N4+M4</f>
        <v>0</v>
      </c>
      <c r="P4" s="11"/>
      <c r="Q4" s="11"/>
      <c r="R4" s="11"/>
      <c r="S4" s="11">
        <f t="shared" ref="S4:S28" si="0">O4-P4-Q4-R4</f>
        <v>0</v>
      </c>
      <c r="T4" s="11">
        <f t="shared" ref="T4:T28" si="1">IF(J4&gt;0,(20000/12*J4),0)</f>
        <v>1666.6666666666667</v>
      </c>
      <c r="U4" s="11">
        <f t="shared" ref="U4:U28" si="2">IF(AND(J4&gt;0,S4-T4&gt;0),S4-T4,0)</f>
        <v>0</v>
      </c>
      <c r="V4" s="24">
        <f t="shared" ref="V4:V28" si="3">IF(J4=0,0,(U4/J4*12))</f>
        <v>0</v>
      </c>
      <c r="W4" s="11">
        <f>IF(V4&lt;=40000,0,
IF(V4&lt;=55000,(V4-40000)*10%,
IF(V4&lt;=70000,(V4-55000)*15%+1500,
IF(V4&lt;=200000,(V4-70000)*20%+1500+2250,
IF(V4&lt;=400000,(V4-200000)*22.5%+1500+2250+26000,
IF(V4&lt;=600000,(V4-400000)*25%+1500+2250+26000+45000,
IF(AND(V4&gt;600000,V4&lt;=1200000),(V4-400000)*25%+1500+2250+26000+45000
+IFERROR(LOOKUP(V4,{600001;700001;800001;900001},{4000;6750;10250;15250}),0),IF(V4&gt;1200000,((V4-1200000)*27.5%)+300000,0)
)))))))</f>
        <v>0</v>
      </c>
      <c r="X4" s="12">
        <f t="shared" ref="X4:X28" si="4">N4*0.1</f>
        <v>0</v>
      </c>
      <c r="Y4" s="12">
        <f>(W4/12*J4)-X4</f>
        <v>0</v>
      </c>
      <c r="Z4" s="11"/>
      <c r="AA4" s="13">
        <f t="shared" ref="AA4:AA28" si="5">+O4-P4-Y4-Z4</f>
        <v>0</v>
      </c>
      <c r="AB4" s="12">
        <f t="shared" ref="AB4:AB28" si="6">(P4/0.11)*18.75%</f>
        <v>0</v>
      </c>
      <c r="AC4" s="14">
        <f>+M4-P4-Y4</f>
        <v>0</v>
      </c>
      <c r="AE4" s="19">
        <f>+AD4-AC4</f>
        <v>0</v>
      </c>
      <c r="AF4" s="19"/>
      <c r="AG4" s="17"/>
      <c r="AI4" s="17"/>
      <c r="AK4" s="7"/>
      <c r="AL4" s="108">
        <f>+AK4+AD4</f>
        <v>0</v>
      </c>
      <c r="AM4" s="108">
        <f>+AL4-AC4</f>
        <v>0</v>
      </c>
      <c r="AN4" s="113"/>
    </row>
    <row r="5" spans="1:40" x14ac:dyDescent="0.2">
      <c r="B5" s="7"/>
      <c r="C5" s="8"/>
      <c r="D5" s="8"/>
      <c r="E5" s="9"/>
      <c r="F5" s="6"/>
      <c r="G5" s="8"/>
      <c r="H5" s="32"/>
      <c r="I5" s="10" t="str">
        <f t="shared" ref="I5:I68" si="7">IF(G5&gt;0,"1","21")</f>
        <v>21</v>
      </c>
      <c r="J5" s="11">
        <v>1</v>
      </c>
      <c r="K5" s="11"/>
      <c r="L5" s="11"/>
      <c r="M5" s="11">
        <f>SUM(K5:L5)</f>
        <v>0</v>
      </c>
      <c r="N5" s="11"/>
      <c r="O5" s="11">
        <f t="shared" ref="O5:O28" si="8">+N5+M5</f>
        <v>0</v>
      </c>
      <c r="P5" s="11"/>
      <c r="Q5" s="11"/>
      <c r="R5" s="11"/>
      <c r="S5" s="11">
        <f t="shared" si="0"/>
        <v>0</v>
      </c>
      <c r="T5" s="11">
        <f t="shared" si="1"/>
        <v>1666.6666666666667</v>
      </c>
      <c r="U5" s="11">
        <f t="shared" si="2"/>
        <v>0</v>
      </c>
      <c r="V5" s="24">
        <f t="shared" si="3"/>
        <v>0</v>
      </c>
      <c r="W5" s="11">
        <f>IF(V5&lt;=40000,0,
IF(V5&lt;=55000,(V5-40000)*10%,
IF(V5&lt;=70000,(V5-55000)*15%+1500,
IF(V5&lt;=200000,(V5-70000)*20%+1500+2250,
IF(V5&lt;=400000,(V5-200000)*22.5%+1500+2250+26000,
IF(V5&lt;=600000,(V5-400000)*25%+1500+2250+26000+45000,
IF(AND(V5&gt;600000,V5&lt;=1200000),(V5-400000)*25%+1500+2250+26000+45000
+IFERROR(LOOKUP(V5,{600001;700001;800001;900001},{4000;6750;10250;15250}),0),IF(V5&gt;1200000,((V5-1200000)*27.5%)+300000,0)
)))))))</f>
        <v>0</v>
      </c>
      <c r="X5" s="12">
        <f t="shared" si="4"/>
        <v>0</v>
      </c>
      <c r="Y5" s="12">
        <f t="shared" ref="Y5:Y11" si="9">(W5/12*J5)-X5</f>
        <v>0</v>
      </c>
      <c r="Z5" s="11"/>
      <c r="AA5" s="13">
        <f t="shared" si="5"/>
        <v>0</v>
      </c>
      <c r="AB5" s="12">
        <f t="shared" si="6"/>
        <v>0</v>
      </c>
      <c r="AC5" s="14">
        <f t="shared" ref="AC5:AC68" si="10">+M5-P5-Y5</f>
        <v>0</v>
      </c>
      <c r="AE5" s="19">
        <f>+AD5-AC5</f>
        <v>0</v>
      </c>
      <c r="AF5" s="19"/>
      <c r="AG5" s="17"/>
      <c r="AI5" s="17"/>
      <c r="AK5" s="7"/>
      <c r="AL5" s="108">
        <f t="shared" ref="AL5:AL68" si="11">+AK5+AD5</f>
        <v>0</v>
      </c>
      <c r="AM5" s="108">
        <f t="shared" ref="AM5:AM68" si="12">+AL5-AC5</f>
        <v>0</v>
      </c>
      <c r="AN5" s="113"/>
    </row>
    <row r="6" spans="1:40" x14ac:dyDescent="0.2">
      <c r="B6" s="7"/>
      <c r="C6" s="8"/>
      <c r="D6" s="8"/>
      <c r="E6" s="9"/>
      <c r="F6" s="6"/>
      <c r="G6" s="8"/>
      <c r="H6" s="32"/>
      <c r="I6" s="10" t="str">
        <f t="shared" si="7"/>
        <v>21</v>
      </c>
      <c r="J6" s="11">
        <v>1</v>
      </c>
      <c r="K6" s="11"/>
      <c r="L6" s="11"/>
      <c r="M6" s="11">
        <f t="shared" ref="M6:M28" si="13">SUM(K6:L6)</f>
        <v>0</v>
      </c>
      <c r="N6" s="11"/>
      <c r="O6" s="11">
        <f t="shared" si="8"/>
        <v>0</v>
      </c>
      <c r="P6" s="11"/>
      <c r="Q6" s="11"/>
      <c r="R6" s="11"/>
      <c r="S6" s="11">
        <f t="shared" si="0"/>
        <v>0</v>
      </c>
      <c r="T6" s="11">
        <f t="shared" si="1"/>
        <v>1666.6666666666667</v>
      </c>
      <c r="U6" s="11">
        <f t="shared" si="2"/>
        <v>0</v>
      </c>
      <c r="V6" s="24">
        <f t="shared" si="3"/>
        <v>0</v>
      </c>
      <c r="W6" s="11">
        <f>IF(V6&lt;=40000,0,
IF(V6&lt;=55000,(V6-40000)*10%,
IF(V6&lt;=70000,(V6-55000)*15%+1500,
IF(V6&lt;=200000,(V6-70000)*20%+1500+2250,
IF(V6&lt;=400000,(V6-200000)*22.5%+1500+2250+26000,
IF(V6&lt;=600000,(V6-400000)*25%+1500+2250+26000+45000,
IF(AND(V6&gt;600000,V6&lt;=1200000),(V6-400000)*25%+1500+2250+26000+45000
+IFERROR(LOOKUP(V6,{600001;700001;800001;900001},{4000;6750;10250;15250}),0),IF(V6&gt;1200000,((V6-1200000)*27.5%)+300000,0)
)))))))</f>
        <v>0</v>
      </c>
      <c r="X6" s="12">
        <f t="shared" si="4"/>
        <v>0</v>
      </c>
      <c r="Y6" s="12">
        <f t="shared" si="9"/>
        <v>0</v>
      </c>
      <c r="Z6" s="11"/>
      <c r="AA6" s="13">
        <f t="shared" si="5"/>
        <v>0</v>
      </c>
      <c r="AB6" s="12">
        <f t="shared" si="6"/>
        <v>0</v>
      </c>
      <c r="AC6" s="14">
        <f t="shared" si="10"/>
        <v>0</v>
      </c>
      <c r="AE6" s="19">
        <f t="shared" ref="AE6:AE28" si="14">+AD6-AC6</f>
        <v>0</v>
      </c>
      <c r="AF6" s="19"/>
      <c r="AG6" s="17"/>
      <c r="AI6" s="17"/>
      <c r="AK6" s="7"/>
      <c r="AL6" s="108">
        <f t="shared" si="11"/>
        <v>0</v>
      </c>
      <c r="AM6" s="108">
        <f t="shared" si="12"/>
        <v>0</v>
      </c>
      <c r="AN6" s="113"/>
    </row>
    <row r="7" spans="1:40" x14ac:dyDescent="0.2">
      <c r="B7" s="7"/>
      <c r="C7" s="8"/>
      <c r="D7" s="8"/>
      <c r="E7" s="9"/>
      <c r="F7" s="6"/>
      <c r="G7" s="8"/>
      <c r="H7" s="32"/>
      <c r="I7" s="10" t="str">
        <f t="shared" si="7"/>
        <v>21</v>
      </c>
      <c r="J7" s="11">
        <v>1</v>
      </c>
      <c r="K7" s="11"/>
      <c r="L7" s="11"/>
      <c r="M7" s="11">
        <f t="shared" si="13"/>
        <v>0</v>
      </c>
      <c r="N7" s="11"/>
      <c r="O7" s="11">
        <f t="shared" si="8"/>
        <v>0</v>
      </c>
      <c r="P7" s="11"/>
      <c r="Q7" s="11"/>
      <c r="R7" s="11"/>
      <c r="S7" s="11">
        <f t="shared" si="0"/>
        <v>0</v>
      </c>
      <c r="T7" s="11">
        <f t="shared" si="1"/>
        <v>1666.6666666666667</v>
      </c>
      <c r="U7" s="11">
        <f t="shared" si="2"/>
        <v>0</v>
      </c>
      <c r="V7" s="24">
        <f t="shared" si="3"/>
        <v>0</v>
      </c>
      <c r="W7" s="11">
        <f>IF(V7&lt;=40000,0,
IF(V7&lt;=55000,(V7-40000)*10%,
IF(V7&lt;=70000,(V7-55000)*15%+1500,
IF(V7&lt;=200000,(V7-70000)*20%+1500+2250,
IF(V7&lt;=400000,(V7-200000)*22.5%+1500+2250+26000,
IF(V7&lt;=600000,(V7-400000)*25%+1500+2250+26000+45000,
IF(AND(V7&gt;600000,V7&lt;=1200000),(V7-400000)*25%+1500+2250+26000+45000
+IFERROR(LOOKUP(V7,{600001;700001;800001;900001},{4000;6750;10250;15250}),0),IF(V7&gt;1200000,((V7-1200000)*27.5%)+300000,0)
)))))))</f>
        <v>0</v>
      </c>
      <c r="X7" s="12">
        <f t="shared" si="4"/>
        <v>0</v>
      </c>
      <c r="Y7" s="12">
        <f t="shared" si="9"/>
        <v>0</v>
      </c>
      <c r="Z7" s="11"/>
      <c r="AA7" s="13">
        <f t="shared" si="5"/>
        <v>0</v>
      </c>
      <c r="AB7" s="12">
        <f t="shared" si="6"/>
        <v>0</v>
      </c>
      <c r="AC7" s="14">
        <f t="shared" si="10"/>
        <v>0</v>
      </c>
      <c r="AE7" s="19">
        <f>+AD7-AC7</f>
        <v>0</v>
      </c>
      <c r="AF7" s="19"/>
      <c r="AG7" s="17"/>
      <c r="AI7" s="17"/>
      <c r="AK7" s="7"/>
      <c r="AL7" s="108">
        <f t="shared" si="11"/>
        <v>0</v>
      </c>
      <c r="AM7" s="108">
        <f t="shared" si="12"/>
        <v>0</v>
      </c>
      <c r="AN7" s="113"/>
    </row>
    <row r="8" spans="1:40" x14ac:dyDescent="0.2">
      <c r="B8" s="7"/>
      <c r="C8" s="8"/>
      <c r="D8" s="8"/>
      <c r="E8" s="9"/>
      <c r="F8" s="6"/>
      <c r="G8" s="8"/>
      <c r="H8" s="32"/>
      <c r="I8" s="10" t="str">
        <f t="shared" si="7"/>
        <v>21</v>
      </c>
      <c r="J8" s="11">
        <v>1</v>
      </c>
      <c r="K8" s="11"/>
      <c r="L8" s="11"/>
      <c r="M8" s="11">
        <f t="shared" si="13"/>
        <v>0</v>
      </c>
      <c r="N8" s="11"/>
      <c r="O8" s="11">
        <f t="shared" si="8"/>
        <v>0</v>
      </c>
      <c r="P8" s="11"/>
      <c r="Q8" s="11"/>
      <c r="R8" s="11"/>
      <c r="S8" s="11">
        <f t="shared" si="0"/>
        <v>0</v>
      </c>
      <c r="T8" s="11">
        <f t="shared" si="1"/>
        <v>1666.6666666666667</v>
      </c>
      <c r="U8" s="11">
        <f t="shared" si="2"/>
        <v>0</v>
      </c>
      <c r="V8" s="24">
        <f t="shared" si="3"/>
        <v>0</v>
      </c>
      <c r="W8" s="11">
        <f>IF(V8&lt;=40000,0,
IF(V8&lt;=55000,(V8-40000)*10%,
IF(V8&lt;=70000,(V8-55000)*15%+1500,
IF(V8&lt;=200000,(V8-70000)*20%+1500+2250,
IF(V8&lt;=400000,(V8-200000)*22.5%+1500+2250+26000,
IF(V8&lt;=600000,(V8-400000)*25%+1500+2250+26000+45000,
IF(AND(V8&gt;600000,V8&lt;=1200000),(V8-400000)*25%+1500+2250+26000+45000
+IFERROR(LOOKUP(V8,{600001;700001;800001;900001},{4000;6750;10250;15250}),0),IF(V8&gt;1200000,((V8-1200000)*27.5%)+300000,0)
)))))))</f>
        <v>0</v>
      </c>
      <c r="X8" s="12">
        <f t="shared" si="4"/>
        <v>0</v>
      </c>
      <c r="Y8" s="12">
        <f t="shared" si="9"/>
        <v>0</v>
      </c>
      <c r="Z8" s="11"/>
      <c r="AA8" s="13">
        <f t="shared" si="5"/>
        <v>0</v>
      </c>
      <c r="AB8" s="12">
        <f t="shared" si="6"/>
        <v>0</v>
      </c>
      <c r="AC8" s="14">
        <f t="shared" si="10"/>
        <v>0</v>
      </c>
      <c r="AE8" s="19">
        <f t="shared" si="14"/>
        <v>0</v>
      </c>
      <c r="AF8" s="19"/>
      <c r="AG8" s="17"/>
      <c r="AI8" s="17"/>
      <c r="AK8" s="7"/>
      <c r="AL8" s="108">
        <f t="shared" si="11"/>
        <v>0</v>
      </c>
      <c r="AM8" s="108">
        <f t="shared" si="12"/>
        <v>0</v>
      </c>
      <c r="AN8" s="113"/>
    </row>
    <row r="9" spans="1:40" x14ac:dyDescent="0.2">
      <c r="B9" s="7"/>
      <c r="C9" s="8"/>
      <c r="D9" s="8"/>
      <c r="E9" s="9"/>
      <c r="F9" s="6"/>
      <c r="G9" s="8"/>
      <c r="H9" s="32"/>
      <c r="I9" s="10" t="str">
        <f t="shared" si="7"/>
        <v>21</v>
      </c>
      <c r="J9" s="11">
        <v>1</v>
      </c>
      <c r="K9" s="11"/>
      <c r="L9" s="11"/>
      <c r="M9" s="11">
        <f t="shared" si="13"/>
        <v>0</v>
      </c>
      <c r="N9" s="11"/>
      <c r="O9" s="11">
        <f t="shared" si="8"/>
        <v>0</v>
      </c>
      <c r="P9" s="11"/>
      <c r="Q9" s="11"/>
      <c r="R9" s="11"/>
      <c r="S9" s="11">
        <f t="shared" si="0"/>
        <v>0</v>
      </c>
      <c r="T9" s="11">
        <f t="shared" si="1"/>
        <v>1666.6666666666667</v>
      </c>
      <c r="U9" s="11">
        <f t="shared" si="2"/>
        <v>0</v>
      </c>
      <c r="V9" s="24">
        <f t="shared" si="3"/>
        <v>0</v>
      </c>
      <c r="W9" s="11">
        <f>IF(V9&lt;=40000,0,
IF(V9&lt;=55000,(V9-40000)*10%,
IF(V9&lt;=70000,(V9-55000)*15%+1500,
IF(V9&lt;=200000,(V9-70000)*20%+1500+2250,
IF(V9&lt;=400000,(V9-200000)*22.5%+1500+2250+26000,
IF(V9&lt;=600000,(V9-400000)*25%+1500+2250+26000+45000,
IF(AND(V9&gt;600000,V9&lt;=1200000),(V9-400000)*25%+1500+2250+26000+45000
+IFERROR(LOOKUP(V9,{600001;700001;800001;900001},{4000;6750;10250;15250}),0),IF(V9&gt;1200000,((V9-1200000)*27.5%)+300000,0)
)))))))</f>
        <v>0</v>
      </c>
      <c r="X9" s="12">
        <f t="shared" si="4"/>
        <v>0</v>
      </c>
      <c r="Y9" s="12">
        <f t="shared" si="9"/>
        <v>0</v>
      </c>
      <c r="Z9" s="11"/>
      <c r="AA9" s="13">
        <f t="shared" si="5"/>
        <v>0</v>
      </c>
      <c r="AB9" s="12">
        <f t="shared" si="6"/>
        <v>0</v>
      </c>
      <c r="AC9" s="14">
        <f t="shared" si="10"/>
        <v>0</v>
      </c>
      <c r="AE9" s="19">
        <f t="shared" si="14"/>
        <v>0</v>
      </c>
      <c r="AF9" s="19"/>
      <c r="AG9" s="17"/>
      <c r="AI9" s="17"/>
      <c r="AK9" s="7"/>
      <c r="AL9" s="108">
        <f t="shared" si="11"/>
        <v>0</v>
      </c>
      <c r="AM9" s="108">
        <f t="shared" si="12"/>
        <v>0</v>
      </c>
      <c r="AN9" s="113"/>
    </row>
    <row r="10" spans="1:40" x14ac:dyDescent="0.2">
      <c r="B10" s="7"/>
      <c r="C10" s="8"/>
      <c r="D10" s="8"/>
      <c r="E10" s="9"/>
      <c r="F10" s="6"/>
      <c r="G10" s="8"/>
      <c r="H10" s="32"/>
      <c r="I10" s="10" t="str">
        <f t="shared" si="7"/>
        <v>21</v>
      </c>
      <c r="J10" s="11">
        <v>1</v>
      </c>
      <c r="K10" s="11"/>
      <c r="L10" s="11"/>
      <c r="M10" s="11">
        <f t="shared" si="13"/>
        <v>0</v>
      </c>
      <c r="N10" s="11"/>
      <c r="O10" s="11">
        <f t="shared" si="8"/>
        <v>0</v>
      </c>
      <c r="P10" s="11"/>
      <c r="Q10" s="11"/>
      <c r="R10" s="11"/>
      <c r="S10" s="11">
        <f t="shared" si="0"/>
        <v>0</v>
      </c>
      <c r="T10" s="11">
        <f t="shared" si="1"/>
        <v>1666.6666666666667</v>
      </c>
      <c r="U10" s="11">
        <f t="shared" si="2"/>
        <v>0</v>
      </c>
      <c r="V10" s="24">
        <f t="shared" si="3"/>
        <v>0</v>
      </c>
      <c r="W10" s="11">
        <f>IF(V10&lt;=40000,0,
IF(V10&lt;=55000,(V10-40000)*10%,
IF(V10&lt;=70000,(V10-55000)*15%+1500,
IF(V10&lt;=200000,(V10-70000)*20%+1500+2250,
IF(V10&lt;=400000,(V10-200000)*22.5%+1500+2250+26000,
IF(V10&lt;=600000,(V10-400000)*25%+1500+2250+26000+45000,
IF(AND(V10&gt;600000,V10&lt;=1200000),(V10-400000)*25%+1500+2250+26000+45000
+IFERROR(LOOKUP(V10,{600001;700001;800001;900001},{4000;6750;10250;15250}),0),IF(V10&gt;1200000,((V10-1200000)*27.5%)+300000,0)
)))))))</f>
        <v>0</v>
      </c>
      <c r="X10" s="12">
        <f t="shared" si="4"/>
        <v>0</v>
      </c>
      <c r="Y10" s="12">
        <f t="shared" si="9"/>
        <v>0</v>
      </c>
      <c r="Z10" s="11"/>
      <c r="AA10" s="13">
        <f t="shared" si="5"/>
        <v>0</v>
      </c>
      <c r="AB10" s="12">
        <f t="shared" si="6"/>
        <v>0</v>
      </c>
      <c r="AC10" s="14">
        <f t="shared" si="10"/>
        <v>0</v>
      </c>
      <c r="AE10" s="19">
        <f t="shared" si="14"/>
        <v>0</v>
      </c>
      <c r="AF10" s="19"/>
      <c r="AG10" s="17"/>
      <c r="AK10" s="7"/>
      <c r="AL10" s="108">
        <f t="shared" si="11"/>
        <v>0</v>
      </c>
      <c r="AM10" s="108">
        <f t="shared" si="12"/>
        <v>0</v>
      </c>
      <c r="AN10" s="113"/>
    </row>
    <row r="11" spans="1:40" x14ac:dyDescent="0.2">
      <c r="B11" s="7"/>
      <c r="C11" s="8"/>
      <c r="D11" s="8"/>
      <c r="E11" s="9"/>
      <c r="F11" s="6"/>
      <c r="G11" s="8"/>
      <c r="H11" s="32"/>
      <c r="I11" s="10" t="str">
        <f t="shared" si="7"/>
        <v>21</v>
      </c>
      <c r="J11" s="11">
        <v>1</v>
      </c>
      <c r="K11" s="11"/>
      <c r="L11" s="11"/>
      <c r="M11" s="11">
        <f t="shared" si="13"/>
        <v>0</v>
      </c>
      <c r="N11" s="11"/>
      <c r="O11" s="11">
        <f t="shared" si="8"/>
        <v>0</v>
      </c>
      <c r="P11" s="11"/>
      <c r="Q11" s="11"/>
      <c r="R11" s="11"/>
      <c r="S11" s="11">
        <f t="shared" si="0"/>
        <v>0</v>
      </c>
      <c r="T11" s="11">
        <f t="shared" si="1"/>
        <v>1666.6666666666667</v>
      </c>
      <c r="U11" s="11">
        <f t="shared" si="2"/>
        <v>0</v>
      </c>
      <c r="V11" s="24">
        <f t="shared" si="3"/>
        <v>0</v>
      </c>
      <c r="W11" s="11">
        <f>IF(V11&lt;=40000,0,
IF(V11&lt;=55000,(V11-40000)*10%,
IF(V11&lt;=70000,(V11-55000)*15%+1500,
IF(V11&lt;=200000,(V11-70000)*20%+1500+2250,
IF(V11&lt;=400000,(V11-200000)*22.5%+1500+2250+26000,
IF(V11&lt;=600000,(V11-400000)*25%+1500+2250+26000+45000,
IF(AND(V11&gt;600000,V11&lt;=1200000),(V11-400000)*25%+1500+2250+26000+45000
+IFERROR(LOOKUP(V11,{600001;700001;800001;900001},{4000;6750;10250;15250}),0),IF(V11&gt;1200000,((V11-1200000)*27.5%)+300000,0)
)))))))</f>
        <v>0</v>
      </c>
      <c r="X11" s="12">
        <f t="shared" si="4"/>
        <v>0</v>
      </c>
      <c r="Y11" s="12">
        <f t="shared" si="9"/>
        <v>0</v>
      </c>
      <c r="Z11" s="11"/>
      <c r="AA11" s="13">
        <f t="shared" si="5"/>
        <v>0</v>
      </c>
      <c r="AB11" s="12">
        <f t="shared" si="6"/>
        <v>0</v>
      </c>
      <c r="AC11" s="14">
        <f t="shared" si="10"/>
        <v>0</v>
      </c>
      <c r="AE11" s="19">
        <f t="shared" si="14"/>
        <v>0</v>
      </c>
      <c r="AF11" s="19"/>
      <c r="AG11" s="17"/>
      <c r="AI11" s="17"/>
      <c r="AK11" s="7"/>
      <c r="AL11" s="108">
        <f t="shared" si="11"/>
        <v>0</v>
      </c>
      <c r="AM11" s="108">
        <f t="shared" si="12"/>
        <v>0</v>
      </c>
      <c r="AN11" s="113"/>
    </row>
    <row r="12" spans="1:40" x14ac:dyDescent="0.2">
      <c r="B12" s="7"/>
      <c r="C12" s="8"/>
      <c r="D12" s="8"/>
      <c r="E12" s="9"/>
      <c r="F12" s="6"/>
      <c r="G12" s="8"/>
      <c r="H12" s="32"/>
      <c r="I12" s="10" t="str">
        <f t="shared" si="7"/>
        <v>21</v>
      </c>
      <c r="J12" s="11">
        <v>1</v>
      </c>
      <c r="K12" s="11"/>
      <c r="L12" s="11"/>
      <c r="M12" s="11">
        <f t="shared" si="13"/>
        <v>0</v>
      </c>
      <c r="N12" s="11"/>
      <c r="O12" s="11">
        <f t="shared" si="8"/>
        <v>0</v>
      </c>
      <c r="P12" s="11"/>
      <c r="Q12" s="11"/>
      <c r="R12" s="11"/>
      <c r="S12" s="11">
        <f t="shared" si="0"/>
        <v>0</v>
      </c>
      <c r="T12" s="11">
        <f t="shared" si="1"/>
        <v>1666.6666666666667</v>
      </c>
      <c r="U12" s="11">
        <f t="shared" si="2"/>
        <v>0</v>
      </c>
      <c r="V12" s="24">
        <f t="shared" si="3"/>
        <v>0</v>
      </c>
      <c r="W12" s="11">
        <f>IF(V12&lt;=40000,0,
IF(V12&lt;=55000,(V12-40000)*10%,
IF(V12&lt;=70000,(V12-55000)*15%+1500,
IF(V12&lt;=200000,(V12-70000)*20%+1500+2250,
IF(V12&lt;=400000,(V12-200000)*22.5%+1500+2250+26000,
IF(V12&lt;=600000,(V12-400000)*25%+1500+2250+26000+45000,
IF(AND(V12&gt;600000,V12&lt;=1200000),(V12-400000)*25%+1500+2250+26000+45000
+IFERROR(LOOKUP(V12,{600001;700001;800001;900001},{4000;6750;10250;15250}),0),IF(V12&gt;1200000,((V12-1200000)*27.5%)+300000,0)
)))))))</f>
        <v>0</v>
      </c>
      <c r="X12" s="12">
        <f t="shared" si="4"/>
        <v>0</v>
      </c>
      <c r="Y12" s="12">
        <f t="shared" ref="Y12:Y28" si="15">(W12/12*J12)-X12</f>
        <v>0</v>
      </c>
      <c r="Z12" s="11"/>
      <c r="AA12" s="13">
        <f t="shared" si="5"/>
        <v>0</v>
      </c>
      <c r="AB12" s="12">
        <f t="shared" si="6"/>
        <v>0</v>
      </c>
      <c r="AC12" s="14">
        <f t="shared" si="10"/>
        <v>0</v>
      </c>
      <c r="AE12" s="19">
        <f t="shared" si="14"/>
        <v>0</v>
      </c>
      <c r="AF12" s="19"/>
      <c r="AG12" s="17"/>
      <c r="AK12" s="7"/>
      <c r="AL12" s="108">
        <f t="shared" si="11"/>
        <v>0</v>
      </c>
      <c r="AM12" s="108">
        <f t="shared" si="12"/>
        <v>0</v>
      </c>
      <c r="AN12" s="113"/>
    </row>
    <row r="13" spans="1:40" x14ac:dyDescent="0.2">
      <c r="B13" s="7"/>
      <c r="C13" s="8"/>
      <c r="D13" s="8"/>
      <c r="E13" s="9"/>
      <c r="F13" s="6"/>
      <c r="G13" s="8"/>
      <c r="H13" s="32"/>
      <c r="I13" s="10" t="str">
        <f t="shared" si="7"/>
        <v>21</v>
      </c>
      <c r="J13" s="11">
        <v>1</v>
      </c>
      <c r="K13" s="11"/>
      <c r="L13" s="11"/>
      <c r="M13" s="11">
        <f t="shared" si="13"/>
        <v>0</v>
      </c>
      <c r="N13" s="11"/>
      <c r="O13" s="11">
        <f t="shared" si="8"/>
        <v>0</v>
      </c>
      <c r="P13" s="11"/>
      <c r="Q13" s="11"/>
      <c r="R13" s="11"/>
      <c r="S13" s="11">
        <f t="shared" si="0"/>
        <v>0</v>
      </c>
      <c r="T13" s="11">
        <f t="shared" si="1"/>
        <v>1666.6666666666667</v>
      </c>
      <c r="U13" s="11">
        <f t="shared" si="2"/>
        <v>0</v>
      </c>
      <c r="V13" s="24">
        <f t="shared" si="3"/>
        <v>0</v>
      </c>
      <c r="W13" s="11">
        <f>IF(V13&lt;=40000,0,
IF(V13&lt;=55000,(V13-40000)*10%,
IF(V13&lt;=70000,(V13-55000)*15%+1500,
IF(V13&lt;=200000,(V13-70000)*20%+1500+2250,
IF(V13&lt;=400000,(V13-200000)*22.5%+1500+2250+26000,
IF(V13&lt;=600000,(V13-400000)*25%+1500+2250+26000+45000,
IF(AND(V13&gt;600000,V13&lt;=1200000),(V13-400000)*25%+1500+2250+26000+45000
+IFERROR(LOOKUP(V13,{600001;700001;800001;900001},{4000;6750;10250;15250}),0),IF(V13&gt;1200000,((V13-1200000)*27.5%)+300000,0)
)))))))</f>
        <v>0</v>
      </c>
      <c r="X13" s="12">
        <f t="shared" si="4"/>
        <v>0</v>
      </c>
      <c r="Y13" s="12">
        <f t="shared" si="15"/>
        <v>0</v>
      </c>
      <c r="Z13" s="11"/>
      <c r="AA13" s="13">
        <f t="shared" si="5"/>
        <v>0</v>
      </c>
      <c r="AB13" s="12">
        <f t="shared" si="6"/>
        <v>0</v>
      </c>
      <c r="AC13" s="14">
        <f t="shared" si="10"/>
        <v>0</v>
      </c>
      <c r="AE13" s="19">
        <f t="shared" si="14"/>
        <v>0</v>
      </c>
      <c r="AF13" s="19"/>
      <c r="AG13" s="17"/>
      <c r="AK13" s="7"/>
      <c r="AL13" s="108">
        <f t="shared" si="11"/>
        <v>0</v>
      </c>
      <c r="AM13" s="108">
        <f t="shared" si="12"/>
        <v>0</v>
      </c>
      <c r="AN13" s="113"/>
    </row>
    <row r="14" spans="1:40" x14ac:dyDescent="0.2">
      <c r="B14" s="7"/>
      <c r="C14" s="8"/>
      <c r="D14" s="8"/>
      <c r="E14" s="9"/>
      <c r="F14" s="6"/>
      <c r="G14" s="8"/>
      <c r="H14" s="32"/>
      <c r="I14" s="10" t="str">
        <f t="shared" si="7"/>
        <v>21</v>
      </c>
      <c r="J14" s="11">
        <v>1</v>
      </c>
      <c r="K14" s="11"/>
      <c r="L14" s="11"/>
      <c r="M14" s="11">
        <f t="shared" si="13"/>
        <v>0</v>
      </c>
      <c r="N14" s="11"/>
      <c r="O14" s="11">
        <f t="shared" si="8"/>
        <v>0</v>
      </c>
      <c r="P14" s="11"/>
      <c r="Q14" s="11"/>
      <c r="R14" s="11"/>
      <c r="S14" s="11">
        <f t="shared" si="0"/>
        <v>0</v>
      </c>
      <c r="T14" s="11">
        <f t="shared" si="1"/>
        <v>1666.6666666666667</v>
      </c>
      <c r="U14" s="11">
        <f t="shared" si="2"/>
        <v>0</v>
      </c>
      <c r="V14" s="24">
        <f t="shared" si="3"/>
        <v>0</v>
      </c>
      <c r="W14" s="11">
        <f>IF(V14&lt;=40000,0,
IF(V14&lt;=55000,(V14-40000)*10%,
IF(V14&lt;=70000,(V14-55000)*15%+1500,
IF(V14&lt;=200000,(V14-70000)*20%+1500+2250,
IF(V14&lt;=400000,(V14-200000)*22.5%+1500+2250+26000,
IF(V14&lt;=600000,(V14-400000)*25%+1500+2250+26000+45000,
IF(AND(V14&gt;600000,V14&lt;=1200000),(V14-400000)*25%+1500+2250+26000+45000
+IFERROR(LOOKUP(V14,{600001;700001;800001;900001},{4000;6750;10250;15250}),0),IF(V14&gt;1200000,((V14-1200000)*27.5%)+300000,0)
)))))))</f>
        <v>0</v>
      </c>
      <c r="X14" s="12">
        <f t="shared" si="4"/>
        <v>0</v>
      </c>
      <c r="Y14" s="12">
        <f t="shared" si="15"/>
        <v>0</v>
      </c>
      <c r="Z14" s="11"/>
      <c r="AA14" s="13">
        <f t="shared" si="5"/>
        <v>0</v>
      </c>
      <c r="AB14" s="12">
        <f t="shared" si="6"/>
        <v>0</v>
      </c>
      <c r="AC14" s="14">
        <f t="shared" si="10"/>
        <v>0</v>
      </c>
      <c r="AE14" s="19">
        <f t="shared" si="14"/>
        <v>0</v>
      </c>
      <c r="AF14" s="19"/>
      <c r="AG14" s="17"/>
      <c r="AK14" s="7"/>
      <c r="AL14" s="108">
        <f t="shared" si="11"/>
        <v>0</v>
      </c>
      <c r="AM14" s="108">
        <f t="shared" si="12"/>
        <v>0</v>
      </c>
      <c r="AN14" s="113"/>
    </row>
    <row r="15" spans="1:40" x14ac:dyDescent="0.2">
      <c r="B15" s="7"/>
      <c r="C15" s="8"/>
      <c r="D15" s="8"/>
      <c r="E15" s="9"/>
      <c r="F15" s="6"/>
      <c r="G15" s="8"/>
      <c r="H15" s="32"/>
      <c r="I15" s="10" t="str">
        <f t="shared" si="7"/>
        <v>21</v>
      </c>
      <c r="J15" s="11">
        <v>1</v>
      </c>
      <c r="K15" s="11"/>
      <c r="L15" s="11"/>
      <c r="M15" s="11">
        <f t="shared" si="13"/>
        <v>0</v>
      </c>
      <c r="N15" s="11"/>
      <c r="O15" s="11">
        <f t="shared" si="8"/>
        <v>0</v>
      </c>
      <c r="P15" s="11"/>
      <c r="Q15" s="11"/>
      <c r="R15" s="11"/>
      <c r="S15" s="11">
        <f t="shared" si="0"/>
        <v>0</v>
      </c>
      <c r="T15" s="11">
        <f t="shared" si="1"/>
        <v>1666.6666666666667</v>
      </c>
      <c r="U15" s="11">
        <f t="shared" si="2"/>
        <v>0</v>
      </c>
      <c r="V15" s="24">
        <f t="shared" si="3"/>
        <v>0</v>
      </c>
      <c r="W15" s="11">
        <f>IF(V15&lt;=40000,0,
IF(V15&lt;=55000,(V15-40000)*10%,
IF(V15&lt;=70000,(V15-55000)*15%+1500,
IF(V15&lt;=200000,(V15-70000)*20%+1500+2250,
IF(V15&lt;=400000,(V15-200000)*22.5%+1500+2250+26000,
IF(V15&lt;=600000,(V15-400000)*25%+1500+2250+26000+45000,
IF(AND(V15&gt;600000,V15&lt;=1200000),(V15-400000)*25%+1500+2250+26000+45000
+IFERROR(LOOKUP(V15,{600001;700001;800001;900001},{4000;6750;10250;15250}),0),IF(V15&gt;1200000,((V15-1200000)*27.5%)+300000,0)
)))))))</f>
        <v>0</v>
      </c>
      <c r="X15" s="12">
        <f t="shared" si="4"/>
        <v>0</v>
      </c>
      <c r="Y15" s="12">
        <f t="shared" si="15"/>
        <v>0</v>
      </c>
      <c r="Z15" s="11"/>
      <c r="AA15" s="13">
        <f t="shared" si="5"/>
        <v>0</v>
      </c>
      <c r="AB15" s="12">
        <f t="shared" si="6"/>
        <v>0</v>
      </c>
      <c r="AC15" s="14">
        <f t="shared" si="10"/>
        <v>0</v>
      </c>
      <c r="AE15" s="19">
        <f t="shared" si="14"/>
        <v>0</v>
      </c>
      <c r="AF15" s="19"/>
      <c r="AG15" s="17"/>
      <c r="AK15" s="7"/>
      <c r="AL15" s="108">
        <f t="shared" si="11"/>
        <v>0</v>
      </c>
      <c r="AM15" s="108">
        <f t="shared" si="12"/>
        <v>0</v>
      </c>
      <c r="AN15" s="113"/>
    </row>
    <row r="16" spans="1:40" x14ac:dyDescent="0.2">
      <c r="B16" s="7"/>
      <c r="C16" s="8"/>
      <c r="D16" s="8"/>
      <c r="E16" s="9"/>
      <c r="F16" s="6"/>
      <c r="G16" s="8"/>
      <c r="H16" s="32"/>
      <c r="I16" s="10" t="str">
        <f t="shared" si="7"/>
        <v>21</v>
      </c>
      <c r="J16" s="11">
        <v>1</v>
      </c>
      <c r="K16" s="11"/>
      <c r="L16" s="11"/>
      <c r="M16" s="11">
        <f t="shared" si="13"/>
        <v>0</v>
      </c>
      <c r="N16" s="11"/>
      <c r="O16" s="11">
        <f t="shared" si="8"/>
        <v>0</v>
      </c>
      <c r="P16" s="11"/>
      <c r="Q16" s="11"/>
      <c r="R16" s="11"/>
      <c r="S16" s="11">
        <f t="shared" si="0"/>
        <v>0</v>
      </c>
      <c r="T16" s="11">
        <f t="shared" si="1"/>
        <v>1666.6666666666667</v>
      </c>
      <c r="U16" s="11">
        <f t="shared" si="2"/>
        <v>0</v>
      </c>
      <c r="V16" s="24">
        <f t="shared" si="3"/>
        <v>0</v>
      </c>
      <c r="W16" s="11">
        <f>IF(V16&lt;=40000,0,
IF(V16&lt;=55000,(V16-40000)*10%,
IF(V16&lt;=70000,(V16-55000)*15%+1500,
IF(V16&lt;=200000,(V16-70000)*20%+1500+2250,
IF(V16&lt;=400000,(V16-200000)*22.5%+1500+2250+26000,
IF(V16&lt;=600000,(V16-400000)*25%+1500+2250+26000+45000,
IF(AND(V16&gt;600000,V16&lt;=1200000),(V16-400000)*25%+1500+2250+26000+45000
+IFERROR(LOOKUP(V16,{600001;700001;800001;900001},{4000;6750;10250;15250}),0),IF(V16&gt;1200000,((V16-1200000)*27.5%)+300000,0)
)))))))</f>
        <v>0</v>
      </c>
      <c r="X16" s="12">
        <f t="shared" si="4"/>
        <v>0</v>
      </c>
      <c r="Y16" s="12">
        <f t="shared" si="15"/>
        <v>0</v>
      </c>
      <c r="Z16" s="11"/>
      <c r="AA16" s="13">
        <f t="shared" si="5"/>
        <v>0</v>
      </c>
      <c r="AB16" s="12">
        <f t="shared" si="6"/>
        <v>0</v>
      </c>
      <c r="AC16" s="14">
        <f t="shared" si="10"/>
        <v>0</v>
      </c>
      <c r="AE16" s="19">
        <f t="shared" si="14"/>
        <v>0</v>
      </c>
      <c r="AF16" s="19"/>
      <c r="AG16" s="17"/>
      <c r="AK16" s="7"/>
      <c r="AL16" s="108">
        <f t="shared" si="11"/>
        <v>0</v>
      </c>
      <c r="AM16" s="108">
        <f t="shared" si="12"/>
        <v>0</v>
      </c>
      <c r="AN16" s="113"/>
    </row>
    <row r="17" spans="2:40" x14ac:dyDescent="0.2">
      <c r="B17" s="7"/>
      <c r="C17" s="8"/>
      <c r="D17" s="8"/>
      <c r="E17" s="9"/>
      <c r="F17" s="6"/>
      <c r="G17" s="8"/>
      <c r="H17" s="32"/>
      <c r="I17" s="10" t="str">
        <f t="shared" si="7"/>
        <v>21</v>
      </c>
      <c r="J17" s="11">
        <v>1</v>
      </c>
      <c r="K17" s="11"/>
      <c r="L17" s="11"/>
      <c r="M17" s="11">
        <f t="shared" si="13"/>
        <v>0</v>
      </c>
      <c r="N17" s="11"/>
      <c r="O17" s="11">
        <f t="shared" si="8"/>
        <v>0</v>
      </c>
      <c r="P17" s="11"/>
      <c r="Q17" s="11"/>
      <c r="R17" s="11"/>
      <c r="S17" s="11">
        <f t="shared" si="0"/>
        <v>0</v>
      </c>
      <c r="T17" s="11">
        <f t="shared" si="1"/>
        <v>1666.6666666666667</v>
      </c>
      <c r="U17" s="11">
        <f t="shared" si="2"/>
        <v>0</v>
      </c>
      <c r="V17" s="24">
        <f t="shared" si="3"/>
        <v>0</v>
      </c>
      <c r="W17" s="11">
        <f>IF(V17&lt;=40000,0,
IF(V17&lt;=55000,(V17-40000)*10%,
IF(V17&lt;=70000,(V17-55000)*15%+1500,
IF(V17&lt;=200000,(V17-70000)*20%+1500+2250,
IF(V17&lt;=400000,(V17-200000)*22.5%+1500+2250+26000,
IF(V17&lt;=600000,(V17-400000)*25%+1500+2250+26000+45000,
IF(AND(V17&gt;600000,V17&lt;=1200000),(V17-400000)*25%+1500+2250+26000+45000
+IFERROR(LOOKUP(V17,{600001;700001;800001;900001},{4000;6750;10250;15250}),0),IF(V17&gt;1200000,((V17-1200000)*27.5%)+300000,0)
)))))))</f>
        <v>0</v>
      </c>
      <c r="X17" s="12">
        <f t="shared" si="4"/>
        <v>0</v>
      </c>
      <c r="Y17" s="12">
        <f t="shared" si="15"/>
        <v>0</v>
      </c>
      <c r="Z17" s="11"/>
      <c r="AA17" s="13">
        <f t="shared" si="5"/>
        <v>0</v>
      </c>
      <c r="AB17" s="12">
        <f t="shared" si="6"/>
        <v>0</v>
      </c>
      <c r="AC17" s="14">
        <f t="shared" si="10"/>
        <v>0</v>
      </c>
      <c r="AE17" s="19">
        <v>0</v>
      </c>
      <c r="AF17" s="19"/>
      <c r="AG17" s="17"/>
      <c r="AK17" s="7"/>
      <c r="AL17" s="108">
        <f t="shared" si="11"/>
        <v>0</v>
      </c>
      <c r="AM17" s="108">
        <f t="shared" si="12"/>
        <v>0</v>
      </c>
      <c r="AN17" s="113"/>
    </row>
    <row r="18" spans="2:40" x14ac:dyDescent="0.2">
      <c r="B18" s="7"/>
      <c r="C18" s="8"/>
      <c r="D18" s="8"/>
      <c r="E18" s="9"/>
      <c r="F18" s="6"/>
      <c r="G18" s="8"/>
      <c r="H18" s="32"/>
      <c r="I18" s="10" t="str">
        <f t="shared" si="7"/>
        <v>21</v>
      </c>
      <c r="J18" s="11">
        <v>1</v>
      </c>
      <c r="K18" s="11"/>
      <c r="L18" s="11"/>
      <c r="M18" s="11">
        <f t="shared" si="13"/>
        <v>0</v>
      </c>
      <c r="N18" s="11"/>
      <c r="O18" s="11">
        <f t="shared" si="8"/>
        <v>0</v>
      </c>
      <c r="P18" s="11"/>
      <c r="Q18" s="11"/>
      <c r="R18" s="11"/>
      <c r="S18" s="11">
        <f t="shared" si="0"/>
        <v>0</v>
      </c>
      <c r="T18" s="11">
        <f t="shared" si="1"/>
        <v>1666.6666666666667</v>
      </c>
      <c r="U18" s="11">
        <f t="shared" si="2"/>
        <v>0</v>
      </c>
      <c r="V18" s="24">
        <f t="shared" si="3"/>
        <v>0</v>
      </c>
      <c r="W18" s="11">
        <f>IF(V18&lt;=40000,0,
IF(V18&lt;=55000,(V18-40000)*10%,
IF(V18&lt;=70000,(V18-55000)*15%+1500,
IF(V18&lt;=200000,(V18-70000)*20%+1500+2250,
IF(V18&lt;=400000,(V18-200000)*22.5%+1500+2250+26000,
IF(V18&lt;=600000,(V18-400000)*25%+1500+2250+26000+45000,
IF(AND(V18&gt;600000,V18&lt;=1200000),(V18-400000)*25%+1500+2250+26000+45000
+IFERROR(LOOKUP(V18,{600001;700001;800001;900001},{4000;6750;10250;15250}),0),IF(V18&gt;1200000,((V18-1200000)*27.5%)+300000,0)
)))))))</f>
        <v>0</v>
      </c>
      <c r="X18" s="12">
        <f t="shared" si="4"/>
        <v>0</v>
      </c>
      <c r="Y18" s="12">
        <f t="shared" si="15"/>
        <v>0</v>
      </c>
      <c r="Z18" s="11"/>
      <c r="AA18" s="13">
        <f t="shared" si="5"/>
        <v>0</v>
      </c>
      <c r="AB18" s="12">
        <f t="shared" si="6"/>
        <v>0</v>
      </c>
      <c r="AC18" s="14">
        <f t="shared" si="10"/>
        <v>0</v>
      </c>
      <c r="AE18" s="19">
        <f t="shared" si="14"/>
        <v>0</v>
      </c>
      <c r="AF18" s="19"/>
      <c r="AG18" s="17"/>
      <c r="AK18" s="7"/>
      <c r="AL18" s="108">
        <f t="shared" si="11"/>
        <v>0</v>
      </c>
      <c r="AM18" s="108">
        <f t="shared" si="12"/>
        <v>0</v>
      </c>
      <c r="AN18" s="113"/>
    </row>
    <row r="19" spans="2:40" x14ac:dyDescent="0.2">
      <c r="B19" s="7"/>
      <c r="C19" s="8"/>
      <c r="D19" s="8"/>
      <c r="E19" s="9"/>
      <c r="F19" s="6"/>
      <c r="G19" s="8"/>
      <c r="H19" s="32"/>
      <c r="I19" s="10" t="str">
        <f t="shared" si="7"/>
        <v>21</v>
      </c>
      <c r="J19" s="11">
        <v>1</v>
      </c>
      <c r="K19" s="11"/>
      <c r="L19" s="11"/>
      <c r="M19" s="11">
        <f t="shared" si="13"/>
        <v>0</v>
      </c>
      <c r="N19" s="11"/>
      <c r="O19" s="11">
        <f t="shared" si="8"/>
        <v>0</v>
      </c>
      <c r="P19" s="11"/>
      <c r="Q19" s="11"/>
      <c r="R19" s="11"/>
      <c r="S19" s="11">
        <f t="shared" si="0"/>
        <v>0</v>
      </c>
      <c r="T19" s="11">
        <f t="shared" si="1"/>
        <v>1666.6666666666667</v>
      </c>
      <c r="U19" s="11">
        <f t="shared" si="2"/>
        <v>0</v>
      </c>
      <c r="V19" s="24">
        <f t="shared" si="3"/>
        <v>0</v>
      </c>
      <c r="W19" s="11">
        <f>IF(V19&lt;=40000,0,
IF(V19&lt;=55000,(V19-40000)*10%,
IF(V19&lt;=70000,(V19-55000)*15%+1500,
IF(V19&lt;=200000,(V19-70000)*20%+1500+2250,
IF(V19&lt;=400000,(V19-200000)*22.5%+1500+2250+26000,
IF(V19&lt;=600000,(V19-400000)*25%+1500+2250+26000+45000,
IF(AND(V19&gt;600000,V19&lt;=1200000),(V19-400000)*25%+1500+2250+26000+45000
+IFERROR(LOOKUP(V19,{600001;700001;800001;900001},{4000;6750;10250;15250}),0),IF(V19&gt;1200000,((V19-1200000)*27.5%)+300000,0)
)))))))</f>
        <v>0</v>
      </c>
      <c r="X19" s="12">
        <f t="shared" si="4"/>
        <v>0</v>
      </c>
      <c r="Y19" s="12">
        <f t="shared" si="15"/>
        <v>0</v>
      </c>
      <c r="Z19" s="11"/>
      <c r="AA19" s="13">
        <f t="shared" si="5"/>
        <v>0</v>
      </c>
      <c r="AB19" s="12">
        <f t="shared" si="6"/>
        <v>0</v>
      </c>
      <c r="AC19" s="14">
        <f t="shared" si="10"/>
        <v>0</v>
      </c>
      <c r="AE19" s="19">
        <f t="shared" si="14"/>
        <v>0</v>
      </c>
      <c r="AF19" s="19"/>
      <c r="AG19" s="17"/>
      <c r="AK19" s="7"/>
      <c r="AL19" s="108">
        <f t="shared" si="11"/>
        <v>0</v>
      </c>
      <c r="AM19" s="108">
        <f t="shared" si="12"/>
        <v>0</v>
      </c>
      <c r="AN19" s="113"/>
    </row>
    <row r="20" spans="2:40" x14ac:dyDescent="0.2">
      <c r="B20" s="7"/>
      <c r="C20" s="8"/>
      <c r="D20" s="8"/>
      <c r="E20" s="9"/>
      <c r="F20" s="6"/>
      <c r="G20" s="8"/>
      <c r="H20" s="32"/>
      <c r="I20" s="10" t="str">
        <f t="shared" si="7"/>
        <v>21</v>
      </c>
      <c r="J20" s="11">
        <v>1</v>
      </c>
      <c r="K20" s="11"/>
      <c r="L20" s="11"/>
      <c r="M20" s="11">
        <f t="shared" si="13"/>
        <v>0</v>
      </c>
      <c r="N20" s="11"/>
      <c r="O20" s="11">
        <f t="shared" si="8"/>
        <v>0</v>
      </c>
      <c r="P20" s="11"/>
      <c r="Q20" s="11"/>
      <c r="R20" s="11"/>
      <c r="S20" s="11">
        <f t="shared" si="0"/>
        <v>0</v>
      </c>
      <c r="T20" s="11">
        <f t="shared" si="1"/>
        <v>1666.6666666666667</v>
      </c>
      <c r="U20" s="11">
        <f t="shared" si="2"/>
        <v>0</v>
      </c>
      <c r="V20" s="24">
        <f t="shared" si="3"/>
        <v>0</v>
      </c>
      <c r="W20" s="11">
        <f>IF(V20&lt;=40000,0,
IF(V20&lt;=55000,(V20-40000)*10%,
IF(V20&lt;=70000,(V20-55000)*15%+1500,
IF(V20&lt;=200000,(V20-70000)*20%+1500+2250,
IF(V20&lt;=400000,(V20-200000)*22.5%+1500+2250+26000,
IF(V20&lt;=600000,(V20-400000)*25%+1500+2250+26000+45000,
IF(AND(V20&gt;600000,V20&lt;=1200000),(V20-400000)*25%+1500+2250+26000+45000
+IFERROR(LOOKUP(V20,{600001;700001;800001;900001},{4000;6750;10250;15250}),0),IF(V20&gt;1200000,((V20-1200000)*27.5%)+300000,0)
)))))))</f>
        <v>0</v>
      </c>
      <c r="X20" s="12">
        <f t="shared" si="4"/>
        <v>0</v>
      </c>
      <c r="Y20" s="12">
        <f t="shared" si="15"/>
        <v>0</v>
      </c>
      <c r="Z20" s="11"/>
      <c r="AA20" s="13">
        <f t="shared" si="5"/>
        <v>0</v>
      </c>
      <c r="AB20" s="12">
        <f t="shared" si="6"/>
        <v>0</v>
      </c>
      <c r="AC20" s="14">
        <f t="shared" si="10"/>
        <v>0</v>
      </c>
      <c r="AE20" s="19">
        <f t="shared" si="14"/>
        <v>0</v>
      </c>
      <c r="AF20" s="19"/>
      <c r="AG20" s="17"/>
      <c r="AK20" s="7"/>
      <c r="AL20" s="108">
        <f t="shared" si="11"/>
        <v>0</v>
      </c>
      <c r="AM20" s="108">
        <f t="shared" si="12"/>
        <v>0</v>
      </c>
      <c r="AN20" s="113"/>
    </row>
    <row r="21" spans="2:40" x14ac:dyDescent="0.2">
      <c r="B21" s="7"/>
      <c r="C21" s="8"/>
      <c r="D21" s="8"/>
      <c r="E21" s="9"/>
      <c r="F21" s="6"/>
      <c r="G21" s="8"/>
      <c r="H21" s="32"/>
      <c r="I21" s="10" t="str">
        <f t="shared" si="7"/>
        <v>21</v>
      </c>
      <c r="J21" s="11">
        <v>1</v>
      </c>
      <c r="K21" s="11"/>
      <c r="L21" s="11"/>
      <c r="M21" s="11">
        <f t="shared" si="13"/>
        <v>0</v>
      </c>
      <c r="N21" s="11"/>
      <c r="O21" s="11">
        <f t="shared" si="8"/>
        <v>0</v>
      </c>
      <c r="P21" s="11"/>
      <c r="Q21" s="11"/>
      <c r="R21" s="11"/>
      <c r="S21" s="11">
        <f t="shared" si="0"/>
        <v>0</v>
      </c>
      <c r="T21" s="11">
        <f t="shared" si="1"/>
        <v>1666.6666666666667</v>
      </c>
      <c r="U21" s="11">
        <f t="shared" si="2"/>
        <v>0</v>
      </c>
      <c r="V21" s="24">
        <f t="shared" si="3"/>
        <v>0</v>
      </c>
      <c r="W21" s="11">
        <f>IF(V21&lt;=40000,0,
IF(V21&lt;=55000,(V21-40000)*10%,
IF(V21&lt;=70000,(V21-55000)*15%+1500,
IF(V21&lt;=200000,(V21-70000)*20%+1500+2250,
IF(V21&lt;=400000,(V21-200000)*22.5%+1500+2250+26000,
IF(V21&lt;=600000,(V21-400000)*25%+1500+2250+26000+45000,
IF(AND(V21&gt;600000,V21&lt;=1200000),(V21-400000)*25%+1500+2250+26000+45000
+IFERROR(LOOKUP(V21,{600001;700001;800001;900001},{4000;6750;10250;15250}),0),IF(V21&gt;1200000,((V21-1200000)*27.5%)+300000,0)
)))))))</f>
        <v>0</v>
      </c>
      <c r="X21" s="12">
        <f t="shared" si="4"/>
        <v>0</v>
      </c>
      <c r="Y21" s="12">
        <f t="shared" si="15"/>
        <v>0</v>
      </c>
      <c r="Z21" s="11"/>
      <c r="AA21" s="13">
        <f t="shared" si="5"/>
        <v>0</v>
      </c>
      <c r="AB21" s="12">
        <f t="shared" si="6"/>
        <v>0</v>
      </c>
      <c r="AC21" s="14">
        <f t="shared" si="10"/>
        <v>0</v>
      </c>
      <c r="AE21" s="19">
        <f t="shared" si="14"/>
        <v>0</v>
      </c>
      <c r="AF21" s="19"/>
      <c r="AG21" s="17"/>
      <c r="AK21" s="7"/>
      <c r="AL21" s="108">
        <f t="shared" si="11"/>
        <v>0</v>
      </c>
      <c r="AM21" s="108">
        <f t="shared" si="12"/>
        <v>0</v>
      </c>
      <c r="AN21" s="113"/>
    </row>
    <row r="22" spans="2:40" x14ac:dyDescent="0.2">
      <c r="B22" s="7"/>
      <c r="C22" s="8"/>
      <c r="D22" s="8"/>
      <c r="E22" s="9"/>
      <c r="F22" s="6"/>
      <c r="G22" s="8"/>
      <c r="H22" s="32"/>
      <c r="I22" s="10" t="str">
        <f t="shared" si="7"/>
        <v>21</v>
      </c>
      <c r="J22" s="11">
        <v>1</v>
      </c>
      <c r="K22" s="11"/>
      <c r="L22" s="11"/>
      <c r="M22" s="11">
        <f t="shared" si="13"/>
        <v>0</v>
      </c>
      <c r="N22" s="11"/>
      <c r="O22" s="11">
        <f t="shared" si="8"/>
        <v>0</v>
      </c>
      <c r="P22" s="11"/>
      <c r="Q22" s="11"/>
      <c r="R22" s="11"/>
      <c r="S22" s="11">
        <f t="shared" si="0"/>
        <v>0</v>
      </c>
      <c r="T22" s="11">
        <f t="shared" si="1"/>
        <v>1666.6666666666667</v>
      </c>
      <c r="U22" s="11">
        <f t="shared" si="2"/>
        <v>0</v>
      </c>
      <c r="V22" s="24">
        <f t="shared" si="3"/>
        <v>0</v>
      </c>
      <c r="W22" s="11">
        <f>IF(V22&lt;=40000,0,
IF(V22&lt;=55000,(V22-40000)*10%,
IF(V22&lt;=70000,(V22-55000)*15%+1500,
IF(V22&lt;=200000,(V22-70000)*20%+1500+2250,
IF(V22&lt;=400000,(V22-200000)*22.5%+1500+2250+26000,
IF(V22&lt;=600000,(V22-400000)*25%+1500+2250+26000+45000,
IF(AND(V22&gt;600000,V22&lt;=1200000),(V22-400000)*25%+1500+2250+26000+45000
+IFERROR(LOOKUP(V22,{600001;700001;800001;900001},{4000;6750;10250;15250}),0),IF(V22&gt;1200000,((V22-1200000)*27.5%)+300000,0)
)))))))</f>
        <v>0</v>
      </c>
      <c r="X22" s="12">
        <f t="shared" si="4"/>
        <v>0</v>
      </c>
      <c r="Y22" s="12">
        <f t="shared" si="15"/>
        <v>0</v>
      </c>
      <c r="Z22" s="11"/>
      <c r="AA22" s="13">
        <f t="shared" si="5"/>
        <v>0</v>
      </c>
      <c r="AB22" s="12">
        <f t="shared" si="6"/>
        <v>0</v>
      </c>
      <c r="AC22" s="14">
        <f t="shared" si="10"/>
        <v>0</v>
      </c>
      <c r="AE22" s="19">
        <f t="shared" si="14"/>
        <v>0</v>
      </c>
      <c r="AF22" s="19"/>
      <c r="AG22" s="17"/>
      <c r="AK22" s="7"/>
      <c r="AL22" s="108">
        <f t="shared" si="11"/>
        <v>0</v>
      </c>
      <c r="AM22" s="108">
        <f t="shared" si="12"/>
        <v>0</v>
      </c>
      <c r="AN22" s="113"/>
    </row>
    <row r="23" spans="2:40" x14ac:dyDescent="0.2">
      <c r="B23" s="7"/>
      <c r="C23" s="8"/>
      <c r="D23" s="8"/>
      <c r="E23" s="9"/>
      <c r="F23" s="6"/>
      <c r="G23" s="8"/>
      <c r="H23" s="32"/>
      <c r="I23" s="10" t="str">
        <f t="shared" si="7"/>
        <v>21</v>
      </c>
      <c r="J23" s="11">
        <v>1</v>
      </c>
      <c r="K23" s="11"/>
      <c r="L23" s="11"/>
      <c r="M23" s="11">
        <f t="shared" si="13"/>
        <v>0</v>
      </c>
      <c r="N23" s="11"/>
      <c r="O23" s="11">
        <f t="shared" si="8"/>
        <v>0</v>
      </c>
      <c r="P23" s="11"/>
      <c r="Q23" s="11"/>
      <c r="R23" s="11"/>
      <c r="S23" s="11">
        <f t="shared" si="0"/>
        <v>0</v>
      </c>
      <c r="T23" s="11">
        <f t="shared" si="1"/>
        <v>1666.6666666666667</v>
      </c>
      <c r="U23" s="11">
        <f t="shared" si="2"/>
        <v>0</v>
      </c>
      <c r="V23" s="24">
        <f t="shared" si="3"/>
        <v>0</v>
      </c>
      <c r="W23" s="11">
        <f>IF(V23&lt;=40000,0,
IF(V23&lt;=55000,(V23-40000)*10%,
IF(V23&lt;=70000,(V23-55000)*15%+1500,
IF(V23&lt;=200000,(V23-70000)*20%+1500+2250,
IF(V23&lt;=400000,(V23-200000)*22.5%+1500+2250+26000,
IF(V23&lt;=600000,(V23-400000)*25%+1500+2250+26000+45000,
IF(AND(V23&gt;600000,V23&lt;=1200000),(V23-400000)*25%+1500+2250+26000+45000
+IFERROR(LOOKUP(V23,{600001;700001;800001;900001},{4000;6750;10250;15250}),0),IF(V23&gt;1200000,((V23-1200000)*27.5%)+300000,0)
)))))))</f>
        <v>0</v>
      </c>
      <c r="X23" s="12">
        <f t="shared" si="4"/>
        <v>0</v>
      </c>
      <c r="Y23" s="12">
        <f t="shared" si="15"/>
        <v>0</v>
      </c>
      <c r="Z23" s="11"/>
      <c r="AA23" s="13">
        <f t="shared" si="5"/>
        <v>0</v>
      </c>
      <c r="AB23" s="12">
        <f t="shared" si="6"/>
        <v>0</v>
      </c>
      <c r="AC23" s="14">
        <f t="shared" si="10"/>
        <v>0</v>
      </c>
      <c r="AE23" s="19">
        <f t="shared" si="14"/>
        <v>0</v>
      </c>
      <c r="AF23" s="19"/>
      <c r="AG23" s="17"/>
      <c r="AK23" s="7"/>
      <c r="AL23" s="108">
        <f t="shared" si="11"/>
        <v>0</v>
      </c>
      <c r="AM23" s="108">
        <f t="shared" si="12"/>
        <v>0</v>
      </c>
      <c r="AN23" s="113"/>
    </row>
    <row r="24" spans="2:40" x14ac:dyDescent="0.2">
      <c r="B24" s="7"/>
      <c r="C24" s="8"/>
      <c r="D24" s="8"/>
      <c r="E24" s="9"/>
      <c r="F24" s="6"/>
      <c r="G24" s="8"/>
      <c r="H24" s="32"/>
      <c r="I24" s="10" t="str">
        <f t="shared" si="7"/>
        <v>21</v>
      </c>
      <c r="J24" s="11">
        <v>1</v>
      </c>
      <c r="K24" s="11"/>
      <c r="L24" s="11"/>
      <c r="M24" s="11">
        <f t="shared" si="13"/>
        <v>0</v>
      </c>
      <c r="N24" s="11"/>
      <c r="O24" s="11">
        <f t="shared" si="8"/>
        <v>0</v>
      </c>
      <c r="P24" s="11"/>
      <c r="Q24" s="11"/>
      <c r="R24" s="11"/>
      <c r="S24" s="11">
        <f t="shared" si="0"/>
        <v>0</v>
      </c>
      <c r="T24" s="11">
        <f t="shared" si="1"/>
        <v>1666.6666666666667</v>
      </c>
      <c r="U24" s="11">
        <f t="shared" si="2"/>
        <v>0</v>
      </c>
      <c r="V24" s="24">
        <f t="shared" si="3"/>
        <v>0</v>
      </c>
      <c r="W24" s="11">
        <f>IF(V24&lt;=40000,0,
IF(V24&lt;=55000,(V24-40000)*10%,
IF(V24&lt;=70000,(V24-55000)*15%+1500,
IF(V24&lt;=200000,(V24-70000)*20%+1500+2250,
IF(V24&lt;=400000,(V24-200000)*22.5%+1500+2250+26000,
IF(V24&lt;=600000,(V24-400000)*25%+1500+2250+26000+45000,
IF(AND(V24&gt;600000,V24&lt;=1200000),(V24-400000)*25%+1500+2250+26000+45000
+IFERROR(LOOKUP(V24,{600001;700001;800001;900001},{4000;6750;10250;15250}),0),IF(V24&gt;1200000,((V24-1200000)*27.5%)+300000,0)
)))))))</f>
        <v>0</v>
      </c>
      <c r="X24" s="12">
        <f t="shared" si="4"/>
        <v>0</v>
      </c>
      <c r="Y24" s="12">
        <f t="shared" si="15"/>
        <v>0</v>
      </c>
      <c r="Z24" s="11"/>
      <c r="AA24" s="13">
        <f t="shared" si="5"/>
        <v>0</v>
      </c>
      <c r="AB24" s="12">
        <f t="shared" si="6"/>
        <v>0</v>
      </c>
      <c r="AC24" s="14">
        <f t="shared" si="10"/>
        <v>0</v>
      </c>
      <c r="AE24" s="19">
        <f t="shared" si="14"/>
        <v>0</v>
      </c>
      <c r="AF24" s="19"/>
      <c r="AG24" s="17"/>
      <c r="AK24" s="7"/>
      <c r="AL24" s="108">
        <f t="shared" si="11"/>
        <v>0</v>
      </c>
      <c r="AM24" s="108">
        <f t="shared" si="12"/>
        <v>0</v>
      </c>
      <c r="AN24" s="113"/>
    </row>
    <row r="25" spans="2:40" x14ac:dyDescent="0.2">
      <c r="B25" s="7"/>
      <c r="C25" s="8"/>
      <c r="D25" s="8"/>
      <c r="E25" s="9"/>
      <c r="F25" s="6"/>
      <c r="G25" s="8"/>
      <c r="H25" s="32"/>
      <c r="I25" s="10" t="str">
        <f t="shared" si="7"/>
        <v>21</v>
      </c>
      <c r="J25" s="11">
        <v>1</v>
      </c>
      <c r="K25" s="11"/>
      <c r="L25" s="11"/>
      <c r="M25" s="11">
        <f t="shared" si="13"/>
        <v>0</v>
      </c>
      <c r="N25" s="11"/>
      <c r="O25" s="11">
        <f t="shared" si="8"/>
        <v>0</v>
      </c>
      <c r="P25" s="11"/>
      <c r="Q25" s="11"/>
      <c r="R25" s="11"/>
      <c r="S25" s="11">
        <f t="shared" si="0"/>
        <v>0</v>
      </c>
      <c r="T25" s="11">
        <f t="shared" si="1"/>
        <v>1666.6666666666667</v>
      </c>
      <c r="U25" s="11">
        <f t="shared" si="2"/>
        <v>0</v>
      </c>
      <c r="V25" s="24">
        <f t="shared" si="3"/>
        <v>0</v>
      </c>
      <c r="W25" s="11">
        <f>IF(V25&lt;=40000,0,
IF(V25&lt;=55000,(V25-40000)*10%,
IF(V25&lt;=70000,(V25-55000)*15%+1500,
IF(V25&lt;=200000,(V25-70000)*20%+1500+2250,
IF(V25&lt;=400000,(V25-200000)*22.5%+1500+2250+26000,
IF(V25&lt;=600000,(V25-400000)*25%+1500+2250+26000+45000,
IF(AND(V25&gt;600000,V25&lt;=1200000),(V25-400000)*25%+1500+2250+26000+45000
+IFERROR(LOOKUP(V25,{600001;700001;800001;900001},{4000;6750;10250;15250}),0),IF(V25&gt;1200000,((V25-1200000)*27.5%)+300000,0)
)))))))</f>
        <v>0</v>
      </c>
      <c r="X25" s="12">
        <f t="shared" si="4"/>
        <v>0</v>
      </c>
      <c r="Y25" s="12">
        <f t="shared" si="15"/>
        <v>0</v>
      </c>
      <c r="Z25" s="11"/>
      <c r="AA25" s="13">
        <f t="shared" si="5"/>
        <v>0</v>
      </c>
      <c r="AB25" s="12">
        <f t="shared" si="6"/>
        <v>0</v>
      </c>
      <c r="AC25" s="14">
        <f t="shared" si="10"/>
        <v>0</v>
      </c>
      <c r="AE25" s="19">
        <f t="shared" si="14"/>
        <v>0</v>
      </c>
      <c r="AF25" s="19"/>
      <c r="AG25" s="17"/>
      <c r="AK25" s="7"/>
      <c r="AL25" s="108">
        <f t="shared" si="11"/>
        <v>0</v>
      </c>
      <c r="AM25" s="108">
        <f t="shared" si="12"/>
        <v>0</v>
      </c>
      <c r="AN25" s="113"/>
    </row>
    <row r="26" spans="2:40" x14ac:dyDescent="0.2">
      <c r="B26" s="7"/>
      <c r="C26" s="8"/>
      <c r="D26" s="8"/>
      <c r="E26" s="9"/>
      <c r="F26" s="6"/>
      <c r="G26" s="8"/>
      <c r="H26" s="32"/>
      <c r="I26" s="10" t="str">
        <f t="shared" si="7"/>
        <v>21</v>
      </c>
      <c r="J26" s="11">
        <v>1</v>
      </c>
      <c r="K26" s="11"/>
      <c r="L26" s="11"/>
      <c r="M26" s="11">
        <f t="shared" si="13"/>
        <v>0</v>
      </c>
      <c r="N26" s="11"/>
      <c r="O26" s="11">
        <f t="shared" si="8"/>
        <v>0</v>
      </c>
      <c r="P26" s="11"/>
      <c r="Q26" s="11"/>
      <c r="R26" s="11"/>
      <c r="S26" s="11">
        <f t="shared" si="0"/>
        <v>0</v>
      </c>
      <c r="T26" s="11">
        <f t="shared" si="1"/>
        <v>1666.6666666666667</v>
      </c>
      <c r="U26" s="11">
        <f t="shared" si="2"/>
        <v>0</v>
      </c>
      <c r="V26" s="24">
        <f t="shared" si="3"/>
        <v>0</v>
      </c>
      <c r="W26" s="11">
        <f>IF(V26&lt;=40000,0,
IF(V26&lt;=55000,(V26-40000)*10%,
IF(V26&lt;=70000,(V26-55000)*15%+1500,
IF(V26&lt;=200000,(V26-70000)*20%+1500+2250,
IF(V26&lt;=400000,(V26-200000)*22.5%+1500+2250+26000,
IF(V26&lt;=600000,(V26-400000)*25%+1500+2250+26000+45000,
IF(AND(V26&gt;600000,V26&lt;=1200000),(V26-400000)*25%+1500+2250+26000+45000
+IFERROR(LOOKUP(V26,{600001;700001;800001;900001},{4000;6750;10250;15250}),0),IF(V26&gt;1200000,((V26-1200000)*27.5%)+300000,0)
)))))))</f>
        <v>0</v>
      </c>
      <c r="X26" s="12">
        <f t="shared" si="4"/>
        <v>0</v>
      </c>
      <c r="Y26" s="12">
        <f t="shared" si="15"/>
        <v>0</v>
      </c>
      <c r="Z26" s="11"/>
      <c r="AA26" s="13">
        <f t="shared" si="5"/>
        <v>0</v>
      </c>
      <c r="AB26" s="12">
        <f t="shared" si="6"/>
        <v>0</v>
      </c>
      <c r="AC26" s="14">
        <f t="shared" si="10"/>
        <v>0</v>
      </c>
      <c r="AE26" s="19">
        <f t="shared" si="14"/>
        <v>0</v>
      </c>
      <c r="AF26" s="19"/>
      <c r="AG26" s="17"/>
      <c r="AK26" s="7"/>
      <c r="AL26" s="108">
        <f t="shared" si="11"/>
        <v>0</v>
      </c>
      <c r="AM26" s="108">
        <f t="shared" si="12"/>
        <v>0</v>
      </c>
      <c r="AN26" s="113"/>
    </row>
    <row r="27" spans="2:40" x14ac:dyDescent="0.2">
      <c r="B27" s="7"/>
      <c r="C27" s="8"/>
      <c r="D27" s="8"/>
      <c r="E27" s="9"/>
      <c r="F27" s="6"/>
      <c r="G27" s="8"/>
      <c r="H27" s="32"/>
      <c r="I27" s="10" t="str">
        <f t="shared" si="7"/>
        <v>21</v>
      </c>
      <c r="J27" s="11">
        <v>1</v>
      </c>
      <c r="K27" s="11"/>
      <c r="L27" s="11"/>
      <c r="M27" s="11">
        <f t="shared" si="13"/>
        <v>0</v>
      </c>
      <c r="N27" s="11"/>
      <c r="O27" s="11">
        <f t="shared" si="8"/>
        <v>0</v>
      </c>
      <c r="P27" s="11"/>
      <c r="Q27" s="11"/>
      <c r="R27" s="11"/>
      <c r="S27" s="11">
        <f t="shared" si="0"/>
        <v>0</v>
      </c>
      <c r="T27" s="11">
        <f t="shared" si="1"/>
        <v>1666.6666666666667</v>
      </c>
      <c r="U27" s="11">
        <f t="shared" si="2"/>
        <v>0</v>
      </c>
      <c r="V27" s="24">
        <f t="shared" si="3"/>
        <v>0</v>
      </c>
      <c r="W27" s="11">
        <f>IF(V27&lt;=40000,0,
IF(V27&lt;=55000,(V27-40000)*10%,
IF(V27&lt;=70000,(V27-55000)*15%+1500,
IF(V27&lt;=200000,(V27-70000)*20%+1500+2250,
IF(V27&lt;=400000,(V27-200000)*22.5%+1500+2250+26000,
IF(V27&lt;=600000,(V27-400000)*25%+1500+2250+26000+45000,
IF(AND(V27&gt;600000,V27&lt;=1200000),(V27-400000)*25%+1500+2250+26000+45000
+IFERROR(LOOKUP(V27,{600001;700001;800001;900001},{4000;6750;10250;15250}),0),IF(V27&gt;1200000,((V27-1200000)*27.5%)+300000,0)
)))))))</f>
        <v>0</v>
      </c>
      <c r="X27" s="12">
        <f t="shared" si="4"/>
        <v>0</v>
      </c>
      <c r="Y27" s="12">
        <f t="shared" si="15"/>
        <v>0</v>
      </c>
      <c r="Z27" s="11"/>
      <c r="AA27" s="13">
        <f t="shared" si="5"/>
        <v>0</v>
      </c>
      <c r="AB27" s="12">
        <f t="shared" si="6"/>
        <v>0</v>
      </c>
      <c r="AC27" s="14">
        <f t="shared" si="10"/>
        <v>0</v>
      </c>
      <c r="AE27" s="19">
        <f t="shared" si="14"/>
        <v>0</v>
      </c>
      <c r="AF27" s="19"/>
      <c r="AG27" s="17"/>
      <c r="AK27" s="7"/>
      <c r="AL27" s="108">
        <f t="shared" si="11"/>
        <v>0</v>
      </c>
      <c r="AM27" s="108">
        <f t="shared" si="12"/>
        <v>0</v>
      </c>
      <c r="AN27" s="113"/>
    </row>
    <row r="28" spans="2:40" x14ac:dyDescent="0.2">
      <c r="B28" s="7"/>
      <c r="C28" s="8"/>
      <c r="D28" s="8"/>
      <c r="E28" s="9"/>
      <c r="F28" s="6"/>
      <c r="G28" s="8"/>
      <c r="H28" s="32"/>
      <c r="I28" s="10" t="str">
        <f t="shared" si="7"/>
        <v>21</v>
      </c>
      <c r="J28" s="11">
        <v>1</v>
      </c>
      <c r="K28" s="11"/>
      <c r="L28" s="11"/>
      <c r="M28" s="11">
        <f t="shared" si="13"/>
        <v>0</v>
      </c>
      <c r="N28" s="11"/>
      <c r="O28" s="11">
        <f t="shared" si="8"/>
        <v>0</v>
      </c>
      <c r="P28" s="11"/>
      <c r="Q28" s="11"/>
      <c r="R28" s="11"/>
      <c r="S28" s="11">
        <f t="shared" si="0"/>
        <v>0</v>
      </c>
      <c r="T28" s="11">
        <f t="shared" si="1"/>
        <v>1666.6666666666667</v>
      </c>
      <c r="U28" s="11">
        <f t="shared" si="2"/>
        <v>0</v>
      </c>
      <c r="V28" s="24">
        <f t="shared" si="3"/>
        <v>0</v>
      </c>
      <c r="W28" s="11">
        <f>IF(V28&lt;=40000,0,
IF(V28&lt;=55000,(V28-40000)*10%,
IF(V28&lt;=70000,(V28-55000)*15%+1500,
IF(V28&lt;=200000,(V28-70000)*20%+1500+2250,
IF(V28&lt;=400000,(V28-200000)*22.5%+1500+2250+26000,
IF(V28&lt;=600000,(V28-400000)*25%+1500+2250+26000+45000,
IF(AND(V28&gt;600000,V28&lt;=1200000),(V28-400000)*25%+1500+2250+26000+45000
+IFERROR(LOOKUP(V28,{600001;700001;800001;900001},{4000;6750;10250;15250}),0),IF(V28&gt;1200000,((V28-1200000)*27.5%)+300000,0)
)))))))</f>
        <v>0</v>
      </c>
      <c r="X28" s="12">
        <f t="shared" si="4"/>
        <v>0</v>
      </c>
      <c r="Y28" s="12">
        <f t="shared" si="15"/>
        <v>0</v>
      </c>
      <c r="Z28" s="11"/>
      <c r="AA28" s="13">
        <f t="shared" si="5"/>
        <v>0</v>
      </c>
      <c r="AB28" s="12">
        <f t="shared" si="6"/>
        <v>0</v>
      </c>
      <c r="AC28" s="14">
        <f t="shared" si="10"/>
        <v>0</v>
      </c>
      <c r="AE28" s="19">
        <f t="shared" si="14"/>
        <v>0</v>
      </c>
      <c r="AF28" s="19"/>
      <c r="AG28" s="17"/>
      <c r="AK28" s="7"/>
      <c r="AL28" s="108">
        <f t="shared" si="11"/>
        <v>0</v>
      </c>
      <c r="AM28" s="108">
        <f t="shared" si="12"/>
        <v>0</v>
      </c>
      <c r="AN28" s="113"/>
    </row>
    <row r="29" spans="2:40" x14ac:dyDescent="0.2">
      <c r="B29" s="7"/>
      <c r="C29" s="8"/>
      <c r="D29" s="8"/>
      <c r="E29" s="9"/>
      <c r="F29" s="6"/>
      <c r="G29" s="8"/>
      <c r="H29" s="32"/>
      <c r="I29" s="10" t="str">
        <f t="shared" si="7"/>
        <v>21</v>
      </c>
      <c r="J29" s="11">
        <v>1</v>
      </c>
      <c r="K29" s="11"/>
      <c r="L29" s="11"/>
      <c r="M29" s="11">
        <f t="shared" ref="M29:M92" si="16">SUM(K29:L29)</f>
        <v>0</v>
      </c>
      <c r="N29" s="11"/>
      <c r="O29" s="11">
        <f t="shared" ref="O29:O92" si="17">+N29+M29</f>
        <v>0</v>
      </c>
      <c r="P29" s="11"/>
      <c r="Q29" s="11"/>
      <c r="R29" s="11"/>
      <c r="S29" s="11">
        <f t="shared" ref="S29:S92" si="18">O29-P29-Q29-R29</f>
        <v>0</v>
      </c>
      <c r="T29" s="11">
        <f t="shared" ref="T29:T92" si="19">IF(J29&gt;0,(20000/12*J29),0)</f>
        <v>1666.6666666666667</v>
      </c>
      <c r="U29" s="11">
        <f t="shared" ref="U29:U92" si="20">IF(AND(J29&gt;0,S29-T29&gt;0),S29-T29,0)</f>
        <v>0</v>
      </c>
      <c r="V29" s="24">
        <f t="shared" ref="V29:V92" si="21">IF(J29=0,0,(U29/J29*12))</f>
        <v>0</v>
      </c>
      <c r="W29" s="11">
        <f>IF(V29&lt;=40000,0,
IF(V29&lt;=55000,(V29-40000)*10%,
IF(V29&lt;=70000,(V29-55000)*15%+1500,
IF(V29&lt;=200000,(V29-70000)*20%+1500+2250,
IF(V29&lt;=400000,(V29-200000)*22.5%+1500+2250+26000,
IF(V29&lt;=600000,(V29-400000)*25%+1500+2250+26000+45000,
IF(AND(V29&gt;600000,V29&lt;=1200000),(V29-400000)*25%+1500+2250+26000+45000
+IFERROR(LOOKUP(V29,{600001;700001;800001;900001},{4000;6750;10250;15250}),0),IF(V29&gt;1200000,((V29-1200000)*27.5%)+300000,0)
)))))))</f>
        <v>0</v>
      </c>
      <c r="X29" s="12">
        <f t="shared" ref="X29:X92" si="22">N29*0.1</f>
        <v>0</v>
      </c>
      <c r="Y29" s="12">
        <f t="shared" ref="Y29:Y92" si="23">(W29/12*J29)-X29</f>
        <v>0</v>
      </c>
      <c r="Z29" s="11"/>
      <c r="AA29" s="13">
        <f t="shared" ref="AA29:AA92" si="24">+O29-P29-Y29-Z29</f>
        <v>0</v>
      </c>
      <c r="AB29" s="12">
        <f t="shared" ref="AB29:AB92" si="25">(P29/0.11)*18.75%</f>
        <v>0</v>
      </c>
      <c r="AC29" s="14">
        <f t="shared" si="10"/>
        <v>0</v>
      </c>
      <c r="AE29" s="19">
        <f t="shared" ref="AE29:AE92" si="26">+AD29-AC29</f>
        <v>0</v>
      </c>
      <c r="AF29" s="19"/>
      <c r="AG29" s="17"/>
      <c r="AK29" s="7"/>
      <c r="AL29" s="108">
        <f t="shared" si="11"/>
        <v>0</v>
      </c>
      <c r="AM29" s="108">
        <f t="shared" si="12"/>
        <v>0</v>
      </c>
      <c r="AN29" s="113"/>
    </row>
    <row r="30" spans="2:40" x14ac:dyDescent="0.2">
      <c r="B30" s="7"/>
      <c r="C30" s="8"/>
      <c r="D30" s="8"/>
      <c r="E30" s="9"/>
      <c r="F30" s="6"/>
      <c r="G30" s="8"/>
      <c r="H30" s="32"/>
      <c r="I30" s="10" t="str">
        <f t="shared" si="7"/>
        <v>21</v>
      </c>
      <c r="J30" s="11">
        <v>1</v>
      </c>
      <c r="K30" s="11"/>
      <c r="L30" s="11"/>
      <c r="M30" s="11">
        <f t="shared" si="16"/>
        <v>0</v>
      </c>
      <c r="N30" s="11"/>
      <c r="O30" s="11">
        <f t="shared" si="17"/>
        <v>0</v>
      </c>
      <c r="P30" s="11"/>
      <c r="Q30" s="11"/>
      <c r="R30" s="11"/>
      <c r="S30" s="11">
        <f t="shared" si="18"/>
        <v>0</v>
      </c>
      <c r="T30" s="11">
        <f t="shared" si="19"/>
        <v>1666.6666666666667</v>
      </c>
      <c r="U30" s="11">
        <f t="shared" si="20"/>
        <v>0</v>
      </c>
      <c r="V30" s="24">
        <f t="shared" si="21"/>
        <v>0</v>
      </c>
      <c r="W30" s="11">
        <f>IF(V30&lt;=40000,0,
IF(V30&lt;=55000,(V30-40000)*10%,
IF(V30&lt;=70000,(V30-55000)*15%+1500,
IF(V30&lt;=200000,(V30-70000)*20%+1500+2250,
IF(V30&lt;=400000,(V30-200000)*22.5%+1500+2250+26000,
IF(V30&lt;=600000,(V30-400000)*25%+1500+2250+26000+45000,
IF(AND(V30&gt;600000,V30&lt;=1200000),(V30-400000)*25%+1500+2250+26000+45000
+IFERROR(LOOKUP(V30,{600001;700001;800001;900001},{4000;6750;10250;15250}),0),IF(V30&gt;1200000,((V30-1200000)*27.5%)+300000,0)
)))))))</f>
        <v>0</v>
      </c>
      <c r="X30" s="12">
        <f t="shared" si="22"/>
        <v>0</v>
      </c>
      <c r="Y30" s="12">
        <f t="shared" si="23"/>
        <v>0</v>
      </c>
      <c r="Z30" s="11"/>
      <c r="AA30" s="13">
        <f t="shared" si="24"/>
        <v>0</v>
      </c>
      <c r="AB30" s="12">
        <f t="shared" si="25"/>
        <v>0</v>
      </c>
      <c r="AC30" s="14">
        <f t="shared" si="10"/>
        <v>0</v>
      </c>
      <c r="AE30" s="19">
        <f t="shared" si="26"/>
        <v>0</v>
      </c>
      <c r="AF30" s="19"/>
      <c r="AG30" s="17"/>
      <c r="AK30" s="7"/>
      <c r="AL30" s="108">
        <f t="shared" si="11"/>
        <v>0</v>
      </c>
      <c r="AM30" s="108">
        <f t="shared" si="12"/>
        <v>0</v>
      </c>
      <c r="AN30" s="113"/>
    </row>
    <row r="31" spans="2:40" x14ac:dyDescent="0.2">
      <c r="B31" s="7"/>
      <c r="C31" s="8"/>
      <c r="D31" s="8"/>
      <c r="E31" s="9"/>
      <c r="F31" s="6"/>
      <c r="G31" s="8"/>
      <c r="H31" s="32"/>
      <c r="I31" s="10" t="str">
        <f t="shared" si="7"/>
        <v>21</v>
      </c>
      <c r="J31" s="11">
        <v>1</v>
      </c>
      <c r="K31" s="11"/>
      <c r="L31" s="11"/>
      <c r="M31" s="11">
        <f t="shared" si="16"/>
        <v>0</v>
      </c>
      <c r="N31" s="11"/>
      <c r="O31" s="11">
        <f t="shared" si="17"/>
        <v>0</v>
      </c>
      <c r="P31" s="11"/>
      <c r="Q31" s="11"/>
      <c r="R31" s="11"/>
      <c r="S31" s="11">
        <f t="shared" si="18"/>
        <v>0</v>
      </c>
      <c r="T31" s="11">
        <f t="shared" si="19"/>
        <v>1666.6666666666667</v>
      </c>
      <c r="U31" s="11">
        <f t="shared" si="20"/>
        <v>0</v>
      </c>
      <c r="V31" s="24">
        <f t="shared" si="21"/>
        <v>0</v>
      </c>
      <c r="W31" s="11">
        <f>IF(V31&lt;=40000,0,
IF(V31&lt;=55000,(V31-40000)*10%,
IF(V31&lt;=70000,(V31-55000)*15%+1500,
IF(V31&lt;=200000,(V31-70000)*20%+1500+2250,
IF(V31&lt;=400000,(V31-200000)*22.5%+1500+2250+26000,
IF(V31&lt;=600000,(V31-400000)*25%+1500+2250+26000+45000,
IF(AND(V31&gt;600000,V31&lt;=1200000),(V31-400000)*25%+1500+2250+26000+45000
+IFERROR(LOOKUP(V31,{600001;700001;800001;900001},{4000;6750;10250;15250}),0),IF(V31&gt;1200000,((V31-1200000)*27.5%)+300000,0)
)))))))</f>
        <v>0</v>
      </c>
      <c r="X31" s="12">
        <f t="shared" si="22"/>
        <v>0</v>
      </c>
      <c r="Y31" s="12">
        <f t="shared" si="23"/>
        <v>0</v>
      </c>
      <c r="Z31" s="11"/>
      <c r="AA31" s="13">
        <f t="shared" si="24"/>
        <v>0</v>
      </c>
      <c r="AB31" s="12">
        <f t="shared" si="25"/>
        <v>0</v>
      </c>
      <c r="AC31" s="14">
        <f t="shared" si="10"/>
        <v>0</v>
      </c>
      <c r="AE31" s="19">
        <f t="shared" si="26"/>
        <v>0</v>
      </c>
      <c r="AF31" s="19"/>
      <c r="AG31" s="17"/>
      <c r="AK31" s="7"/>
      <c r="AL31" s="108">
        <f t="shared" si="11"/>
        <v>0</v>
      </c>
      <c r="AM31" s="108">
        <f t="shared" si="12"/>
        <v>0</v>
      </c>
      <c r="AN31" s="113"/>
    </row>
    <row r="32" spans="2:40" x14ac:dyDescent="0.2">
      <c r="B32" s="7"/>
      <c r="C32" s="8"/>
      <c r="D32" s="8"/>
      <c r="E32" s="9"/>
      <c r="F32" s="6"/>
      <c r="G32" s="8"/>
      <c r="H32" s="32"/>
      <c r="I32" s="10" t="str">
        <f t="shared" si="7"/>
        <v>21</v>
      </c>
      <c r="J32" s="11">
        <v>1</v>
      </c>
      <c r="K32" s="11"/>
      <c r="L32" s="11"/>
      <c r="M32" s="11">
        <f t="shared" si="16"/>
        <v>0</v>
      </c>
      <c r="N32" s="11"/>
      <c r="O32" s="11">
        <f t="shared" si="17"/>
        <v>0</v>
      </c>
      <c r="P32" s="11"/>
      <c r="Q32" s="11"/>
      <c r="R32" s="11"/>
      <c r="S32" s="11">
        <f t="shared" si="18"/>
        <v>0</v>
      </c>
      <c r="T32" s="11">
        <f t="shared" si="19"/>
        <v>1666.6666666666667</v>
      </c>
      <c r="U32" s="11">
        <f t="shared" si="20"/>
        <v>0</v>
      </c>
      <c r="V32" s="24">
        <f t="shared" si="21"/>
        <v>0</v>
      </c>
      <c r="W32" s="11">
        <f>IF(V32&lt;=40000,0,
IF(V32&lt;=55000,(V32-40000)*10%,
IF(V32&lt;=70000,(V32-55000)*15%+1500,
IF(V32&lt;=200000,(V32-70000)*20%+1500+2250,
IF(V32&lt;=400000,(V32-200000)*22.5%+1500+2250+26000,
IF(V32&lt;=600000,(V32-400000)*25%+1500+2250+26000+45000,
IF(AND(V32&gt;600000,V32&lt;=1200000),(V32-400000)*25%+1500+2250+26000+45000
+IFERROR(LOOKUP(V32,{600001;700001;800001;900001},{4000;6750;10250;15250}),0),IF(V32&gt;1200000,((V32-1200000)*27.5%)+300000,0)
)))))))</f>
        <v>0</v>
      </c>
      <c r="X32" s="12">
        <f t="shared" si="22"/>
        <v>0</v>
      </c>
      <c r="Y32" s="12">
        <f t="shared" si="23"/>
        <v>0</v>
      </c>
      <c r="Z32" s="11"/>
      <c r="AA32" s="13">
        <f t="shared" si="24"/>
        <v>0</v>
      </c>
      <c r="AB32" s="12">
        <f t="shared" si="25"/>
        <v>0</v>
      </c>
      <c r="AC32" s="14">
        <f t="shared" si="10"/>
        <v>0</v>
      </c>
      <c r="AE32" s="19">
        <f t="shared" si="26"/>
        <v>0</v>
      </c>
      <c r="AF32" s="19"/>
      <c r="AG32" s="17"/>
      <c r="AK32" s="7"/>
      <c r="AL32" s="108">
        <f t="shared" si="11"/>
        <v>0</v>
      </c>
      <c r="AM32" s="108">
        <f t="shared" si="12"/>
        <v>0</v>
      </c>
      <c r="AN32" s="113"/>
    </row>
    <row r="33" spans="2:40" x14ac:dyDescent="0.2">
      <c r="B33" s="7"/>
      <c r="C33" s="8"/>
      <c r="D33" s="8"/>
      <c r="E33" s="9"/>
      <c r="F33" s="6"/>
      <c r="G33" s="8"/>
      <c r="H33" s="32"/>
      <c r="I33" s="10" t="str">
        <f t="shared" si="7"/>
        <v>21</v>
      </c>
      <c r="J33" s="11">
        <v>1</v>
      </c>
      <c r="K33" s="11"/>
      <c r="L33" s="11"/>
      <c r="M33" s="11">
        <f t="shared" si="16"/>
        <v>0</v>
      </c>
      <c r="N33" s="11"/>
      <c r="O33" s="11">
        <f t="shared" si="17"/>
        <v>0</v>
      </c>
      <c r="P33" s="11"/>
      <c r="Q33" s="11"/>
      <c r="R33" s="11"/>
      <c r="S33" s="11">
        <f t="shared" si="18"/>
        <v>0</v>
      </c>
      <c r="T33" s="11">
        <f t="shared" si="19"/>
        <v>1666.6666666666667</v>
      </c>
      <c r="U33" s="11">
        <f t="shared" si="20"/>
        <v>0</v>
      </c>
      <c r="V33" s="24">
        <f t="shared" si="21"/>
        <v>0</v>
      </c>
      <c r="W33" s="11">
        <f>IF(V33&lt;=40000,0,
IF(V33&lt;=55000,(V33-40000)*10%,
IF(V33&lt;=70000,(V33-55000)*15%+1500,
IF(V33&lt;=200000,(V33-70000)*20%+1500+2250,
IF(V33&lt;=400000,(V33-200000)*22.5%+1500+2250+26000,
IF(V33&lt;=600000,(V33-400000)*25%+1500+2250+26000+45000,
IF(AND(V33&gt;600000,V33&lt;=1200000),(V33-400000)*25%+1500+2250+26000+45000
+IFERROR(LOOKUP(V33,{600001;700001;800001;900001},{4000;6750;10250;15250}),0),IF(V33&gt;1200000,((V33-1200000)*27.5%)+300000,0)
)))))))</f>
        <v>0</v>
      </c>
      <c r="X33" s="12">
        <f t="shared" si="22"/>
        <v>0</v>
      </c>
      <c r="Y33" s="12">
        <f t="shared" si="23"/>
        <v>0</v>
      </c>
      <c r="Z33" s="11"/>
      <c r="AA33" s="13">
        <f t="shared" si="24"/>
        <v>0</v>
      </c>
      <c r="AB33" s="12">
        <f t="shared" si="25"/>
        <v>0</v>
      </c>
      <c r="AC33" s="14">
        <f t="shared" si="10"/>
        <v>0</v>
      </c>
      <c r="AE33" s="19">
        <f t="shared" si="26"/>
        <v>0</v>
      </c>
      <c r="AF33" s="19"/>
      <c r="AG33" s="17"/>
      <c r="AK33" s="7"/>
      <c r="AL33" s="108">
        <f t="shared" si="11"/>
        <v>0</v>
      </c>
      <c r="AM33" s="108">
        <f t="shared" si="12"/>
        <v>0</v>
      </c>
      <c r="AN33" s="113"/>
    </row>
    <row r="34" spans="2:40" x14ac:dyDescent="0.2">
      <c r="B34" s="7"/>
      <c r="C34" s="8"/>
      <c r="D34" s="8"/>
      <c r="E34" s="9"/>
      <c r="F34" s="6"/>
      <c r="G34" s="8"/>
      <c r="H34" s="32"/>
      <c r="I34" s="10" t="str">
        <f t="shared" si="7"/>
        <v>21</v>
      </c>
      <c r="J34" s="11">
        <v>1</v>
      </c>
      <c r="K34" s="11"/>
      <c r="L34" s="11"/>
      <c r="M34" s="11">
        <f t="shared" si="16"/>
        <v>0</v>
      </c>
      <c r="N34" s="11"/>
      <c r="O34" s="11">
        <f t="shared" si="17"/>
        <v>0</v>
      </c>
      <c r="P34" s="11"/>
      <c r="Q34" s="11"/>
      <c r="R34" s="11"/>
      <c r="S34" s="11">
        <f t="shared" si="18"/>
        <v>0</v>
      </c>
      <c r="T34" s="11">
        <f t="shared" si="19"/>
        <v>1666.6666666666667</v>
      </c>
      <c r="U34" s="11">
        <f t="shared" si="20"/>
        <v>0</v>
      </c>
      <c r="V34" s="24">
        <f t="shared" si="21"/>
        <v>0</v>
      </c>
      <c r="W34" s="11">
        <f>IF(V34&lt;=40000,0,
IF(V34&lt;=55000,(V34-40000)*10%,
IF(V34&lt;=70000,(V34-55000)*15%+1500,
IF(V34&lt;=200000,(V34-70000)*20%+1500+2250,
IF(V34&lt;=400000,(V34-200000)*22.5%+1500+2250+26000,
IF(V34&lt;=600000,(V34-400000)*25%+1500+2250+26000+45000,
IF(AND(V34&gt;600000,V34&lt;=1200000),(V34-400000)*25%+1500+2250+26000+45000
+IFERROR(LOOKUP(V34,{600001;700001;800001;900001},{4000;6750;10250;15250}),0),IF(V34&gt;1200000,((V34-1200000)*27.5%)+300000,0)
)))))))</f>
        <v>0</v>
      </c>
      <c r="X34" s="12">
        <f t="shared" si="22"/>
        <v>0</v>
      </c>
      <c r="Y34" s="12">
        <f t="shared" si="23"/>
        <v>0</v>
      </c>
      <c r="Z34" s="11"/>
      <c r="AA34" s="13">
        <f t="shared" si="24"/>
        <v>0</v>
      </c>
      <c r="AB34" s="12">
        <f t="shared" si="25"/>
        <v>0</v>
      </c>
      <c r="AC34" s="14">
        <f t="shared" si="10"/>
        <v>0</v>
      </c>
      <c r="AE34" s="19">
        <f t="shared" si="26"/>
        <v>0</v>
      </c>
      <c r="AF34" s="19"/>
      <c r="AG34" s="17"/>
      <c r="AK34" s="7"/>
      <c r="AL34" s="108">
        <f t="shared" si="11"/>
        <v>0</v>
      </c>
      <c r="AM34" s="108">
        <f t="shared" si="12"/>
        <v>0</v>
      </c>
      <c r="AN34" s="113"/>
    </row>
    <row r="35" spans="2:40" x14ac:dyDescent="0.2">
      <c r="B35" s="7"/>
      <c r="C35" s="8"/>
      <c r="D35" s="8"/>
      <c r="E35" s="9"/>
      <c r="F35" s="6"/>
      <c r="G35" s="8"/>
      <c r="H35" s="32"/>
      <c r="I35" s="10" t="str">
        <f t="shared" si="7"/>
        <v>21</v>
      </c>
      <c r="J35" s="11">
        <v>1</v>
      </c>
      <c r="K35" s="11"/>
      <c r="L35" s="11"/>
      <c r="M35" s="11">
        <f t="shared" si="16"/>
        <v>0</v>
      </c>
      <c r="N35" s="11"/>
      <c r="O35" s="11">
        <f t="shared" si="17"/>
        <v>0</v>
      </c>
      <c r="P35" s="11"/>
      <c r="Q35" s="11"/>
      <c r="R35" s="11"/>
      <c r="S35" s="11">
        <f t="shared" si="18"/>
        <v>0</v>
      </c>
      <c r="T35" s="11">
        <f t="shared" si="19"/>
        <v>1666.6666666666667</v>
      </c>
      <c r="U35" s="11">
        <f t="shared" si="20"/>
        <v>0</v>
      </c>
      <c r="V35" s="24">
        <f t="shared" si="21"/>
        <v>0</v>
      </c>
      <c r="W35" s="11">
        <f>IF(V35&lt;=40000,0,
IF(V35&lt;=55000,(V35-40000)*10%,
IF(V35&lt;=70000,(V35-55000)*15%+1500,
IF(V35&lt;=200000,(V35-70000)*20%+1500+2250,
IF(V35&lt;=400000,(V35-200000)*22.5%+1500+2250+26000,
IF(V35&lt;=600000,(V35-400000)*25%+1500+2250+26000+45000,
IF(AND(V35&gt;600000,V35&lt;=1200000),(V35-400000)*25%+1500+2250+26000+45000
+IFERROR(LOOKUP(V35,{600001;700001;800001;900001},{4000;6750;10250;15250}),0),IF(V35&gt;1200000,((V35-1200000)*27.5%)+300000,0)
)))))))</f>
        <v>0</v>
      </c>
      <c r="X35" s="12">
        <f t="shared" si="22"/>
        <v>0</v>
      </c>
      <c r="Y35" s="12">
        <f t="shared" si="23"/>
        <v>0</v>
      </c>
      <c r="Z35" s="11"/>
      <c r="AA35" s="13">
        <f t="shared" si="24"/>
        <v>0</v>
      </c>
      <c r="AB35" s="12">
        <f t="shared" si="25"/>
        <v>0</v>
      </c>
      <c r="AC35" s="14">
        <f t="shared" si="10"/>
        <v>0</v>
      </c>
      <c r="AE35" s="19">
        <f t="shared" si="26"/>
        <v>0</v>
      </c>
      <c r="AF35" s="19"/>
      <c r="AG35" s="17"/>
      <c r="AK35" s="7"/>
      <c r="AL35" s="108">
        <f t="shared" si="11"/>
        <v>0</v>
      </c>
      <c r="AM35" s="108">
        <f t="shared" si="12"/>
        <v>0</v>
      </c>
      <c r="AN35" s="113"/>
    </row>
    <row r="36" spans="2:40" x14ac:dyDescent="0.2">
      <c r="B36" s="7"/>
      <c r="C36" s="8"/>
      <c r="D36" s="8"/>
      <c r="E36" s="9"/>
      <c r="F36" s="6"/>
      <c r="G36" s="8"/>
      <c r="H36" s="32"/>
      <c r="I36" s="10" t="str">
        <f t="shared" si="7"/>
        <v>21</v>
      </c>
      <c r="J36" s="11">
        <v>1</v>
      </c>
      <c r="K36" s="11"/>
      <c r="L36" s="11"/>
      <c r="M36" s="11">
        <f t="shared" si="16"/>
        <v>0</v>
      </c>
      <c r="N36" s="11"/>
      <c r="O36" s="11">
        <f t="shared" si="17"/>
        <v>0</v>
      </c>
      <c r="P36" s="11"/>
      <c r="Q36" s="11"/>
      <c r="R36" s="11"/>
      <c r="S36" s="11">
        <f t="shared" si="18"/>
        <v>0</v>
      </c>
      <c r="T36" s="11">
        <f t="shared" si="19"/>
        <v>1666.6666666666667</v>
      </c>
      <c r="U36" s="11">
        <f t="shared" si="20"/>
        <v>0</v>
      </c>
      <c r="V36" s="24">
        <f t="shared" si="21"/>
        <v>0</v>
      </c>
      <c r="W36" s="11">
        <f>IF(V36&lt;=40000,0,
IF(V36&lt;=55000,(V36-40000)*10%,
IF(V36&lt;=70000,(V36-55000)*15%+1500,
IF(V36&lt;=200000,(V36-70000)*20%+1500+2250,
IF(V36&lt;=400000,(V36-200000)*22.5%+1500+2250+26000,
IF(V36&lt;=600000,(V36-400000)*25%+1500+2250+26000+45000,
IF(AND(V36&gt;600000,V36&lt;=1200000),(V36-400000)*25%+1500+2250+26000+45000
+IFERROR(LOOKUP(V36,{600001;700001;800001;900001},{4000;6750;10250;15250}),0),IF(V36&gt;1200000,((V36-1200000)*27.5%)+300000,0)
)))))))</f>
        <v>0</v>
      </c>
      <c r="X36" s="12">
        <f t="shared" si="22"/>
        <v>0</v>
      </c>
      <c r="Y36" s="12">
        <f t="shared" si="23"/>
        <v>0</v>
      </c>
      <c r="Z36" s="11"/>
      <c r="AA36" s="13">
        <f t="shared" si="24"/>
        <v>0</v>
      </c>
      <c r="AB36" s="12">
        <f t="shared" si="25"/>
        <v>0</v>
      </c>
      <c r="AC36" s="14">
        <f t="shared" si="10"/>
        <v>0</v>
      </c>
      <c r="AE36" s="19">
        <f t="shared" si="26"/>
        <v>0</v>
      </c>
      <c r="AF36" s="19"/>
      <c r="AG36" s="17"/>
      <c r="AK36" s="7"/>
      <c r="AL36" s="108">
        <f t="shared" si="11"/>
        <v>0</v>
      </c>
      <c r="AM36" s="108">
        <f t="shared" si="12"/>
        <v>0</v>
      </c>
      <c r="AN36" s="113"/>
    </row>
    <row r="37" spans="2:40" x14ac:dyDescent="0.2">
      <c r="B37" s="7"/>
      <c r="C37" s="8"/>
      <c r="D37" s="8"/>
      <c r="E37" s="9"/>
      <c r="F37" s="6"/>
      <c r="G37" s="8"/>
      <c r="H37" s="32"/>
      <c r="I37" s="10" t="str">
        <f t="shared" si="7"/>
        <v>21</v>
      </c>
      <c r="J37" s="11">
        <v>1</v>
      </c>
      <c r="K37" s="11"/>
      <c r="L37" s="11"/>
      <c r="M37" s="11">
        <f t="shared" si="16"/>
        <v>0</v>
      </c>
      <c r="N37" s="11"/>
      <c r="O37" s="11">
        <f t="shared" si="17"/>
        <v>0</v>
      </c>
      <c r="P37" s="11"/>
      <c r="Q37" s="11"/>
      <c r="R37" s="11"/>
      <c r="S37" s="11">
        <f t="shared" si="18"/>
        <v>0</v>
      </c>
      <c r="T37" s="11">
        <f t="shared" si="19"/>
        <v>1666.6666666666667</v>
      </c>
      <c r="U37" s="11">
        <f t="shared" si="20"/>
        <v>0</v>
      </c>
      <c r="V37" s="24">
        <f t="shared" si="21"/>
        <v>0</v>
      </c>
      <c r="W37" s="11">
        <f>IF(V37&lt;=40000,0,
IF(V37&lt;=55000,(V37-40000)*10%,
IF(V37&lt;=70000,(V37-55000)*15%+1500,
IF(V37&lt;=200000,(V37-70000)*20%+1500+2250,
IF(V37&lt;=400000,(V37-200000)*22.5%+1500+2250+26000,
IF(V37&lt;=600000,(V37-400000)*25%+1500+2250+26000+45000,
IF(AND(V37&gt;600000,V37&lt;=1200000),(V37-400000)*25%+1500+2250+26000+45000
+IFERROR(LOOKUP(V37,{600001;700001;800001;900001},{4000;6750;10250;15250}),0),IF(V37&gt;1200000,((V37-1200000)*27.5%)+300000,0)
)))))))</f>
        <v>0</v>
      </c>
      <c r="X37" s="12">
        <f t="shared" si="22"/>
        <v>0</v>
      </c>
      <c r="Y37" s="12">
        <f t="shared" si="23"/>
        <v>0</v>
      </c>
      <c r="Z37" s="11"/>
      <c r="AA37" s="13">
        <f t="shared" si="24"/>
        <v>0</v>
      </c>
      <c r="AB37" s="12">
        <f t="shared" si="25"/>
        <v>0</v>
      </c>
      <c r="AC37" s="14">
        <f t="shared" si="10"/>
        <v>0</v>
      </c>
      <c r="AE37" s="19">
        <f t="shared" si="26"/>
        <v>0</v>
      </c>
      <c r="AF37" s="19"/>
      <c r="AG37" s="17"/>
      <c r="AK37" s="7"/>
      <c r="AL37" s="108">
        <f t="shared" si="11"/>
        <v>0</v>
      </c>
      <c r="AM37" s="108">
        <f t="shared" si="12"/>
        <v>0</v>
      </c>
      <c r="AN37" s="113"/>
    </row>
    <row r="38" spans="2:40" x14ac:dyDescent="0.2">
      <c r="B38" s="7"/>
      <c r="C38" s="8"/>
      <c r="D38" s="8"/>
      <c r="E38" s="9"/>
      <c r="F38" s="6"/>
      <c r="G38" s="8"/>
      <c r="H38" s="32"/>
      <c r="I38" s="10" t="str">
        <f t="shared" si="7"/>
        <v>21</v>
      </c>
      <c r="J38" s="11">
        <v>1</v>
      </c>
      <c r="K38" s="11"/>
      <c r="L38" s="11"/>
      <c r="M38" s="11">
        <f t="shared" si="16"/>
        <v>0</v>
      </c>
      <c r="N38" s="11"/>
      <c r="O38" s="11">
        <f t="shared" si="17"/>
        <v>0</v>
      </c>
      <c r="P38" s="11"/>
      <c r="Q38" s="11"/>
      <c r="R38" s="11"/>
      <c r="S38" s="11">
        <f t="shared" si="18"/>
        <v>0</v>
      </c>
      <c r="T38" s="11">
        <f t="shared" si="19"/>
        <v>1666.6666666666667</v>
      </c>
      <c r="U38" s="11">
        <f t="shared" si="20"/>
        <v>0</v>
      </c>
      <c r="V38" s="24">
        <f t="shared" si="21"/>
        <v>0</v>
      </c>
      <c r="W38" s="11">
        <f>IF(V38&lt;=40000,0,
IF(V38&lt;=55000,(V38-40000)*10%,
IF(V38&lt;=70000,(V38-55000)*15%+1500,
IF(V38&lt;=200000,(V38-70000)*20%+1500+2250,
IF(V38&lt;=400000,(V38-200000)*22.5%+1500+2250+26000,
IF(V38&lt;=600000,(V38-400000)*25%+1500+2250+26000+45000,
IF(AND(V38&gt;600000,V38&lt;=1200000),(V38-400000)*25%+1500+2250+26000+45000
+IFERROR(LOOKUP(V38,{600001;700001;800001;900001},{4000;6750;10250;15250}),0),IF(V38&gt;1200000,((V38-1200000)*27.5%)+300000,0)
)))))))</f>
        <v>0</v>
      </c>
      <c r="X38" s="12">
        <f t="shared" si="22"/>
        <v>0</v>
      </c>
      <c r="Y38" s="12">
        <f t="shared" si="23"/>
        <v>0</v>
      </c>
      <c r="Z38" s="11"/>
      <c r="AA38" s="13">
        <f t="shared" si="24"/>
        <v>0</v>
      </c>
      <c r="AB38" s="12">
        <f t="shared" si="25"/>
        <v>0</v>
      </c>
      <c r="AC38" s="14">
        <f t="shared" si="10"/>
        <v>0</v>
      </c>
      <c r="AE38" s="19">
        <f t="shared" si="26"/>
        <v>0</v>
      </c>
      <c r="AF38" s="19"/>
      <c r="AG38" s="17"/>
      <c r="AK38" s="7"/>
      <c r="AL38" s="108">
        <f t="shared" si="11"/>
        <v>0</v>
      </c>
      <c r="AM38" s="108">
        <f t="shared" si="12"/>
        <v>0</v>
      </c>
      <c r="AN38" s="113"/>
    </row>
    <row r="39" spans="2:40" x14ac:dyDescent="0.2">
      <c r="B39" s="7"/>
      <c r="C39" s="8"/>
      <c r="D39" s="8"/>
      <c r="E39" s="9"/>
      <c r="F39" s="6"/>
      <c r="G39" s="8"/>
      <c r="H39" s="32"/>
      <c r="I39" s="10" t="str">
        <f t="shared" si="7"/>
        <v>21</v>
      </c>
      <c r="J39" s="11">
        <v>1</v>
      </c>
      <c r="K39" s="11"/>
      <c r="L39" s="11"/>
      <c r="M39" s="11">
        <f t="shared" si="16"/>
        <v>0</v>
      </c>
      <c r="N39" s="11"/>
      <c r="O39" s="11">
        <f t="shared" si="17"/>
        <v>0</v>
      </c>
      <c r="P39" s="11"/>
      <c r="Q39" s="11"/>
      <c r="R39" s="11"/>
      <c r="S39" s="11">
        <f t="shared" si="18"/>
        <v>0</v>
      </c>
      <c r="T39" s="11">
        <f t="shared" si="19"/>
        <v>1666.6666666666667</v>
      </c>
      <c r="U39" s="11">
        <f t="shared" si="20"/>
        <v>0</v>
      </c>
      <c r="V39" s="24">
        <f t="shared" si="21"/>
        <v>0</v>
      </c>
      <c r="W39" s="11">
        <f>IF(V39&lt;=40000,0,
IF(V39&lt;=55000,(V39-40000)*10%,
IF(V39&lt;=70000,(V39-55000)*15%+1500,
IF(V39&lt;=200000,(V39-70000)*20%+1500+2250,
IF(V39&lt;=400000,(V39-200000)*22.5%+1500+2250+26000,
IF(V39&lt;=600000,(V39-400000)*25%+1500+2250+26000+45000,
IF(AND(V39&gt;600000,V39&lt;=1200000),(V39-400000)*25%+1500+2250+26000+45000
+IFERROR(LOOKUP(V39,{600001;700001;800001;900001},{4000;6750;10250;15250}),0),IF(V39&gt;1200000,((V39-1200000)*27.5%)+300000,0)
)))))))</f>
        <v>0</v>
      </c>
      <c r="X39" s="12">
        <f t="shared" si="22"/>
        <v>0</v>
      </c>
      <c r="Y39" s="12">
        <f t="shared" si="23"/>
        <v>0</v>
      </c>
      <c r="Z39" s="11"/>
      <c r="AA39" s="13">
        <f t="shared" si="24"/>
        <v>0</v>
      </c>
      <c r="AB39" s="12">
        <f t="shared" si="25"/>
        <v>0</v>
      </c>
      <c r="AC39" s="14">
        <f t="shared" si="10"/>
        <v>0</v>
      </c>
      <c r="AE39" s="19">
        <f t="shared" si="26"/>
        <v>0</v>
      </c>
      <c r="AF39" s="19"/>
      <c r="AG39" s="17"/>
      <c r="AK39" s="7"/>
      <c r="AL39" s="108">
        <f t="shared" si="11"/>
        <v>0</v>
      </c>
      <c r="AM39" s="108">
        <f t="shared" si="12"/>
        <v>0</v>
      </c>
      <c r="AN39" s="113"/>
    </row>
    <row r="40" spans="2:40" x14ac:dyDescent="0.2">
      <c r="B40" s="7"/>
      <c r="C40" s="8"/>
      <c r="D40" s="8"/>
      <c r="E40" s="9"/>
      <c r="F40" s="6"/>
      <c r="G40" s="8"/>
      <c r="H40" s="32"/>
      <c r="I40" s="10" t="str">
        <f t="shared" si="7"/>
        <v>21</v>
      </c>
      <c r="J40" s="11">
        <v>1</v>
      </c>
      <c r="K40" s="11"/>
      <c r="L40" s="11"/>
      <c r="M40" s="11">
        <f t="shared" si="16"/>
        <v>0</v>
      </c>
      <c r="N40" s="11"/>
      <c r="O40" s="11">
        <f t="shared" si="17"/>
        <v>0</v>
      </c>
      <c r="P40" s="11"/>
      <c r="Q40" s="11"/>
      <c r="R40" s="11"/>
      <c r="S40" s="11">
        <f t="shared" si="18"/>
        <v>0</v>
      </c>
      <c r="T40" s="11">
        <f t="shared" si="19"/>
        <v>1666.6666666666667</v>
      </c>
      <c r="U40" s="11">
        <f t="shared" si="20"/>
        <v>0</v>
      </c>
      <c r="V40" s="24">
        <f t="shared" si="21"/>
        <v>0</v>
      </c>
      <c r="W40" s="11">
        <f>IF(V40&lt;=40000,0,
IF(V40&lt;=55000,(V40-40000)*10%,
IF(V40&lt;=70000,(V40-55000)*15%+1500,
IF(V40&lt;=200000,(V40-70000)*20%+1500+2250,
IF(V40&lt;=400000,(V40-200000)*22.5%+1500+2250+26000,
IF(V40&lt;=600000,(V40-400000)*25%+1500+2250+26000+45000,
IF(AND(V40&gt;600000,V40&lt;=1200000),(V40-400000)*25%+1500+2250+26000+45000
+IFERROR(LOOKUP(V40,{600001;700001;800001;900001},{4000;6750;10250;15250}),0),IF(V40&gt;1200000,((V40-1200000)*27.5%)+300000,0)
)))))))</f>
        <v>0</v>
      </c>
      <c r="X40" s="12">
        <f t="shared" si="22"/>
        <v>0</v>
      </c>
      <c r="Y40" s="12">
        <f t="shared" si="23"/>
        <v>0</v>
      </c>
      <c r="Z40" s="11"/>
      <c r="AA40" s="13">
        <f t="shared" si="24"/>
        <v>0</v>
      </c>
      <c r="AB40" s="12">
        <f t="shared" si="25"/>
        <v>0</v>
      </c>
      <c r="AC40" s="14">
        <f t="shared" si="10"/>
        <v>0</v>
      </c>
      <c r="AE40" s="19">
        <f t="shared" si="26"/>
        <v>0</v>
      </c>
      <c r="AF40" s="19"/>
      <c r="AG40" s="17"/>
      <c r="AK40" s="7"/>
      <c r="AL40" s="108">
        <f t="shared" si="11"/>
        <v>0</v>
      </c>
      <c r="AM40" s="108">
        <f t="shared" si="12"/>
        <v>0</v>
      </c>
      <c r="AN40" s="113"/>
    </row>
    <row r="41" spans="2:40" x14ac:dyDescent="0.2">
      <c r="B41" s="7"/>
      <c r="C41" s="8"/>
      <c r="D41" s="8"/>
      <c r="E41" s="9"/>
      <c r="F41" s="6"/>
      <c r="G41" s="8"/>
      <c r="H41" s="32"/>
      <c r="I41" s="10" t="str">
        <f t="shared" si="7"/>
        <v>21</v>
      </c>
      <c r="J41" s="11">
        <v>1</v>
      </c>
      <c r="K41" s="11"/>
      <c r="L41" s="11"/>
      <c r="M41" s="11">
        <f t="shared" si="16"/>
        <v>0</v>
      </c>
      <c r="N41" s="11"/>
      <c r="O41" s="11">
        <f t="shared" si="17"/>
        <v>0</v>
      </c>
      <c r="P41" s="11"/>
      <c r="Q41" s="11"/>
      <c r="R41" s="11"/>
      <c r="S41" s="11">
        <f t="shared" si="18"/>
        <v>0</v>
      </c>
      <c r="T41" s="11">
        <f t="shared" si="19"/>
        <v>1666.6666666666667</v>
      </c>
      <c r="U41" s="11">
        <f t="shared" si="20"/>
        <v>0</v>
      </c>
      <c r="V41" s="24">
        <f t="shared" si="21"/>
        <v>0</v>
      </c>
      <c r="W41" s="11">
        <f>IF(V41&lt;=40000,0,
IF(V41&lt;=55000,(V41-40000)*10%,
IF(V41&lt;=70000,(V41-55000)*15%+1500,
IF(V41&lt;=200000,(V41-70000)*20%+1500+2250,
IF(V41&lt;=400000,(V41-200000)*22.5%+1500+2250+26000,
IF(V41&lt;=600000,(V41-400000)*25%+1500+2250+26000+45000,
IF(AND(V41&gt;600000,V41&lt;=1200000),(V41-400000)*25%+1500+2250+26000+45000
+IFERROR(LOOKUP(V41,{600001;700001;800001;900001},{4000;6750;10250;15250}),0),IF(V41&gt;1200000,((V41-1200000)*27.5%)+300000,0)
)))))))</f>
        <v>0</v>
      </c>
      <c r="X41" s="12">
        <f t="shared" si="22"/>
        <v>0</v>
      </c>
      <c r="Y41" s="12">
        <f t="shared" si="23"/>
        <v>0</v>
      </c>
      <c r="Z41" s="11"/>
      <c r="AA41" s="13">
        <f t="shared" si="24"/>
        <v>0</v>
      </c>
      <c r="AB41" s="12">
        <f t="shared" si="25"/>
        <v>0</v>
      </c>
      <c r="AC41" s="14">
        <f t="shared" si="10"/>
        <v>0</v>
      </c>
      <c r="AE41" s="19">
        <f t="shared" si="26"/>
        <v>0</v>
      </c>
      <c r="AF41" s="19"/>
      <c r="AG41" s="17"/>
      <c r="AK41" s="7"/>
      <c r="AL41" s="108">
        <f t="shared" si="11"/>
        <v>0</v>
      </c>
      <c r="AM41" s="108">
        <f t="shared" si="12"/>
        <v>0</v>
      </c>
      <c r="AN41" s="113"/>
    </row>
    <row r="42" spans="2:40" x14ac:dyDescent="0.2">
      <c r="B42" s="7"/>
      <c r="C42" s="8"/>
      <c r="D42" s="8"/>
      <c r="E42" s="9"/>
      <c r="F42" s="6"/>
      <c r="G42" s="8"/>
      <c r="H42" s="32"/>
      <c r="I42" s="10" t="str">
        <f t="shared" si="7"/>
        <v>21</v>
      </c>
      <c r="J42" s="11">
        <v>1</v>
      </c>
      <c r="K42" s="11"/>
      <c r="L42" s="11"/>
      <c r="M42" s="11">
        <f t="shared" si="16"/>
        <v>0</v>
      </c>
      <c r="N42" s="11"/>
      <c r="O42" s="11">
        <f t="shared" si="17"/>
        <v>0</v>
      </c>
      <c r="P42" s="11"/>
      <c r="Q42" s="11"/>
      <c r="R42" s="11"/>
      <c r="S42" s="11">
        <f t="shared" si="18"/>
        <v>0</v>
      </c>
      <c r="T42" s="11">
        <f t="shared" si="19"/>
        <v>1666.6666666666667</v>
      </c>
      <c r="U42" s="11">
        <f t="shared" si="20"/>
        <v>0</v>
      </c>
      <c r="V42" s="24">
        <f t="shared" si="21"/>
        <v>0</v>
      </c>
      <c r="W42" s="11">
        <f>IF(V42&lt;=40000,0,
IF(V42&lt;=55000,(V42-40000)*10%,
IF(V42&lt;=70000,(V42-55000)*15%+1500,
IF(V42&lt;=200000,(V42-70000)*20%+1500+2250,
IF(V42&lt;=400000,(V42-200000)*22.5%+1500+2250+26000,
IF(V42&lt;=600000,(V42-400000)*25%+1500+2250+26000+45000,
IF(AND(V42&gt;600000,V42&lt;=1200000),(V42-400000)*25%+1500+2250+26000+45000
+IFERROR(LOOKUP(V42,{600001;700001;800001;900001},{4000;6750;10250;15250}),0),IF(V42&gt;1200000,((V42-1200000)*27.5%)+300000,0)
)))))))</f>
        <v>0</v>
      </c>
      <c r="X42" s="12">
        <f t="shared" si="22"/>
        <v>0</v>
      </c>
      <c r="Y42" s="12">
        <f t="shared" si="23"/>
        <v>0</v>
      </c>
      <c r="Z42" s="11"/>
      <c r="AA42" s="13">
        <f t="shared" si="24"/>
        <v>0</v>
      </c>
      <c r="AB42" s="12">
        <f t="shared" si="25"/>
        <v>0</v>
      </c>
      <c r="AC42" s="14">
        <f t="shared" si="10"/>
        <v>0</v>
      </c>
      <c r="AE42" s="19">
        <f t="shared" si="26"/>
        <v>0</v>
      </c>
      <c r="AF42" s="19"/>
      <c r="AG42" s="17"/>
      <c r="AK42" s="7"/>
      <c r="AL42" s="108">
        <f t="shared" si="11"/>
        <v>0</v>
      </c>
      <c r="AM42" s="108">
        <f t="shared" si="12"/>
        <v>0</v>
      </c>
      <c r="AN42" s="113"/>
    </row>
    <row r="43" spans="2:40" x14ac:dyDescent="0.2">
      <c r="B43" s="7"/>
      <c r="C43" s="8"/>
      <c r="D43" s="8"/>
      <c r="E43" s="9"/>
      <c r="F43" s="6"/>
      <c r="G43" s="8"/>
      <c r="H43" s="32"/>
      <c r="I43" s="10" t="str">
        <f t="shared" si="7"/>
        <v>21</v>
      </c>
      <c r="J43" s="11">
        <v>1</v>
      </c>
      <c r="K43" s="11"/>
      <c r="L43" s="11"/>
      <c r="M43" s="11">
        <f t="shared" si="16"/>
        <v>0</v>
      </c>
      <c r="N43" s="11"/>
      <c r="O43" s="11">
        <f t="shared" si="17"/>
        <v>0</v>
      </c>
      <c r="P43" s="11"/>
      <c r="Q43" s="11"/>
      <c r="R43" s="11"/>
      <c r="S43" s="11">
        <f t="shared" si="18"/>
        <v>0</v>
      </c>
      <c r="T43" s="11">
        <f t="shared" si="19"/>
        <v>1666.6666666666667</v>
      </c>
      <c r="U43" s="11">
        <f t="shared" si="20"/>
        <v>0</v>
      </c>
      <c r="V43" s="24">
        <f t="shared" si="21"/>
        <v>0</v>
      </c>
      <c r="W43" s="11">
        <f>IF(V43&lt;=40000,0,
IF(V43&lt;=55000,(V43-40000)*10%,
IF(V43&lt;=70000,(V43-55000)*15%+1500,
IF(V43&lt;=200000,(V43-70000)*20%+1500+2250,
IF(V43&lt;=400000,(V43-200000)*22.5%+1500+2250+26000,
IF(V43&lt;=600000,(V43-400000)*25%+1500+2250+26000+45000,
IF(AND(V43&gt;600000,V43&lt;=1200000),(V43-400000)*25%+1500+2250+26000+45000
+IFERROR(LOOKUP(V43,{600001;700001;800001;900001},{4000;6750;10250;15250}),0),IF(V43&gt;1200000,((V43-1200000)*27.5%)+300000,0)
)))))))</f>
        <v>0</v>
      </c>
      <c r="X43" s="12">
        <f t="shared" si="22"/>
        <v>0</v>
      </c>
      <c r="Y43" s="12">
        <f t="shared" si="23"/>
        <v>0</v>
      </c>
      <c r="Z43" s="11"/>
      <c r="AA43" s="13">
        <f t="shared" si="24"/>
        <v>0</v>
      </c>
      <c r="AB43" s="12">
        <f t="shared" si="25"/>
        <v>0</v>
      </c>
      <c r="AC43" s="14">
        <f t="shared" si="10"/>
        <v>0</v>
      </c>
      <c r="AE43" s="19">
        <f t="shared" si="26"/>
        <v>0</v>
      </c>
      <c r="AF43" s="19"/>
      <c r="AG43" s="17"/>
      <c r="AK43" s="7"/>
      <c r="AL43" s="108">
        <f t="shared" si="11"/>
        <v>0</v>
      </c>
      <c r="AM43" s="108">
        <f t="shared" si="12"/>
        <v>0</v>
      </c>
      <c r="AN43" s="113"/>
    </row>
    <row r="44" spans="2:40" x14ac:dyDescent="0.2">
      <c r="B44" s="7"/>
      <c r="C44" s="8"/>
      <c r="D44" s="8"/>
      <c r="E44" s="9"/>
      <c r="F44" s="6"/>
      <c r="G44" s="8"/>
      <c r="H44" s="32"/>
      <c r="I44" s="10" t="str">
        <f t="shared" si="7"/>
        <v>21</v>
      </c>
      <c r="J44" s="11">
        <v>1</v>
      </c>
      <c r="K44" s="11"/>
      <c r="L44" s="11"/>
      <c r="M44" s="11">
        <f t="shared" si="16"/>
        <v>0</v>
      </c>
      <c r="N44" s="11"/>
      <c r="O44" s="11">
        <f t="shared" si="17"/>
        <v>0</v>
      </c>
      <c r="P44" s="11"/>
      <c r="Q44" s="11"/>
      <c r="R44" s="11"/>
      <c r="S44" s="11">
        <f t="shared" si="18"/>
        <v>0</v>
      </c>
      <c r="T44" s="11">
        <f t="shared" si="19"/>
        <v>1666.6666666666667</v>
      </c>
      <c r="U44" s="11">
        <f t="shared" si="20"/>
        <v>0</v>
      </c>
      <c r="V44" s="24">
        <f t="shared" si="21"/>
        <v>0</v>
      </c>
      <c r="W44" s="11">
        <f>IF(V44&lt;=40000,0,
IF(V44&lt;=55000,(V44-40000)*10%,
IF(V44&lt;=70000,(V44-55000)*15%+1500,
IF(V44&lt;=200000,(V44-70000)*20%+1500+2250,
IF(V44&lt;=400000,(V44-200000)*22.5%+1500+2250+26000,
IF(V44&lt;=600000,(V44-400000)*25%+1500+2250+26000+45000,
IF(AND(V44&gt;600000,V44&lt;=1200000),(V44-400000)*25%+1500+2250+26000+45000
+IFERROR(LOOKUP(V44,{600001;700001;800001;900001},{4000;6750;10250;15250}),0),IF(V44&gt;1200000,((V44-1200000)*27.5%)+300000,0)
)))))))</f>
        <v>0</v>
      </c>
      <c r="X44" s="12">
        <f t="shared" si="22"/>
        <v>0</v>
      </c>
      <c r="Y44" s="12">
        <f t="shared" si="23"/>
        <v>0</v>
      </c>
      <c r="Z44" s="11"/>
      <c r="AA44" s="13">
        <f t="shared" si="24"/>
        <v>0</v>
      </c>
      <c r="AB44" s="12">
        <f t="shared" si="25"/>
        <v>0</v>
      </c>
      <c r="AC44" s="14">
        <f t="shared" si="10"/>
        <v>0</v>
      </c>
      <c r="AE44" s="19">
        <f t="shared" si="26"/>
        <v>0</v>
      </c>
      <c r="AF44" s="19"/>
      <c r="AG44" s="17"/>
      <c r="AK44" s="7"/>
      <c r="AL44" s="108">
        <f t="shared" si="11"/>
        <v>0</v>
      </c>
      <c r="AM44" s="108">
        <f t="shared" si="12"/>
        <v>0</v>
      </c>
      <c r="AN44" s="113"/>
    </row>
    <row r="45" spans="2:40" x14ac:dyDescent="0.2">
      <c r="B45" s="7"/>
      <c r="C45" s="8"/>
      <c r="D45" s="8"/>
      <c r="E45" s="9"/>
      <c r="F45" s="6"/>
      <c r="G45" s="8"/>
      <c r="H45" s="32"/>
      <c r="I45" s="10" t="str">
        <f t="shared" si="7"/>
        <v>21</v>
      </c>
      <c r="J45" s="11">
        <v>1</v>
      </c>
      <c r="K45" s="11"/>
      <c r="L45" s="11"/>
      <c r="M45" s="11">
        <f t="shared" si="16"/>
        <v>0</v>
      </c>
      <c r="N45" s="11"/>
      <c r="O45" s="11">
        <f t="shared" si="17"/>
        <v>0</v>
      </c>
      <c r="P45" s="11"/>
      <c r="Q45" s="11"/>
      <c r="R45" s="11"/>
      <c r="S45" s="11">
        <f t="shared" si="18"/>
        <v>0</v>
      </c>
      <c r="T45" s="11">
        <f t="shared" si="19"/>
        <v>1666.6666666666667</v>
      </c>
      <c r="U45" s="11">
        <f t="shared" si="20"/>
        <v>0</v>
      </c>
      <c r="V45" s="24">
        <f t="shared" si="21"/>
        <v>0</v>
      </c>
      <c r="W45" s="11">
        <f>IF(V45&lt;=40000,0,
IF(V45&lt;=55000,(V45-40000)*10%,
IF(V45&lt;=70000,(V45-55000)*15%+1500,
IF(V45&lt;=200000,(V45-70000)*20%+1500+2250,
IF(V45&lt;=400000,(V45-200000)*22.5%+1500+2250+26000,
IF(V45&lt;=600000,(V45-400000)*25%+1500+2250+26000+45000,
IF(AND(V45&gt;600000,V45&lt;=1200000),(V45-400000)*25%+1500+2250+26000+45000
+IFERROR(LOOKUP(V45,{600001;700001;800001;900001},{4000;6750;10250;15250}),0),IF(V45&gt;1200000,((V45-1200000)*27.5%)+300000,0)
)))))))</f>
        <v>0</v>
      </c>
      <c r="X45" s="12">
        <f t="shared" si="22"/>
        <v>0</v>
      </c>
      <c r="Y45" s="12">
        <f t="shared" si="23"/>
        <v>0</v>
      </c>
      <c r="Z45" s="11"/>
      <c r="AA45" s="13">
        <f t="shared" si="24"/>
        <v>0</v>
      </c>
      <c r="AB45" s="12">
        <f t="shared" si="25"/>
        <v>0</v>
      </c>
      <c r="AC45" s="14">
        <f t="shared" si="10"/>
        <v>0</v>
      </c>
      <c r="AE45" s="19">
        <f t="shared" si="26"/>
        <v>0</v>
      </c>
      <c r="AF45" s="19"/>
      <c r="AG45" s="17"/>
      <c r="AK45" s="7"/>
      <c r="AL45" s="108">
        <f t="shared" si="11"/>
        <v>0</v>
      </c>
      <c r="AM45" s="108">
        <f t="shared" si="12"/>
        <v>0</v>
      </c>
      <c r="AN45" s="113"/>
    </row>
    <row r="46" spans="2:40" x14ac:dyDescent="0.2">
      <c r="B46" s="7"/>
      <c r="C46" s="8"/>
      <c r="D46" s="8"/>
      <c r="E46" s="9"/>
      <c r="F46" s="6"/>
      <c r="G46" s="8"/>
      <c r="H46" s="32"/>
      <c r="I46" s="10" t="str">
        <f t="shared" si="7"/>
        <v>21</v>
      </c>
      <c r="J46" s="11">
        <v>1</v>
      </c>
      <c r="K46" s="11"/>
      <c r="L46" s="11"/>
      <c r="M46" s="11">
        <f t="shared" si="16"/>
        <v>0</v>
      </c>
      <c r="N46" s="11"/>
      <c r="O46" s="11">
        <f t="shared" si="17"/>
        <v>0</v>
      </c>
      <c r="P46" s="11"/>
      <c r="Q46" s="11"/>
      <c r="R46" s="11"/>
      <c r="S46" s="11">
        <f t="shared" si="18"/>
        <v>0</v>
      </c>
      <c r="T46" s="11">
        <f t="shared" si="19"/>
        <v>1666.6666666666667</v>
      </c>
      <c r="U46" s="11">
        <f t="shared" si="20"/>
        <v>0</v>
      </c>
      <c r="V46" s="24">
        <f t="shared" si="21"/>
        <v>0</v>
      </c>
      <c r="W46" s="11">
        <f>IF(V46&lt;=40000,0,
IF(V46&lt;=55000,(V46-40000)*10%,
IF(V46&lt;=70000,(V46-55000)*15%+1500,
IF(V46&lt;=200000,(V46-70000)*20%+1500+2250,
IF(V46&lt;=400000,(V46-200000)*22.5%+1500+2250+26000,
IF(V46&lt;=600000,(V46-400000)*25%+1500+2250+26000+45000,
IF(AND(V46&gt;600000,V46&lt;=1200000),(V46-400000)*25%+1500+2250+26000+45000
+IFERROR(LOOKUP(V46,{600001;700001;800001;900001},{4000;6750;10250;15250}),0),IF(V46&gt;1200000,((V46-1200000)*27.5%)+300000,0)
)))))))</f>
        <v>0</v>
      </c>
      <c r="X46" s="12">
        <f t="shared" si="22"/>
        <v>0</v>
      </c>
      <c r="Y46" s="12">
        <f t="shared" si="23"/>
        <v>0</v>
      </c>
      <c r="Z46" s="11"/>
      <c r="AA46" s="13">
        <f t="shared" si="24"/>
        <v>0</v>
      </c>
      <c r="AB46" s="12">
        <f t="shared" si="25"/>
        <v>0</v>
      </c>
      <c r="AC46" s="14">
        <f t="shared" si="10"/>
        <v>0</v>
      </c>
      <c r="AE46" s="19">
        <f t="shared" si="26"/>
        <v>0</v>
      </c>
      <c r="AF46" s="19"/>
      <c r="AG46" s="17"/>
      <c r="AK46" s="7"/>
      <c r="AL46" s="108">
        <f t="shared" si="11"/>
        <v>0</v>
      </c>
      <c r="AM46" s="108">
        <f t="shared" si="12"/>
        <v>0</v>
      </c>
      <c r="AN46" s="113"/>
    </row>
    <row r="47" spans="2:40" x14ac:dyDescent="0.2">
      <c r="B47" s="7"/>
      <c r="C47" s="8"/>
      <c r="D47" s="8"/>
      <c r="E47" s="9"/>
      <c r="F47" s="6"/>
      <c r="G47" s="8"/>
      <c r="H47" s="32"/>
      <c r="I47" s="10" t="str">
        <f t="shared" si="7"/>
        <v>21</v>
      </c>
      <c r="J47" s="11">
        <v>1</v>
      </c>
      <c r="K47" s="11"/>
      <c r="L47" s="11"/>
      <c r="M47" s="11">
        <f t="shared" si="16"/>
        <v>0</v>
      </c>
      <c r="N47" s="11"/>
      <c r="O47" s="11">
        <f t="shared" si="17"/>
        <v>0</v>
      </c>
      <c r="P47" s="11"/>
      <c r="Q47" s="11"/>
      <c r="R47" s="11"/>
      <c r="S47" s="11">
        <f t="shared" si="18"/>
        <v>0</v>
      </c>
      <c r="T47" s="11">
        <f t="shared" si="19"/>
        <v>1666.6666666666667</v>
      </c>
      <c r="U47" s="11">
        <f t="shared" si="20"/>
        <v>0</v>
      </c>
      <c r="V47" s="24">
        <f t="shared" si="21"/>
        <v>0</v>
      </c>
      <c r="W47" s="11">
        <f>IF(V47&lt;=40000,0,
IF(V47&lt;=55000,(V47-40000)*10%,
IF(V47&lt;=70000,(V47-55000)*15%+1500,
IF(V47&lt;=200000,(V47-70000)*20%+1500+2250,
IF(V47&lt;=400000,(V47-200000)*22.5%+1500+2250+26000,
IF(V47&lt;=600000,(V47-400000)*25%+1500+2250+26000+45000,
IF(AND(V47&gt;600000,V47&lt;=1200000),(V47-400000)*25%+1500+2250+26000+45000
+IFERROR(LOOKUP(V47,{600001;700001;800001;900001},{4000;6750;10250;15250}),0),IF(V47&gt;1200000,((V47-1200000)*27.5%)+300000,0)
)))))))</f>
        <v>0</v>
      </c>
      <c r="X47" s="12">
        <f t="shared" si="22"/>
        <v>0</v>
      </c>
      <c r="Y47" s="12">
        <f t="shared" si="23"/>
        <v>0</v>
      </c>
      <c r="Z47" s="11"/>
      <c r="AA47" s="13">
        <f t="shared" si="24"/>
        <v>0</v>
      </c>
      <c r="AB47" s="12">
        <f t="shared" si="25"/>
        <v>0</v>
      </c>
      <c r="AC47" s="14">
        <f t="shared" si="10"/>
        <v>0</v>
      </c>
      <c r="AE47" s="19">
        <f t="shared" si="26"/>
        <v>0</v>
      </c>
      <c r="AF47" s="19"/>
      <c r="AG47" s="17"/>
      <c r="AK47" s="7"/>
      <c r="AL47" s="108">
        <f t="shared" si="11"/>
        <v>0</v>
      </c>
      <c r="AM47" s="108">
        <f t="shared" si="12"/>
        <v>0</v>
      </c>
      <c r="AN47" s="113"/>
    </row>
    <row r="48" spans="2:40" x14ac:dyDescent="0.2">
      <c r="B48" s="7"/>
      <c r="C48" s="8"/>
      <c r="D48" s="8"/>
      <c r="E48" s="9"/>
      <c r="F48" s="6"/>
      <c r="G48" s="8"/>
      <c r="H48" s="32"/>
      <c r="I48" s="10" t="str">
        <f t="shared" si="7"/>
        <v>21</v>
      </c>
      <c r="J48" s="11">
        <v>1</v>
      </c>
      <c r="K48" s="11"/>
      <c r="L48" s="11"/>
      <c r="M48" s="11">
        <f t="shared" si="16"/>
        <v>0</v>
      </c>
      <c r="N48" s="11"/>
      <c r="O48" s="11">
        <f t="shared" si="17"/>
        <v>0</v>
      </c>
      <c r="P48" s="11"/>
      <c r="Q48" s="11"/>
      <c r="R48" s="11"/>
      <c r="S48" s="11">
        <f t="shared" si="18"/>
        <v>0</v>
      </c>
      <c r="T48" s="11">
        <f t="shared" si="19"/>
        <v>1666.6666666666667</v>
      </c>
      <c r="U48" s="11">
        <f t="shared" si="20"/>
        <v>0</v>
      </c>
      <c r="V48" s="24">
        <f t="shared" si="21"/>
        <v>0</v>
      </c>
      <c r="W48" s="11">
        <f>IF(V48&lt;=40000,0,
IF(V48&lt;=55000,(V48-40000)*10%,
IF(V48&lt;=70000,(V48-55000)*15%+1500,
IF(V48&lt;=200000,(V48-70000)*20%+1500+2250,
IF(V48&lt;=400000,(V48-200000)*22.5%+1500+2250+26000,
IF(V48&lt;=600000,(V48-400000)*25%+1500+2250+26000+45000,
IF(AND(V48&gt;600000,V48&lt;=1200000),(V48-400000)*25%+1500+2250+26000+45000
+IFERROR(LOOKUP(V48,{600001;700001;800001;900001},{4000;6750;10250;15250}),0),IF(V48&gt;1200000,((V48-1200000)*27.5%)+300000,0)
)))))))</f>
        <v>0</v>
      </c>
      <c r="X48" s="12">
        <f t="shared" si="22"/>
        <v>0</v>
      </c>
      <c r="Y48" s="12">
        <f t="shared" si="23"/>
        <v>0</v>
      </c>
      <c r="Z48" s="11"/>
      <c r="AA48" s="13">
        <f t="shared" si="24"/>
        <v>0</v>
      </c>
      <c r="AB48" s="12">
        <f t="shared" si="25"/>
        <v>0</v>
      </c>
      <c r="AC48" s="14">
        <f t="shared" si="10"/>
        <v>0</v>
      </c>
      <c r="AE48" s="19">
        <f t="shared" si="26"/>
        <v>0</v>
      </c>
      <c r="AF48" s="19"/>
      <c r="AG48" s="17"/>
      <c r="AK48" s="7"/>
      <c r="AL48" s="108">
        <f t="shared" si="11"/>
        <v>0</v>
      </c>
      <c r="AM48" s="108">
        <f t="shared" si="12"/>
        <v>0</v>
      </c>
      <c r="AN48" s="113"/>
    </row>
    <row r="49" spans="2:40" x14ac:dyDescent="0.2">
      <c r="B49" s="7"/>
      <c r="C49" s="8"/>
      <c r="D49" s="8"/>
      <c r="E49" s="9"/>
      <c r="F49" s="6"/>
      <c r="G49" s="8"/>
      <c r="H49" s="32"/>
      <c r="I49" s="10" t="str">
        <f t="shared" si="7"/>
        <v>21</v>
      </c>
      <c r="J49" s="11">
        <v>1</v>
      </c>
      <c r="K49" s="11"/>
      <c r="L49" s="11"/>
      <c r="M49" s="11">
        <f t="shared" si="16"/>
        <v>0</v>
      </c>
      <c r="N49" s="11"/>
      <c r="O49" s="11">
        <f t="shared" si="17"/>
        <v>0</v>
      </c>
      <c r="P49" s="11"/>
      <c r="Q49" s="11"/>
      <c r="R49" s="11"/>
      <c r="S49" s="11">
        <f t="shared" si="18"/>
        <v>0</v>
      </c>
      <c r="T49" s="11">
        <f t="shared" si="19"/>
        <v>1666.6666666666667</v>
      </c>
      <c r="U49" s="11">
        <f t="shared" si="20"/>
        <v>0</v>
      </c>
      <c r="V49" s="24">
        <f t="shared" si="21"/>
        <v>0</v>
      </c>
      <c r="W49" s="11">
        <f>IF(V49&lt;=40000,0,
IF(V49&lt;=55000,(V49-40000)*10%,
IF(V49&lt;=70000,(V49-55000)*15%+1500,
IF(V49&lt;=200000,(V49-70000)*20%+1500+2250,
IF(V49&lt;=400000,(V49-200000)*22.5%+1500+2250+26000,
IF(V49&lt;=600000,(V49-400000)*25%+1500+2250+26000+45000,
IF(AND(V49&gt;600000,V49&lt;=1200000),(V49-400000)*25%+1500+2250+26000+45000
+IFERROR(LOOKUP(V49,{600001;700001;800001;900001},{4000;6750;10250;15250}),0),IF(V49&gt;1200000,((V49-1200000)*27.5%)+300000,0)
)))))))</f>
        <v>0</v>
      </c>
      <c r="X49" s="12">
        <f t="shared" si="22"/>
        <v>0</v>
      </c>
      <c r="Y49" s="12">
        <f t="shared" si="23"/>
        <v>0</v>
      </c>
      <c r="Z49" s="11"/>
      <c r="AA49" s="13">
        <f t="shared" si="24"/>
        <v>0</v>
      </c>
      <c r="AB49" s="12">
        <f t="shared" si="25"/>
        <v>0</v>
      </c>
      <c r="AC49" s="14">
        <f t="shared" si="10"/>
        <v>0</v>
      </c>
      <c r="AE49" s="19">
        <f t="shared" si="26"/>
        <v>0</v>
      </c>
      <c r="AF49" s="19"/>
      <c r="AG49" s="17"/>
      <c r="AK49" s="7"/>
      <c r="AL49" s="108">
        <f t="shared" si="11"/>
        <v>0</v>
      </c>
      <c r="AM49" s="108">
        <f t="shared" si="12"/>
        <v>0</v>
      </c>
      <c r="AN49" s="113"/>
    </row>
    <row r="50" spans="2:40" x14ac:dyDescent="0.2">
      <c r="B50" s="7"/>
      <c r="C50" s="8"/>
      <c r="D50" s="8"/>
      <c r="E50" s="9"/>
      <c r="F50" s="6"/>
      <c r="G50" s="8"/>
      <c r="H50" s="32"/>
      <c r="I50" s="10" t="str">
        <f t="shared" si="7"/>
        <v>21</v>
      </c>
      <c r="J50" s="11">
        <v>1</v>
      </c>
      <c r="K50" s="11"/>
      <c r="L50" s="11"/>
      <c r="M50" s="11">
        <f t="shared" si="16"/>
        <v>0</v>
      </c>
      <c r="N50" s="11"/>
      <c r="O50" s="11">
        <f t="shared" si="17"/>
        <v>0</v>
      </c>
      <c r="P50" s="11"/>
      <c r="Q50" s="11"/>
      <c r="R50" s="11"/>
      <c r="S50" s="11">
        <f t="shared" si="18"/>
        <v>0</v>
      </c>
      <c r="T50" s="11">
        <f t="shared" si="19"/>
        <v>1666.6666666666667</v>
      </c>
      <c r="U50" s="11">
        <f t="shared" si="20"/>
        <v>0</v>
      </c>
      <c r="V50" s="24">
        <f t="shared" si="21"/>
        <v>0</v>
      </c>
      <c r="W50" s="11">
        <f>IF(V50&lt;=40000,0,
IF(V50&lt;=55000,(V50-40000)*10%,
IF(V50&lt;=70000,(V50-55000)*15%+1500,
IF(V50&lt;=200000,(V50-70000)*20%+1500+2250,
IF(V50&lt;=400000,(V50-200000)*22.5%+1500+2250+26000,
IF(V50&lt;=600000,(V50-400000)*25%+1500+2250+26000+45000,
IF(AND(V50&gt;600000,V50&lt;=1200000),(V50-400000)*25%+1500+2250+26000+45000
+IFERROR(LOOKUP(V50,{600001;700001;800001;900001},{4000;6750;10250;15250}),0),IF(V50&gt;1200000,((V50-1200000)*27.5%)+300000,0)
)))))))</f>
        <v>0</v>
      </c>
      <c r="X50" s="12">
        <f t="shared" si="22"/>
        <v>0</v>
      </c>
      <c r="Y50" s="12">
        <f t="shared" si="23"/>
        <v>0</v>
      </c>
      <c r="Z50" s="11"/>
      <c r="AA50" s="13">
        <f t="shared" si="24"/>
        <v>0</v>
      </c>
      <c r="AB50" s="12">
        <f t="shared" si="25"/>
        <v>0</v>
      </c>
      <c r="AC50" s="14">
        <f t="shared" si="10"/>
        <v>0</v>
      </c>
      <c r="AE50" s="19">
        <f t="shared" si="26"/>
        <v>0</v>
      </c>
      <c r="AF50" s="19"/>
      <c r="AG50" s="17"/>
      <c r="AK50" s="7"/>
      <c r="AL50" s="108">
        <f t="shared" si="11"/>
        <v>0</v>
      </c>
      <c r="AM50" s="108">
        <f t="shared" si="12"/>
        <v>0</v>
      </c>
      <c r="AN50" s="113"/>
    </row>
    <row r="51" spans="2:40" x14ac:dyDescent="0.2">
      <c r="B51" s="7"/>
      <c r="C51" s="8"/>
      <c r="D51" s="8"/>
      <c r="E51" s="9"/>
      <c r="F51" s="6"/>
      <c r="G51" s="8"/>
      <c r="H51" s="32"/>
      <c r="I51" s="10" t="str">
        <f t="shared" si="7"/>
        <v>21</v>
      </c>
      <c r="J51" s="11">
        <v>1</v>
      </c>
      <c r="K51" s="11"/>
      <c r="L51" s="11"/>
      <c r="M51" s="11">
        <f t="shared" si="16"/>
        <v>0</v>
      </c>
      <c r="N51" s="11"/>
      <c r="O51" s="11">
        <f t="shared" si="17"/>
        <v>0</v>
      </c>
      <c r="P51" s="11"/>
      <c r="Q51" s="11"/>
      <c r="R51" s="11"/>
      <c r="S51" s="11">
        <f t="shared" si="18"/>
        <v>0</v>
      </c>
      <c r="T51" s="11">
        <f t="shared" si="19"/>
        <v>1666.6666666666667</v>
      </c>
      <c r="U51" s="11">
        <f t="shared" si="20"/>
        <v>0</v>
      </c>
      <c r="V51" s="24">
        <f t="shared" si="21"/>
        <v>0</v>
      </c>
      <c r="W51" s="11">
        <f>IF(V51&lt;=40000,0,
IF(V51&lt;=55000,(V51-40000)*10%,
IF(V51&lt;=70000,(V51-55000)*15%+1500,
IF(V51&lt;=200000,(V51-70000)*20%+1500+2250,
IF(V51&lt;=400000,(V51-200000)*22.5%+1500+2250+26000,
IF(V51&lt;=600000,(V51-400000)*25%+1500+2250+26000+45000,
IF(AND(V51&gt;600000,V51&lt;=1200000),(V51-400000)*25%+1500+2250+26000+45000
+IFERROR(LOOKUP(V51,{600001;700001;800001;900001},{4000;6750;10250;15250}),0),IF(V51&gt;1200000,((V51-1200000)*27.5%)+300000,0)
)))))))</f>
        <v>0</v>
      </c>
      <c r="X51" s="12">
        <f t="shared" si="22"/>
        <v>0</v>
      </c>
      <c r="Y51" s="12">
        <f t="shared" si="23"/>
        <v>0</v>
      </c>
      <c r="Z51" s="11"/>
      <c r="AA51" s="13">
        <f t="shared" si="24"/>
        <v>0</v>
      </c>
      <c r="AB51" s="12">
        <f t="shared" si="25"/>
        <v>0</v>
      </c>
      <c r="AC51" s="14">
        <f t="shared" si="10"/>
        <v>0</v>
      </c>
      <c r="AE51" s="19">
        <f t="shared" si="26"/>
        <v>0</v>
      </c>
      <c r="AF51" s="19"/>
      <c r="AG51" s="17"/>
      <c r="AK51" s="7"/>
      <c r="AL51" s="108">
        <f t="shared" si="11"/>
        <v>0</v>
      </c>
      <c r="AM51" s="108">
        <f t="shared" si="12"/>
        <v>0</v>
      </c>
      <c r="AN51" s="113"/>
    </row>
    <row r="52" spans="2:40" x14ac:dyDescent="0.2">
      <c r="B52" s="7"/>
      <c r="C52" s="8"/>
      <c r="D52" s="8"/>
      <c r="E52" s="9"/>
      <c r="F52" s="6"/>
      <c r="G52" s="8"/>
      <c r="H52" s="32"/>
      <c r="I52" s="10" t="str">
        <f t="shared" si="7"/>
        <v>21</v>
      </c>
      <c r="J52" s="11">
        <v>1</v>
      </c>
      <c r="K52" s="11"/>
      <c r="L52" s="11"/>
      <c r="M52" s="11">
        <f t="shared" si="16"/>
        <v>0</v>
      </c>
      <c r="N52" s="11"/>
      <c r="O52" s="11">
        <f t="shared" si="17"/>
        <v>0</v>
      </c>
      <c r="P52" s="11"/>
      <c r="Q52" s="11"/>
      <c r="R52" s="11"/>
      <c r="S52" s="11">
        <f t="shared" si="18"/>
        <v>0</v>
      </c>
      <c r="T52" s="11">
        <f t="shared" si="19"/>
        <v>1666.6666666666667</v>
      </c>
      <c r="U52" s="11">
        <f t="shared" si="20"/>
        <v>0</v>
      </c>
      <c r="V52" s="24">
        <f t="shared" si="21"/>
        <v>0</v>
      </c>
      <c r="W52" s="11">
        <f>IF(V52&lt;=40000,0,
IF(V52&lt;=55000,(V52-40000)*10%,
IF(V52&lt;=70000,(V52-55000)*15%+1500,
IF(V52&lt;=200000,(V52-70000)*20%+1500+2250,
IF(V52&lt;=400000,(V52-200000)*22.5%+1500+2250+26000,
IF(V52&lt;=600000,(V52-400000)*25%+1500+2250+26000+45000,
IF(AND(V52&gt;600000,V52&lt;=1200000),(V52-400000)*25%+1500+2250+26000+45000
+IFERROR(LOOKUP(V52,{600001;700001;800001;900001},{4000;6750;10250;15250}),0),IF(V52&gt;1200000,((V52-1200000)*27.5%)+300000,0)
)))))))</f>
        <v>0</v>
      </c>
      <c r="X52" s="12">
        <f t="shared" si="22"/>
        <v>0</v>
      </c>
      <c r="Y52" s="12">
        <f t="shared" si="23"/>
        <v>0</v>
      </c>
      <c r="Z52" s="11"/>
      <c r="AA52" s="13">
        <f t="shared" si="24"/>
        <v>0</v>
      </c>
      <c r="AB52" s="12">
        <f t="shared" si="25"/>
        <v>0</v>
      </c>
      <c r="AC52" s="14">
        <f t="shared" si="10"/>
        <v>0</v>
      </c>
      <c r="AE52" s="19">
        <f t="shared" si="26"/>
        <v>0</v>
      </c>
      <c r="AF52" s="19"/>
      <c r="AG52" s="17"/>
      <c r="AK52" s="7"/>
      <c r="AL52" s="108">
        <f t="shared" si="11"/>
        <v>0</v>
      </c>
      <c r="AM52" s="108">
        <f t="shared" si="12"/>
        <v>0</v>
      </c>
      <c r="AN52" s="113"/>
    </row>
    <row r="53" spans="2:40" x14ac:dyDescent="0.2">
      <c r="B53" s="7"/>
      <c r="C53" s="8"/>
      <c r="D53" s="8"/>
      <c r="E53" s="9"/>
      <c r="F53" s="6"/>
      <c r="G53" s="8"/>
      <c r="H53" s="32"/>
      <c r="I53" s="10" t="str">
        <f t="shared" si="7"/>
        <v>21</v>
      </c>
      <c r="J53" s="11">
        <v>1</v>
      </c>
      <c r="K53" s="11"/>
      <c r="L53" s="11"/>
      <c r="M53" s="11">
        <f t="shared" si="16"/>
        <v>0</v>
      </c>
      <c r="N53" s="11"/>
      <c r="O53" s="11">
        <f t="shared" si="17"/>
        <v>0</v>
      </c>
      <c r="P53" s="11"/>
      <c r="Q53" s="11"/>
      <c r="R53" s="11"/>
      <c r="S53" s="11">
        <f t="shared" si="18"/>
        <v>0</v>
      </c>
      <c r="T53" s="11">
        <f t="shared" si="19"/>
        <v>1666.6666666666667</v>
      </c>
      <c r="U53" s="11">
        <f t="shared" si="20"/>
        <v>0</v>
      </c>
      <c r="V53" s="24">
        <f t="shared" si="21"/>
        <v>0</v>
      </c>
      <c r="W53" s="11">
        <f>IF(V53&lt;=40000,0,
IF(V53&lt;=55000,(V53-40000)*10%,
IF(V53&lt;=70000,(V53-55000)*15%+1500,
IF(V53&lt;=200000,(V53-70000)*20%+1500+2250,
IF(V53&lt;=400000,(V53-200000)*22.5%+1500+2250+26000,
IF(V53&lt;=600000,(V53-400000)*25%+1500+2250+26000+45000,
IF(AND(V53&gt;600000,V53&lt;=1200000),(V53-400000)*25%+1500+2250+26000+45000
+IFERROR(LOOKUP(V53,{600001;700001;800001;900001},{4000;6750;10250;15250}),0),IF(V53&gt;1200000,((V53-1200000)*27.5%)+300000,0)
)))))))</f>
        <v>0</v>
      </c>
      <c r="X53" s="12">
        <f t="shared" si="22"/>
        <v>0</v>
      </c>
      <c r="Y53" s="12">
        <f t="shared" si="23"/>
        <v>0</v>
      </c>
      <c r="Z53" s="11"/>
      <c r="AA53" s="13">
        <f t="shared" si="24"/>
        <v>0</v>
      </c>
      <c r="AB53" s="12">
        <f t="shared" si="25"/>
        <v>0</v>
      </c>
      <c r="AC53" s="14">
        <f t="shared" si="10"/>
        <v>0</v>
      </c>
      <c r="AE53" s="19">
        <f t="shared" si="26"/>
        <v>0</v>
      </c>
      <c r="AF53" s="19"/>
      <c r="AG53" s="17"/>
      <c r="AK53" s="7"/>
      <c r="AL53" s="108">
        <f t="shared" si="11"/>
        <v>0</v>
      </c>
      <c r="AM53" s="108">
        <f t="shared" si="12"/>
        <v>0</v>
      </c>
      <c r="AN53" s="113"/>
    </row>
    <row r="54" spans="2:40" x14ac:dyDescent="0.2">
      <c r="B54" s="7"/>
      <c r="C54" s="8"/>
      <c r="D54" s="8"/>
      <c r="E54" s="9"/>
      <c r="F54" s="6"/>
      <c r="G54" s="8"/>
      <c r="H54" s="32"/>
      <c r="I54" s="10" t="str">
        <f t="shared" si="7"/>
        <v>21</v>
      </c>
      <c r="J54" s="11">
        <v>1</v>
      </c>
      <c r="K54" s="11"/>
      <c r="L54" s="11"/>
      <c r="M54" s="11">
        <f t="shared" si="16"/>
        <v>0</v>
      </c>
      <c r="N54" s="11"/>
      <c r="O54" s="11">
        <f t="shared" si="17"/>
        <v>0</v>
      </c>
      <c r="P54" s="11"/>
      <c r="Q54" s="11"/>
      <c r="R54" s="11"/>
      <c r="S54" s="11">
        <f t="shared" si="18"/>
        <v>0</v>
      </c>
      <c r="T54" s="11">
        <f t="shared" si="19"/>
        <v>1666.6666666666667</v>
      </c>
      <c r="U54" s="11">
        <f t="shared" si="20"/>
        <v>0</v>
      </c>
      <c r="V54" s="24">
        <f t="shared" si="21"/>
        <v>0</v>
      </c>
      <c r="W54" s="11">
        <f>IF(V54&lt;=40000,0,
IF(V54&lt;=55000,(V54-40000)*10%,
IF(V54&lt;=70000,(V54-55000)*15%+1500,
IF(V54&lt;=200000,(V54-70000)*20%+1500+2250,
IF(V54&lt;=400000,(V54-200000)*22.5%+1500+2250+26000,
IF(V54&lt;=600000,(V54-400000)*25%+1500+2250+26000+45000,
IF(AND(V54&gt;600000,V54&lt;=1200000),(V54-400000)*25%+1500+2250+26000+45000
+IFERROR(LOOKUP(V54,{600001;700001;800001;900001},{4000;6750;10250;15250}),0),IF(V54&gt;1200000,((V54-1200000)*27.5%)+300000,0)
)))))))</f>
        <v>0</v>
      </c>
      <c r="X54" s="12">
        <f t="shared" si="22"/>
        <v>0</v>
      </c>
      <c r="Y54" s="12">
        <f t="shared" si="23"/>
        <v>0</v>
      </c>
      <c r="Z54" s="11"/>
      <c r="AA54" s="13">
        <f t="shared" si="24"/>
        <v>0</v>
      </c>
      <c r="AB54" s="12">
        <f t="shared" si="25"/>
        <v>0</v>
      </c>
      <c r="AC54" s="14">
        <f t="shared" si="10"/>
        <v>0</v>
      </c>
      <c r="AE54" s="19">
        <f t="shared" si="26"/>
        <v>0</v>
      </c>
      <c r="AF54" s="19"/>
      <c r="AG54" s="17"/>
      <c r="AK54" s="7"/>
      <c r="AL54" s="108">
        <f t="shared" si="11"/>
        <v>0</v>
      </c>
      <c r="AM54" s="108">
        <f t="shared" si="12"/>
        <v>0</v>
      </c>
      <c r="AN54" s="113"/>
    </row>
    <row r="55" spans="2:40" x14ac:dyDescent="0.2">
      <c r="B55" s="7"/>
      <c r="C55" s="8"/>
      <c r="D55" s="8"/>
      <c r="E55" s="9"/>
      <c r="F55" s="6"/>
      <c r="G55" s="8"/>
      <c r="H55" s="32"/>
      <c r="I55" s="10" t="str">
        <f t="shared" si="7"/>
        <v>21</v>
      </c>
      <c r="J55" s="11">
        <v>1</v>
      </c>
      <c r="K55" s="11"/>
      <c r="L55" s="11"/>
      <c r="M55" s="11">
        <f t="shared" si="16"/>
        <v>0</v>
      </c>
      <c r="N55" s="11"/>
      <c r="O55" s="11">
        <f t="shared" si="17"/>
        <v>0</v>
      </c>
      <c r="P55" s="11"/>
      <c r="Q55" s="11"/>
      <c r="R55" s="11"/>
      <c r="S55" s="11">
        <f t="shared" si="18"/>
        <v>0</v>
      </c>
      <c r="T55" s="11">
        <f t="shared" si="19"/>
        <v>1666.6666666666667</v>
      </c>
      <c r="U55" s="11">
        <f t="shared" si="20"/>
        <v>0</v>
      </c>
      <c r="V55" s="24">
        <f t="shared" si="21"/>
        <v>0</v>
      </c>
      <c r="W55" s="11">
        <f>IF(V55&lt;=40000,0,
IF(V55&lt;=55000,(V55-40000)*10%,
IF(V55&lt;=70000,(V55-55000)*15%+1500,
IF(V55&lt;=200000,(V55-70000)*20%+1500+2250,
IF(V55&lt;=400000,(V55-200000)*22.5%+1500+2250+26000,
IF(V55&lt;=600000,(V55-400000)*25%+1500+2250+26000+45000,
IF(AND(V55&gt;600000,V55&lt;=1200000),(V55-400000)*25%+1500+2250+26000+45000
+IFERROR(LOOKUP(V55,{600001;700001;800001;900001},{4000;6750;10250;15250}),0),IF(V55&gt;1200000,((V55-1200000)*27.5%)+300000,0)
)))))))</f>
        <v>0</v>
      </c>
      <c r="X55" s="12">
        <f t="shared" si="22"/>
        <v>0</v>
      </c>
      <c r="Y55" s="12">
        <f t="shared" si="23"/>
        <v>0</v>
      </c>
      <c r="Z55" s="11"/>
      <c r="AA55" s="13">
        <f t="shared" si="24"/>
        <v>0</v>
      </c>
      <c r="AB55" s="12">
        <f t="shared" si="25"/>
        <v>0</v>
      </c>
      <c r="AC55" s="14">
        <f t="shared" si="10"/>
        <v>0</v>
      </c>
      <c r="AE55" s="19">
        <f t="shared" si="26"/>
        <v>0</v>
      </c>
      <c r="AF55" s="19"/>
      <c r="AG55" s="17"/>
      <c r="AK55" s="7"/>
      <c r="AL55" s="108">
        <f t="shared" si="11"/>
        <v>0</v>
      </c>
      <c r="AM55" s="108">
        <f t="shared" si="12"/>
        <v>0</v>
      </c>
      <c r="AN55" s="113"/>
    </row>
    <row r="56" spans="2:40" x14ac:dyDescent="0.2">
      <c r="B56" s="7"/>
      <c r="C56" s="8"/>
      <c r="D56" s="8"/>
      <c r="E56" s="9"/>
      <c r="F56" s="6"/>
      <c r="G56" s="8"/>
      <c r="H56" s="32"/>
      <c r="I56" s="10" t="str">
        <f t="shared" si="7"/>
        <v>21</v>
      </c>
      <c r="J56" s="11">
        <v>1</v>
      </c>
      <c r="K56" s="11"/>
      <c r="L56" s="11"/>
      <c r="M56" s="11">
        <f t="shared" si="16"/>
        <v>0</v>
      </c>
      <c r="N56" s="11"/>
      <c r="O56" s="11">
        <f t="shared" si="17"/>
        <v>0</v>
      </c>
      <c r="P56" s="11"/>
      <c r="Q56" s="11"/>
      <c r="R56" s="11"/>
      <c r="S56" s="11">
        <f t="shared" si="18"/>
        <v>0</v>
      </c>
      <c r="T56" s="11">
        <f t="shared" si="19"/>
        <v>1666.6666666666667</v>
      </c>
      <c r="U56" s="11">
        <f t="shared" si="20"/>
        <v>0</v>
      </c>
      <c r="V56" s="24">
        <f t="shared" si="21"/>
        <v>0</v>
      </c>
      <c r="W56" s="11">
        <f>IF(V56&lt;=40000,0,
IF(V56&lt;=55000,(V56-40000)*10%,
IF(V56&lt;=70000,(V56-55000)*15%+1500,
IF(V56&lt;=200000,(V56-70000)*20%+1500+2250,
IF(V56&lt;=400000,(V56-200000)*22.5%+1500+2250+26000,
IF(V56&lt;=600000,(V56-400000)*25%+1500+2250+26000+45000,
IF(AND(V56&gt;600000,V56&lt;=1200000),(V56-400000)*25%+1500+2250+26000+45000
+IFERROR(LOOKUP(V56,{600001;700001;800001;900001},{4000;6750;10250;15250}),0),IF(V56&gt;1200000,((V56-1200000)*27.5%)+300000,0)
)))))))</f>
        <v>0</v>
      </c>
      <c r="X56" s="12">
        <f t="shared" si="22"/>
        <v>0</v>
      </c>
      <c r="Y56" s="12">
        <f t="shared" si="23"/>
        <v>0</v>
      </c>
      <c r="Z56" s="11"/>
      <c r="AA56" s="13">
        <f t="shared" si="24"/>
        <v>0</v>
      </c>
      <c r="AB56" s="12">
        <f t="shared" si="25"/>
        <v>0</v>
      </c>
      <c r="AC56" s="14">
        <f t="shared" si="10"/>
        <v>0</v>
      </c>
      <c r="AE56" s="19">
        <f t="shared" si="26"/>
        <v>0</v>
      </c>
      <c r="AF56" s="19"/>
      <c r="AG56" s="17"/>
      <c r="AK56" s="7"/>
      <c r="AL56" s="108">
        <f t="shared" si="11"/>
        <v>0</v>
      </c>
      <c r="AM56" s="108">
        <f t="shared" si="12"/>
        <v>0</v>
      </c>
      <c r="AN56" s="113"/>
    </row>
    <row r="57" spans="2:40" x14ac:dyDescent="0.2">
      <c r="B57" s="7"/>
      <c r="C57" s="8"/>
      <c r="D57" s="8"/>
      <c r="E57" s="9"/>
      <c r="F57" s="6"/>
      <c r="G57" s="8"/>
      <c r="H57" s="32"/>
      <c r="I57" s="10" t="str">
        <f t="shared" si="7"/>
        <v>21</v>
      </c>
      <c r="J57" s="11">
        <v>1</v>
      </c>
      <c r="K57" s="11"/>
      <c r="L57" s="11"/>
      <c r="M57" s="11">
        <f t="shared" si="16"/>
        <v>0</v>
      </c>
      <c r="N57" s="11"/>
      <c r="O57" s="11">
        <f t="shared" si="17"/>
        <v>0</v>
      </c>
      <c r="P57" s="11"/>
      <c r="Q57" s="11"/>
      <c r="R57" s="11"/>
      <c r="S57" s="11">
        <f t="shared" si="18"/>
        <v>0</v>
      </c>
      <c r="T57" s="11">
        <f t="shared" si="19"/>
        <v>1666.6666666666667</v>
      </c>
      <c r="U57" s="11">
        <f t="shared" si="20"/>
        <v>0</v>
      </c>
      <c r="V57" s="24">
        <f t="shared" si="21"/>
        <v>0</v>
      </c>
      <c r="W57" s="11">
        <f>IF(V57&lt;=40000,0,
IF(V57&lt;=55000,(V57-40000)*10%,
IF(V57&lt;=70000,(V57-55000)*15%+1500,
IF(V57&lt;=200000,(V57-70000)*20%+1500+2250,
IF(V57&lt;=400000,(V57-200000)*22.5%+1500+2250+26000,
IF(V57&lt;=600000,(V57-400000)*25%+1500+2250+26000+45000,
IF(AND(V57&gt;600000,V57&lt;=1200000),(V57-400000)*25%+1500+2250+26000+45000
+IFERROR(LOOKUP(V57,{600001;700001;800001;900001},{4000;6750;10250;15250}),0),IF(V57&gt;1200000,((V57-1200000)*27.5%)+300000,0)
)))))))</f>
        <v>0</v>
      </c>
      <c r="X57" s="12">
        <f t="shared" si="22"/>
        <v>0</v>
      </c>
      <c r="Y57" s="12">
        <f t="shared" si="23"/>
        <v>0</v>
      </c>
      <c r="Z57" s="11"/>
      <c r="AA57" s="13">
        <f t="shared" si="24"/>
        <v>0</v>
      </c>
      <c r="AB57" s="12">
        <f t="shared" si="25"/>
        <v>0</v>
      </c>
      <c r="AC57" s="14">
        <f t="shared" si="10"/>
        <v>0</v>
      </c>
      <c r="AE57" s="19">
        <f t="shared" si="26"/>
        <v>0</v>
      </c>
      <c r="AF57" s="19"/>
      <c r="AG57" s="17"/>
      <c r="AK57" s="7"/>
      <c r="AL57" s="108">
        <f t="shared" si="11"/>
        <v>0</v>
      </c>
      <c r="AM57" s="108">
        <f t="shared" si="12"/>
        <v>0</v>
      </c>
      <c r="AN57" s="113"/>
    </row>
    <row r="58" spans="2:40" x14ac:dyDescent="0.2">
      <c r="B58" s="7"/>
      <c r="C58" s="8"/>
      <c r="D58" s="8"/>
      <c r="E58" s="9"/>
      <c r="F58" s="6"/>
      <c r="G58" s="8"/>
      <c r="H58" s="32"/>
      <c r="I58" s="10" t="str">
        <f t="shared" si="7"/>
        <v>21</v>
      </c>
      <c r="J58" s="11">
        <v>1</v>
      </c>
      <c r="K58" s="11"/>
      <c r="L58" s="11"/>
      <c r="M58" s="11">
        <f t="shared" si="16"/>
        <v>0</v>
      </c>
      <c r="N58" s="11"/>
      <c r="O58" s="11">
        <f t="shared" si="17"/>
        <v>0</v>
      </c>
      <c r="P58" s="11"/>
      <c r="Q58" s="11"/>
      <c r="R58" s="11"/>
      <c r="S58" s="11">
        <f t="shared" si="18"/>
        <v>0</v>
      </c>
      <c r="T58" s="11">
        <f t="shared" si="19"/>
        <v>1666.6666666666667</v>
      </c>
      <c r="U58" s="11">
        <f t="shared" si="20"/>
        <v>0</v>
      </c>
      <c r="V58" s="24">
        <f t="shared" si="21"/>
        <v>0</v>
      </c>
      <c r="W58" s="11">
        <f>IF(V58&lt;=40000,0,
IF(V58&lt;=55000,(V58-40000)*10%,
IF(V58&lt;=70000,(V58-55000)*15%+1500,
IF(V58&lt;=200000,(V58-70000)*20%+1500+2250,
IF(V58&lt;=400000,(V58-200000)*22.5%+1500+2250+26000,
IF(V58&lt;=600000,(V58-400000)*25%+1500+2250+26000+45000,
IF(AND(V58&gt;600000,V58&lt;=1200000),(V58-400000)*25%+1500+2250+26000+45000
+IFERROR(LOOKUP(V58,{600001;700001;800001;900001},{4000;6750;10250;15250}),0),IF(V58&gt;1200000,((V58-1200000)*27.5%)+300000,0)
)))))))</f>
        <v>0</v>
      </c>
      <c r="X58" s="12">
        <f t="shared" si="22"/>
        <v>0</v>
      </c>
      <c r="Y58" s="12">
        <f t="shared" si="23"/>
        <v>0</v>
      </c>
      <c r="Z58" s="11"/>
      <c r="AA58" s="13">
        <f t="shared" si="24"/>
        <v>0</v>
      </c>
      <c r="AB58" s="12">
        <f t="shared" si="25"/>
        <v>0</v>
      </c>
      <c r="AC58" s="14">
        <f t="shared" si="10"/>
        <v>0</v>
      </c>
      <c r="AE58" s="19">
        <f t="shared" si="26"/>
        <v>0</v>
      </c>
      <c r="AF58" s="19"/>
      <c r="AG58" s="17"/>
      <c r="AK58" s="7"/>
      <c r="AL58" s="108">
        <f t="shared" si="11"/>
        <v>0</v>
      </c>
      <c r="AM58" s="108">
        <f t="shared" si="12"/>
        <v>0</v>
      </c>
      <c r="AN58" s="113"/>
    </row>
    <row r="59" spans="2:40" x14ac:dyDescent="0.2">
      <c r="B59" s="7"/>
      <c r="C59" s="8"/>
      <c r="D59" s="8"/>
      <c r="E59" s="9"/>
      <c r="F59" s="6"/>
      <c r="G59" s="8"/>
      <c r="H59" s="32"/>
      <c r="I59" s="10" t="str">
        <f t="shared" si="7"/>
        <v>21</v>
      </c>
      <c r="J59" s="11">
        <v>1</v>
      </c>
      <c r="K59" s="11"/>
      <c r="L59" s="11"/>
      <c r="M59" s="11">
        <f t="shared" si="16"/>
        <v>0</v>
      </c>
      <c r="N59" s="11"/>
      <c r="O59" s="11">
        <f t="shared" si="17"/>
        <v>0</v>
      </c>
      <c r="P59" s="11"/>
      <c r="Q59" s="11"/>
      <c r="R59" s="11"/>
      <c r="S59" s="11">
        <f t="shared" si="18"/>
        <v>0</v>
      </c>
      <c r="T59" s="11">
        <f t="shared" si="19"/>
        <v>1666.6666666666667</v>
      </c>
      <c r="U59" s="11">
        <f t="shared" si="20"/>
        <v>0</v>
      </c>
      <c r="V59" s="24">
        <f t="shared" si="21"/>
        <v>0</v>
      </c>
      <c r="W59" s="11">
        <f>IF(V59&lt;=40000,0,
IF(V59&lt;=55000,(V59-40000)*10%,
IF(V59&lt;=70000,(V59-55000)*15%+1500,
IF(V59&lt;=200000,(V59-70000)*20%+1500+2250,
IF(V59&lt;=400000,(V59-200000)*22.5%+1500+2250+26000,
IF(V59&lt;=600000,(V59-400000)*25%+1500+2250+26000+45000,
IF(AND(V59&gt;600000,V59&lt;=1200000),(V59-400000)*25%+1500+2250+26000+45000
+IFERROR(LOOKUP(V59,{600001;700001;800001;900001},{4000;6750;10250;15250}),0),IF(V59&gt;1200000,((V59-1200000)*27.5%)+300000,0)
)))))))</f>
        <v>0</v>
      </c>
      <c r="X59" s="12">
        <f t="shared" si="22"/>
        <v>0</v>
      </c>
      <c r="Y59" s="12">
        <f t="shared" si="23"/>
        <v>0</v>
      </c>
      <c r="Z59" s="11"/>
      <c r="AA59" s="13">
        <f t="shared" si="24"/>
        <v>0</v>
      </c>
      <c r="AB59" s="12">
        <f t="shared" si="25"/>
        <v>0</v>
      </c>
      <c r="AC59" s="14">
        <f t="shared" si="10"/>
        <v>0</v>
      </c>
      <c r="AE59" s="19">
        <f t="shared" si="26"/>
        <v>0</v>
      </c>
      <c r="AF59" s="19"/>
      <c r="AG59" s="17"/>
      <c r="AK59" s="7"/>
      <c r="AL59" s="108">
        <f t="shared" si="11"/>
        <v>0</v>
      </c>
      <c r="AM59" s="108">
        <f t="shared" si="12"/>
        <v>0</v>
      </c>
      <c r="AN59" s="113"/>
    </row>
    <row r="60" spans="2:40" x14ac:dyDescent="0.2">
      <c r="B60" s="7"/>
      <c r="C60" s="8"/>
      <c r="D60" s="8"/>
      <c r="E60" s="9"/>
      <c r="F60" s="6"/>
      <c r="G60" s="8"/>
      <c r="H60" s="32"/>
      <c r="I60" s="10" t="str">
        <f t="shared" si="7"/>
        <v>21</v>
      </c>
      <c r="J60" s="11">
        <v>1</v>
      </c>
      <c r="K60" s="11"/>
      <c r="L60" s="11"/>
      <c r="M60" s="11">
        <f t="shared" si="16"/>
        <v>0</v>
      </c>
      <c r="N60" s="11"/>
      <c r="O60" s="11">
        <f t="shared" si="17"/>
        <v>0</v>
      </c>
      <c r="P60" s="11"/>
      <c r="Q60" s="11"/>
      <c r="R60" s="11"/>
      <c r="S60" s="11">
        <f t="shared" si="18"/>
        <v>0</v>
      </c>
      <c r="T60" s="11">
        <f t="shared" si="19"/>
        <v>1666.6666666666667</v>
      </c>
      <c r="U60" s="11">
        <f t="shared" si="20"/>
        <v>0</v>
      </c>
      <c r="V60" s="24">
        <f t="shared" si="21"/>
        <v>0</v>
      </c>
      <c r="W60" s="11">
        <f>IF(V60&lt;=40000,0,
IF(V60&lt;=55000,(V60-40000)*10%,
IF(V60&lt;=70000,(V60-55000)*15%+1500,
IF(V60&lt;=200000,(V60-70000)*20%+1500+2250,
IF(V60&lt;=400000,(V60-200000)*22.5%+1500+2250+26000,
IF(V60&lt;=600000,(V60-400000)*25%+1500+2250+26000+45000,
IF(AND(V60&gt;600000,V60&lt;=1200000),(V60-400000)*25%+1500+2250+26000+45000
+IFERROR(LOOKUP(V60,{600001;700001;800001;900001},{4000;6750;10250;15250}),0),IF(V60&gt;1200000,((V60-1200000)*27.5%)+300000,0)
)))))))</f>
        <v>0</v>
      </c>
      <c r="X60" s="12">
        <f t="shared" si="22"/>
        <v>0</v>
      </c>
      <c r="Y60" s="12">
        <f t="shared" si="23"/>
        <v>0</v>
      </c>
      <c r="Z60" s="11"/>
      <c r="AA60" s="13">
        <f t="shared" si="24"/>
        <v>0</v>
      </c>
      <c r="AB60" s="12">
        <f t="shared" si="25"/>
        <v>0</v>
      </c>
      <c r="AC60" s="14">
        <f t="shared" si="10"/>
        <v>0</v>
      </c>
      <c r="AE60" s="19">
        <f t="shared" si="26"/>
        <v>0</v>
      </c>
      <c r="AF60" s="19"/>
      <c r="AG60" s="17"/>
      <c r="AK60" s="7"/>
      <c r="AL60" s="108">
        <f t="shared" si="11"/>
        <v>0</v>
      </c>
      <c r="AM60" s="108">
        <f t="shared" si="12"/>
        <v>0</v>
      </c>
      <c r="AN60" s="113"/>
    </row>
    <row r="61" spans="2:40" x14ac:dyDescent="0.2">
      <c r="B61" s="7"/>
      <c r="C61" s="8"/>
      <c r="D61" s="8"/>
      <c r="E61" s="9"/>
      <c r="F61" s="6"/>
      <c r="G61" s="8"/>
      <c r="H61" s="32"/>
      <c r="I61" s="10" t="str">
        <f t="shared" si="7"/>
        <v>21</v>
      </c>
      <c r="J61" s="11">
        <v>1</v>
      </c>
      <c r="K61" s="11"/>
      <c r="L61" s="11"/>
      <c r="M61" s="11">
        <f t="shared" si="16"/>
        <v>0</v>
      </c>
      <c r="N61" s="11"/>
      <c r="O61" s="11">
        <f t="shared" si="17"/>
        <v>0</v>
      </c>
      <c r="P61" s="11"/>
      <c r="Q61" s="11"/>
      <c r="R61" s="11"/>
      <c r="S61" s="11">
        <f t="shared" si="18"/>
        <v>0</v>
      </c>
      <c r="T61" s="11">
        <f t="shared" si="19"/>
        <v>1666.6666666666667</v>
      </c>
      <c r="U61" s="11">
        <f t="shared" si="20"/>
        <v>0</v>
      </c>
      <c r="V61" s="24">
        <f t="shared" si="21"/>
        <v>0</v>
      </c>
      <c r="W61" s="11">
        <f>IF(V61&lt;=40000,0,
IF(V61&lt;=55000,(V61-40000)*10%,
IF(V61&lt;=70000,(V61-55000)*15%+1500,
IF(V61&lt;=200000,(V61-70000)*20%+1500+2250,
IF(V61&lt;=400000,(V61-200000)*22.5%+1500+2250+26000,
IF(V61&lt;=600000,(V61-400000)*25%+1500+2250+26000+45000,
IF(AND(V61&gt;600000,V61&lt;=1200000),(V61-400000)*25%+1500+2250+26000+45000
+IFERROR(LOOKUP(V61,{600001;700001;800001;900001},{4000;6750;10250;15250}),0),IF(V61&gt;1200000,((V61-1200000)*27.5%)+300000,0)
)))))))</f>
        <v>0</v>
      </c>
      <c r="X61" s="12">
        <f t="shared" si="22"/>
        <v>0</v>
      </c>
      <c r="Y61" s="12">
        <f t="shared" si="23"/>
        <v>0</v>
      </c>
      <c r="Z61" s="11"/>
      <c r="AA61" s="13">
        <f t="shared" si="24"/>
        <v>0</v>
      </c>
      <c r="AB61" s="12">
        <f t="shared" si="25"/>
        <v>0</v>
      </c>
      <c r="AC61" s="14">
        <f t="shared" si="10"/>
        <v>0</v>
      </c>
      <c r="AE61" s="19">
        <f t="shared" si="26"/>
        <v>0</v>
      </c>
      <c r="AF61" s="19"/>
      <c r="AG61" s="17"/>
      <c r="AK61" s="7"/>
      <c r="AL61" s="108">
        <f t="shared" si="11"/>
        <v>0</v>
      </c>
      <c r="AM61" s="108">
        <f t="shared" si="12"/>
        <v>0</v>
      </c>
      <c r="AN61" s="113"/>
    </row>
    <row r="62" spans="2:40" x14ac:dyDescent="0.2">
      <c r="B62" s="7"/>
      <c r="C62" s="8"/>
      <c r="D62" s="8"/>
      <c r="E62" s="9"/>
      <c r="F62" s="6"/>
      <c r="G62" s="8"/>
      <c r="H62" s="32"/>
      <c r="I62" s="10" t="str">
        <f t="shared" si="7"/>
        <v>21</v>
      </c>
      <c r="J62" s="11">
        <v>1</v>
      </c>
      <c r="K62" s="11"/>
      <c r="L62" s="11"/>
      <c r="M62" s="11">
        <f t="shared" si="16"/>
        <v>0</v>
      </c>
      <c r="N62" s="11"/>
      <c r="O62" s="11">
        <f t="shared" si="17"/>
        <v>0</v>
      </c>
      <c r="P62" s="11"/>
      <c r="Q62" s="11"/>
      <c r="R62" s="11"/>
      <c r="S62" s="11">
        <f t="shared" si="18"/>
        <v>0</v>
      </c>
      <c r="T62" s="11">
        <f t="shared" si="19"/>
        <v>1666.6666666666667</v>
      </c>
      <c r="U62" s="11">
        <f t="shared" si="20"/>
        <v>0</v>
      </c>
      <c r="V62" s="24">
        <f t="shared" si="21"/>
        <v>0</v>
      </c>
      <c r="W62" s="11">
        <f>IF(V62&lt;=40000,0,
IF(V62&lt;=55000,(V62-40000)*10%,
IF(V62&lt;=70000,(V62-55000)*15%+1500,
IF(V62&lt;=200000,(V62-70000)*20%+1500+2250,
IF(V62&lt;=400000,(V62-200000)*22.5%+1500+2250+26000,
IF(V62&lt;=600000,(V62-400000)*25%+1500+2250+26000+45000,
IF(AND(V62&gt;600000,V62&lt;=1200000),(V62-400000)*25%+1500+2250+26000+45000
+IFERROR(LOOKUP(V62,{600001;700001;800001;900001},{4000;6750;10250;15250}),0),IF(V62&gt;1200000,((V62-1200000)*27.5%)+300000,0)
)))))))</f>
        <v>0</v>
      </c>
      <c r="X62" s="12">
        <f t="shared" si="22"/>
        <v>0</v>
      </c>
      <c r="Y62" s="12">
        <f t="shared" si="23"/>
        <v>0</v>
      </c>
      <c r="Z62" s="11"/>
      <c r="AA62" s="13">
        <f t="shared" si="24"/>
        <v>0</v>
      </c>
      <c r="AB62" s="12">
        <f t="shared" si="25"/>
        <v>0</v>
      </c>
      <c r="AC62" s="14">
        <f t="shared" si="10"/>
        <v>0</v>
      </c>
      <c r="AE62" s="19">
        <f t="shared" si="26"/>
        <v>0</v>
      </c>
      <c r="AF62" s="19"/>
      <c r="AG62" s="17"/>
      <c r="AK62" s="7"/>
      <c r="AL62" s="108">
        <f t="shared" si="11"/>
        <v>0</v>
      </c>
      <c r="AM62" s="108">
        <f t="shared" si="12"/>
        <v>0</v>
      </c>
      <c r="AN62" s="113"/>
    </row>
    <row r="63" spans="2:40" x14ac:dyDescent="0.2">
      <c r="B63" s="7"/>
      <c r="C63" s="8"/>
      <c r="D63" s="8"/>
      <c r="E63" s="9"/>
      <c r="F63" s="6"/>
      <c r="G63" s="8"/>
      <c r="H63" s="32"/>
      <c r="I63" s="10" t="str">
        <f t="shared" si="7"/>
        <v>21</v>
      </c>
      <c r="J63" s="11">
        <v>1</v>
      </c>
      <c r="K63" s="11"/>
      <c r="L63" s="11"/>
      <c r="M63" s="11">
        <f t="shared" si="16"/>
        <v>0</v>
      </c>
      <c r="N63" s="11"/>
      <c r="O63" s="11">
        <f t="shared" si="17"/>
        <v>0</v>
      </c>
      <c r="P63" s="11"/>
      <c r="Q63" s="11"/>
      <c r="R63" s="11"/>
      <c r="S63" s="11">
        <f t="shared" si="18"/>
        <v>0</v>
      </c>
      <c r="T63" s="11">
        <f t="shared" si="19"/>
        <v>1666.6666666666667</v>
      </c>
      <c r="U63" s="11">
        <f t="shared" si="20"/>
        <v>0</v>
      </c>
      <c r="V63" s="24">
        <f t="shared" si="21"/>
        <v>0</v>
      </c>
      <c r="W63" s="11">
        <f>IF(V63&lt;=40000,0,
IF(V63&lt;=55000,(V63-40000)*10%,
IF(V63&lt;=70000,(V63-55000)*15%+1500,
IF(V63&lt;=200000,(V63-70000)*20%+1500+2250,
IF(V63&lt;=400000,(V63-200000)*22.5%+1500+2250+26000,
IF(V63&lt;=600000,(V63-400000)*25%+1500+2250+26000+45000,
IF(AND(V63&gt;600000,V63&lt;=1200000),(V63-400000)*25%+1500+2250+26000+45000
+IFERROR(LOOKUP(V63,{600001;700001;800001;900001},{4000;6750;10250;15250}),0),IF(V63&gt;1200000,((V63-1200000)*27.5%)+300000,0)
)))))))</f>
        <v>0</v>
      </c>
      <c r="X63" s="12">
        <f t="shared" si="22"/>
        <v>0</v>
      </c>
      <c r="Y63" s="12">
        <f t="shared" si="23"/>
        <v>0</v>
      </c>
      <c r="Z63" s="11"/>
      <c r="AA63" s="13">
        <f t="shared" si="24"/>
        <v>0</v>
      </c>
      <c r="AB63" s="12">
        <f t="shared" si="25"/>
        <v>0</v>
      </c>
      <c r="AC63" s="14">
        <f t="shared" si="10"/>
        <v>0</v>
      </c>
      <c r="AE63" s="19">
        <f t="shared" si="26"/>
        <v>0</v>
      </c>
      <c r="AF63" s="19"/>
      <c r="AG63" s="17"/>
      <c r="AK63" s="7"/>
      <c r="AL63" s="108">
        <f t="shared" si="11"/>
        <v>0</v>
      </c>
      <c r="AM63" s="108">
        <f t="shared" si="12"/>
        <v>0</v>
      </c>
      <c r="AN63" s="113"/>
    </row>
    <row r="64" spans="2:40" x14ac:dyDescent="0.2">
      <c r="B64" s="7"/>
      <c r="C64" s="8"/>
      <c r="D64" s="8"/>
      <c r="E64" s="9"/>
      <c r="F64" s="6"/>
      <c r="G64" s="8"/>
      <c r="H64" s="32"/>
      <c r="I64" s="10" t="str">
        <f t="shared" si="7"/>
        <v>21</v>
      </c>
      <c r="J64" s="11">
        <v>1</v>
      </c>
      <c r="K64" s="11"/>
      <c r="L64" s="11"/>
      <c r="M64" s="11">
        <f t="shared" si="16"/>
        <v>0</v>
      </c>
      <c r="N64" s="11"/>
      <c r="O64" s="11">
        <f t="shared" si="17"/>
        <v>0</v>
      </c>
      <c r="P64" s="11"/>
      <c r="Q64" s="11"/>
      <c r="R64" s="11"/>
      <c r="S64" s="11">
        <f t="shared" si="18"/>
        <v>0</v>
      </c>
      <c r="T64" s="11">
        <f t="shared" si="19"/>
        <v>1666.6666666666667</v>
      </c>
      <c r="U64" s="11">
        <f t="shared" si="20"/>
        <v>0</v>
      </c>
      <c r="V64" s="24">
        <f t="shared" si="21"/>
        <v>0</v>
      </c>
      <c r="W64" s="11">
        <f>IF(V64&lt;=40000,0,
IF(V64&lt;=55000,(V64-40000)*10%,
IF(V64&lt;=70000,(V64-55000)*15%+1500,
IF(V64&lt;=200000,(V64-70000)*20%+1500+2250,
IF(V64&lt;=400000,(V64-200000)*22.5%+1500+2250+26000,
IF(V64&lt;=600000,(V64-400000)*25%+1500+2250+26000+45000,
IF(AND(V64&gt;600000,V64&lt;=1200000),(V64-400000)*25%+1500+2250+26000+45000
+IFERROR(LOOKUP(V64,{600001;700001;800001;900001},{4000;6750;10250;15250}),0),IF(V64&gt;1200000,((V64-1200000)*27.5%)+300000,0)
)))))))</f>
        <v>0</v>
      </c>
      <c r="X64" s="12">
        <f t="shared" si="22"/>
        <v>0</v>
      </c>
      <c r="Y64" s="12">
        <f t="shared" si="23"/>
        <v>0</v>
      </c>
      <c r="Z64" s="11"/>
      <c r="AA64" s="13">
        <f t="shared" si="24"/>
        <v>0</v>
      </c>
      <c r="AB64" s="12">
        <f t="shared" si="25"/>
        <v>0</v>
      </c>
      <c r="AC64" s="14">
        <f t="shared" si="10"/>
        <v>0</v>
      </c>
      <c r="AE64" s="19">
        <f t="shared" si="26"/>
        <v>0</v>
      </c>
      <c r="AF64" s="19"/>
      <c r="AG64" s="17"/>
      <c r="AK64" s="7"/>
      <c r="AL64" s="108">
        <f t="shared" si="11"/>
        <v>0</v>
      </c>
      <c r="AM64" s="108">
        <f t="shared" si="12"/>
        <v>0</v>
      </c>
      <c r="AN64" s="113"/>
    </row>
    <row r="65" spans="2:40" x14ac:dyDescent="0.2">
      <c r="B65" s="7"/>
      <c r="C65" s="8"/>
      <c r="D65" s="8"/>
      <c r="E65" s="9"/>
      <c r="F65" s="6"/>
      <c r="G65" s="8"/>
      <c r="H65" s="32"/>
      <c r="I65" s="10" t="str">
        <f t="shared" si="7"/>
        <v>21</v>
      </c>
      <c r="J65" s="11">
        <v>1</v>
      </c>
      <c r="K65" s="11"/>
      <c r="L65" s="11"/>
      <c r="M65" s="11">
        <f t="shared" si="16"/>
        <v>0</v>
      </c>
      <c r="N65" s="11"/>
      <c r="O65" s="11">
        <f t="shared" si="17"/>
        <v>0</v>
      </c>
      <c r="P65" s="11"/>
      <c r="Q65" s="11"/>
      <c r="R65" s="11"/>
      <c r="S65" s="11">
        <f t="shared" si="18"/>
        <v>0</v>
      </c>
      <c r="T65" s="11">
        <f t="shared" si="19"/>
        <v>1666.6666666666667</v>
      </c>
      <c r="U65" s="11">
        <f t="shared" si="20"/>
        <v>0</v>
      </c>
      <c r="V65" s="24">
        <f t="shared" si="21"/>
        <v>0</v>
      </c>
      <c r="W65" s="11">
        <f>IF(V65&lt;=40000,0,
IF(V65&lt;=55000,(V65-40000)*10%,
IF(V65&lt;=70000,(V65-55000)*15%+1500,
IF(V65&lt;=200000,(V65-70000)*20%+1500+2250,
IF(V65&lt;=400000,(V65-200000)*22.5%+1500+2250+26000,
IF(V65&lt;=600000,(V65-400000)*25%+1500+2250+26000+45000,
IF(AND(V65&gt;600000,V65&lt;=1200000),(V65-400000)*25%+1500+2250+26000+45000
+IFERROR(LOOKUP(V65,{600001;700001;800001;900001},{4000;6750;10250;15250}),0),IF(V65&gt;1200000,((V65-1200000)*27.5%)+300000,0)
)))))))</f>
        <v>0</v>
      </c>
      <c r="X65" s="12">
        <f t="shared" si="22"/>
        <v>0</v>
      </c>
      <c r="Y65" s="12">
        <f t="shared" si="23"/>
        <v>0</v>
      </c>
      <c r="Z65" s="11"/>
      <c r="AA65" s="13">
        <f t="shared" si="24"/>
        <v>0</v>
      </c>
      <c r="AB65" s="12">
        <f t="shared" si="25"/>
        <v>0</v>
      </c>
      <c r="AC65" s="14">
        <f t="shared" si="10"/>
        <v>0</v>
      </c>
      <c r="AE65" s="19">
        <f t="shared" si="26"/>
        <v>0</v>
      </c>
      <c r="AF65" s="19"/>
      <c r="AG65" s="17"/>
      <c r="AK65" s="7"/>
      <c r="AL65" s="108">
        <f t="shared" si="11"/>
        <v>0</v>
      </c>
      <c r="AM65" s="108">
        <f t="shared" si="12"/>
        <v>0</v>
      </c>
      <c r="AN65" s="113"/>
    </row>
    <row r="66" spans="2:40" x14ac:dyDescent="0.2">
      <c r="B66" s="7"/>
      <c r="C66" s="8"/>
      <c r="D66" s="8"/>
      <c r="E66" s="9"/>
      <c r="F66" s="6"/>
      <c r="G66" s="8"/>
      <c r="H66" s="32"/>
      <c r="I66" s="10" t="str">
        <f t="shared" si="7"/>
        <v>21</v>
      </c>
      <c r="J66" s="11">
        <v>1</v>
      </c>
      <c r="K66" s="11"/>
      <c r="L66" s="11"/>
      <c r="M66" s="11">
        <f t="shared" si="16"/>
        <v>0</v>
      </c>
      <c r="N66" s="11"/>
      <c r="O66" s="11">
        <f t="shared" si="17"/>
        <v>0</v>
      </c>
      <c r="P66" s="11"/>
      <c r="Q66" s="11"/>
      <c r="R66" s="11"/>
      <c r="S66" s="11">
        <f t="shared" si="18"/>
        <v>0</v>
      </c>
      <c r="T66" s="11">
        <f t="shared" si="19"/>
        <v>1666.6666666666667</v>
      </c>
      <c r="U66" s="11">
        <f t="shared" si="20"/>
        <v>0</v>
      </c>
      <c r="V66" s="24">
        <f t="shared" si="21"/>
        <v>0</v>
      </c>
      <c r="W66" s="11">
        <f>IF(V66&lt;=40000,0,
IF(V66&lt;=55000,(V66-40000)*10%,
IF(V66&lt;=70000,(V66-55000)*15%+1500,
IF(V66&lt;=200000,(V66-70000)*20%+1500+2250,
IF(V66&lt;=400000,(V66-200000)*22.5%+1500+2250+26000,
IF(V66&lt;=600000,(V66-400000)*25%+1500+2250+26000+45000,
IF(AND(V66&gt;600000,V66&lt;=1200000),(V66-400000)*25%+1500+2250+26000+45000
+IFERROR(LOOKUP(V66,{600001;700001;800001;900001},{4000;6750;10250;15250}),0),IF(V66&gt;1200000,((V66-1200000)*27.5%)+300000,0)
)))))))</f>
        <v>0</v>
      </c>
      <c r="X66" s="12">
        <f t="shared" si="22"/>
        <v>0</v>
      </c>
      <c r="Y66" s="12">
        <f t="shared" si="23"/>
        <v>0</v>
      </c>
      <c r="Z66" s="11"/>
      <c r="AA66" s="13">
        <f t="shared" si="24"/>
        <v>0</v>
      </c>
      <c r="AB66" s="12">
        <f t="shared" si="25"/>
        <v>0</v>
      </c>
      <c r="AC66" s="14">
        <f t="shared" si="10"/>
        <v>0</v>
      </c>
      <c r="AE66" s="19">
        <f t="shared" si="26"/>
        <v>0</v>
      </c>
      <c r="AF66" s="19"/>
      <c r="AG66" s="17"/>
      <c r="AK66" s="7"/>
      <c r="AL66" s="108">
        <f t="shared" si="11"/>
        <v>0</v>
      </c>
      <c r="AM66" s="108">
        <f t="shared" si="12"/>
        <v>0</v>
      </c>
      <c r="AN66" s="113"/>
    </row>
    <row r="67" spans="2:40" x14ac:dyDescent="0.2">
      <c r="B67" s="7"/>
      <c r="C67" s="8"/>
      <c r="D67" s="8"/>
      <c r="E67" s="9"/>
      <c r="F67" s="6"/>
      <c r="G67" s="8"/>
      <c r="H67" s="32"/>
      <c r="I67" s="10" t="str">
        <f t="shared" si="7"/>
        <v>21</v>
      </c>
      <c r="J67" s="11">
        <v>1</v>
      </c>
      <c r="K67" s="11"/>
      <c r="L67" s="11"/>
      <c r="M67" s="11">
        <f t="shared" si="16"/>
        <v>0</v>
      </c>
      <c r="N67" s="11"/>
      <c r="O67" s="11">
        <f t="shared" si="17"/>
        <v>0</v>
      </c>
      <c r="P67" s="11"/>
      <c r="Q67" s="11"/>
      <c r="R67" s="11"/>
      <c r="S67" s="11">
        <f t="shared" si="18"/>
        <v>0</v>
      </c>
      <c r="T67" s="11">
        <f t="shared" si="19"/>
        <v>1666.6666666666667</v>
      </c>
      <c r="U67" s="11">
        <f t="shared" si="20"/>
        <v>0</v>
      </c>
      <c r="V67" s="24">
        <f t="shared" si="21"/>
        <v>0</v>
      </c>
      <c r="W67" s="11">
        <f>IF(V67&lt;=40000,0,
IF(V67&lt;=55000,(V67-40000)*10%,
IF(V67&lt;=70000,(V67-55000)*15%+1500,
IF(V67&lt;=200000,(V67-70000)*20%+1500+2250,
IF(V67&lt;=400000,(V67-200000)*22.5%+1500+2250+26000,
IF(V67&lt;=600000,(V67-400000)*25%+1500+2250+26000+45000,
IF(AND(V67&gt;600000,V67&lt;=1200000),(V67-400000)*25%+1500+2250+26000+45000
+IFERROR(LOOKUP(V67,{600001;700001;800001;900001},{4000;6750;10250;15250}),0),IF(V67&gt;1200000,((V67-1200000)*27.5%)+300000,0)
)))))))</f>
        <v>0</v>
      </c>
      <c r="X67" s="12">
        <f t="shared" si="22"/>
        <v>0</v>
      </c>
      <c r="Y67" s="12">
        <f t="shared" si="23"/>
        <v>0</v>
      </c>
      <c r="Z67" s="11"/>
      <c r="AA67" s="13">
        <f t="shared" si="24"/>
        <v>0</v>
      </c>
      <c r="AB67" s="12">
        <f t="shared" si="25"/>
        <v>0</v>
      </c>
      <c r="AC67" s="14">
        <f t="shared" si="10"/>
        <v>0</v>
      </c>
      <c r="AE67" s="19">
        <f t="shared" si="26"/>
        <v>0</v>
      </c>
      <c r="AF67" s="19"/>
      <c r="AG67" s="17"/>
      <c r="AK67" s="7"/>
      <c r="AL67" s="108">
        <f t="shared" si="11"/>
        <v>0</v>
      </c>
      <c r="AM67" s="108">
        <f t="shared" si="12"/>
        <v>0</v>
      </c>
      <c r="AN67" s="113"/>
    </row>
    <row r="68" spans="2:40" x14ac:dyDescent="0.2">
      <c r="B68" s="7"/>
      <c r="C68" s="8"/>
      <c r="D68" s="8"/>
      <c r="E68" s="9"/>
      <c r="F68" s="6"/>
      <c r="G68" s="8"/>
      <c r="H68" s="32"/>
      <c r="I68" s="10" t="str">
        <f t="shared" si="7"/>
        <v>21</v>
      </c>
      <c r="J68" s="11">
        <v>1</v>
      </c>
      <c r="K68" s="11"/>
      <c r="L68" s="11"/>
      <c r="M68" s="11">
        <f t="shared" si="16"/>
        <v>0</v>
      </c>
      <c r="N68" s="11"/>
      <c r="O68" s="11">
        <f t="shared" si="17"/>
        <v>0</v>
      </c>
      <c r="P68" s="11"/>
      <c r="Q68" s="11"/>
      <c r="R68" s="11"/>
      <c r="S68" s="11">
        <f t="shared" si="18"/>
        <v>0</v>
      </c>
      <c r="T68" s="11">
        <f t="shared" si="19"/>
        <v>1666.6666666666667</v>
      </c>
      <c r="U68" s="11">
        <f t="shared" si="20"/>
        <v>0</v>
      </c>
      <c r="V68" s="24">
        <f t="shared" si="21"/>
        <v>0</v>
      </c>
      <c r="W68" s="11">
        <f>IF(V68&lt;=40000,0,
IF(V68&lt;=55000,(V68-40000)*10%,
IF(V68&lt;=70000,(V68-55000)*15%+1500,
IF(V68&lt;=200000,(V68-70000)*20%+1500+2250,
IF(V68&lt;=400000,(V68-200000)*22.5%+1500+2250+26000,
IF(V68&lt;=600000,(V68-400000)*25%+1500+2250+26000+45000,
IF(AND(V68&gt;600000,V68&lt;=1200000),(V68-400000)*25%+1500+2250+26000+45000
+IFERROR(LOOKUP(V68,{600001;700001;800001;900001},{4000;6750;10250;15250}),0),IF(V68&gt;1200000,((V68-1200000)*27.5%)+300000,0)
)))))))</f>
        <v>0</v>
      </c>
      <c r="X68" s="12">
        <f t="shared" si="22"/>
        <v>0</v>
      </c>
      <c r="Y68" s="12">
        <f t="shared" si="23"/>
        <v>0</v>
      </c>
      <c r="Z68" s="11"/>
      <c r="AA68" s="13">
        <f t="shared" si="24"/>
        <v>0</v>
      </c>
      <c r="AB68" s="12">
        <f t="shared" si="25"/>
        <v>0</v>
      </c>
      <c r="AC68" s="14">
        <f t="shared" si="10"/>
        <v>0</v>
      </c>
      <c r="AE68" s="19">
        <f t="shared" si="26"/>
        <v>0</v>
      </c>
      <c r="AF68" s="19"/>
      <c r="AG68" s="17"/>
      <c r="AK68" s="7"/>
      <c r="AL68" s="108">
        <f t="shared" si="11"/>
        <v>0</v>
      </c>
      <c r="AM68" s="108">
        <f t="shared" si="12"/>
        <v>0</v>
      </c>
      <c r="AN68" s="113"/>
    </row>
    <row r="69" spans="2:40" x14ac:dyDescent="0.2">
      <c r="B69" s="7"/>
      <c r="C69" s="8"/>
      <c r="D69" s="8"/>
      <c r="E69" s="9"/>
      <c r="F69" s="6"/>
      <c r="G69" s="8"/>
      <c r="H69" s="32"/>
      <c r="I69" s="10" t="str">
        <f t="shared" ref="I69:I132" si="27">IF(G69&gt;0,"1","21")</f>
        <v>21</v>
      </c>
      <c r="J69" s="11">
        <v>1</v>
      </c>
      <c r="K69" s="11"/>
      <c r="L69" s="11"/>
      <c r="M69" s="11">
        <f t="shared" si="16"/>
        <v>0</v>
      </c>
      <c r="N69" s="11"/>
      <c r="O69" s="11">
        <f t="shared" si="17"/>
        <v>0</v>
      </c>
      <c r="P69" s="11"/>
      <c r="Q69" s="11"/>
      <c r="R69" s="11"/>
      <c r="S69" s="11">
        <f t="shared" si="18"/>
        <v>0</v>
      </c>
      <c r="T69" s="11">
        <f t="shared" si="19"/>
        <v>1666.6666666666667</v>
      </c>
      <c r="U69" s="11">
        <f t="shared" si="20"/>
        <v>0</v>
      </c>
      <c r="V69" s="24">
        <f t="shared" si="21"/>
        <v>0</v>
      </c>
      <c r="W69" s="11">
        <f>IF(V69&lt;=40000,0,
IF(V69&lt;=55000,(V69-40000)*10%,
IF(V69&lt;=70000,(V69-55000)*15%+1500,
IF(V69&lt;=200000,(V69-70000)*20%+1500+2250,
IF(V69&lt;=400000,(V69-200000)*22.5%+1500+2250+26000,
IF(V69&lt;=600000,(V69-400000)*25%+1500+2250+26000+45000,
IF(AND(V69&gt;600000,V69&lt;=1200000),(V69-400000)*25%+1500+2250+26000+45000
+IFERROR(LOOKUP(V69,{600001;700001;800001;900001},{4000;6750;10250;15250}),0),IF(V69&gt;1200000,((V69-1200000)*27.5%)+300000,0)
)))))))</f>
        <v>0</v>
      </c>
      <c r="X69" s="12">
        <f t="shared" si="22"/>
        <v>0</v>
      </c>
      <c r="Y69" s="12">
        <f t="shared" si="23"/>
        <v>0</v>
      </c>
      <c r="Z69" s="11"/>
      <c r="AA69" s="13">
        <f t="shared" si="24"/>
        <v>0</v>
      </c>
      <c r="AB69" s="12">
        <f t="shared" si="25"/>
        <v>0</v>
      </c>
      <c r="AC69" s="14">
        <f t="shared" ref="AC69:AC132" si="28">+M69-P69-Y69</f>
        <v>0</v>
      </c>
      <c r="AE69" s="19">
        <f t="shared" si="26"/>
        <v>0</v>
      </c>
      <c r="AF69" s="19"/>
      <c r="AG69" s="17"/>
      <c r="AK69" s="7"/>
      <c r="AL69" s="108">
        <f t="shared" ref="AL69:AL132" si="29">+AK69+AD69</f>
        <v>0</v>
      </c>
      <c r="AM69" s="108">
        <f t="shared" ref="AM69:AM132" si="30">+AL69-AC69</f>
        <v>0</v>
      </c>
      <c r="AN69" s="113"/>
    </row>
    <row r="70" spans="2:40" x14ac:dyDescent="0.2">
      <c r="B70" s="7"/>
      <c r="C70" s="8"/>
      <c r="D70" s="8"/>
      <c r="E70" s="9"/>
      <c r="F70" s="6"/>
      <c r="G70" s="8"/>
      <c r="H70" s="32"/>
      <c r="I70" s="10" t="str">
        <f t="shared" si="27"/>
        <v>21</v>
      </c>
      <c r="J70" s="11">
        <v>1</v>
      </c>
      <c r="K70" s="11"/>
      <c r="L70" s="11"/>
      <c r="M70" s="11">
        <f t="shared" si="16"/>
        <v>0</v>
      </c>
      <c r="N70" s="11"/>
      <c r="O70" s="11">
        <f t="shared" si="17"/>
        <v>0</v>
      </c>
      <c r="P70" s="11"/>
      <c r="Q70" s="11"/>
      <c r="R70" s="11"/>
      <c r="S70" s="11">
        <f t="shared" si="18"/>
        <v>0</v>
      </c>
      <c r="T70" s="11">
        <f t="shared" si="19"/>
        <v>1666.6666666666667</v>
      </c>
      <c r="U70" s="11">
        <f t="shared" si="20"/>
        <v>0</v>
      </c>
      <c r="V70" s="24">
        <f t="shared" si="21"/>
        <v>0</v>
      </c>
      <c r="W70" s="11">
        <f>IF(V70&lt;=40000,0,
IF(V70&lt;=55000,(V70-40000)*10%,
IF(V70&lt;=70000,(V70-55000)*15%+1500,
IF(V70&lt;=200000,(V70-70000)*20%+1500+2250,
IF(V70&lt;=400000,(V70-200000)*22.5%+1500+2250+26000,
IF(V70&lt;=600000,(V70-400000)*25%+1500+2250+26000+45000,
IF(AND(V70&gt;600000,V70&lt;=1200000),(V70-400000)*25%+1500+2250+26000+45000
+IFERROR(LOOKUP(V70,{600001;700001;800001;900001},{4000;6750;10250;15250}),0),IF(V70&gt;1200000,((V70-1200000)*27.5%)+300000,0)
)))))))</f>
        <v>0</v>
      </c>
      <c r="X70" s="12">
        <f t="shared" si="22"/>
        <v>0</v>
      </c>
      <c r="Y70" s="12">
        <f t="shared" si="23"/>
        <v>0</v>
      </c>
      <c r="Z70" s="11"/>
      <c r="AA70" s="13">
        <f t="shared" si="24"/>
        <v>0</v>
      </c>
      <c r="AB70" s="12">
        <f t="shared" si="25"/>
        <v>0</v>
      </c>
      <c r="AC70" s="14">
        <f t="shared" si="28"/>
        <v>0</v>
      </c>
      <c r="AE70" s="19">
        <f t="shared" si="26"/>
        <v>0</v>
      </c>
      <c r="AF70" s="19"/>
      <c r="AG70" s="17"/>
      <c r="AK70" s="7"/>
      <c r="AL70" s="108">
        <f t="shared" si="29"/>
        <v>0</v>
      </c>
      <c r="AM70" s="108">
        <f t="shared" si="30"/>
        <v>0</v>
      </c>
      <c r="AN70" s="113"/>
    </row>
    <row r="71" spans="2:40" x14ac:dyDescent="0.2">
      <c r="B71" s="7"/>
      <c r="C71" s="8"/>
      <c r="D71" s="8"/>
      <c r="E71" s="9"/>
      <c r="F71" s="6"/>
      <c r="G71" s="8"/>
      <c r="H71" s="32"/>
      <c r="I71" s="10" t="str">
        <f t="shared" si="27"/>
        <v>21</v>
      </c>
      <c r="J71" s="11">
        <v>1</v>
      </c>
      <c r="K71" s="11"/>
      <c r="L71" s="11"/>
      <c r="M71" s="11">
        <f t="shared" si="16"/>
        <v>0</v>
      </c>
      <c r="N71" s="11"/>
      <c r="O71" s="11">
        <f t="shared" si="17"/>
        <v>0</v>
      </c>
      <c r="P71" s="11"/>
      <c r="Q71" s="11"/>
      <c r="R71" s="11"/>
      <c r="S71" s="11">
        <f t="shared" si="18"/>
        <v>0</v>
      </c>
      <c r="T71" s="11">
        <f t="shared" si="19"/>
        <v>1666.6666666666667</v>
      </c>
      <c r="U71" s="11">
        <f t="shared" si="20"/>
        <v>0</v>
      </c>
      <c r="V71" s="24">
        <f t="shared" si="21"/>
        <v>0</v>
      </c>
      <c r="W71" s="11">
        <f>IF(V71&lt;=40000,0,
IF(V71&lt;=55000,(V71-40000)*10%,
IF(V71&lt;=70000,(V71-55000)*15%+1500,
IF(V71&lt;=200000,(V71-70000)*20%+1500+2250,
IF(V71&lt;=400000,(V71-200000)*22.5%+1500+2250+26000,
IF(V71&lt;=600000,(V71-400000)*25%+1500+2250+26000+45000,
IF(AND(V71&gt;600000,V71&lt;=1200000),(V71-400000)*25%+1500+2250+26000+45000
+IFERROR(LOOKUP(V71,{600001;700001;800001;900001},{4000;6750;10250;15250}),0),IF(V71&gt;1200000,((V71-1200000)*27.5%)+300000,0)
)))))))</f>
        <v>0</v>
      </c>
      <c r="X71" s="12">
        <f t="shared" si="22"/>
        <v>0</v>
      </c>
      <c r="Y71" s="12">
        <f t="shared" si="23"/>
        <v>0</v>
      </c>
      <c r="Z71" s="11"/>
      <c r="AA71" s="13">
        <f t="shared" si="24"/>
        <v>0</v>
      </c>
      <c r="AB71" s="12">
        <f t="shared" si="25"/>
        <v>0</v>
      </c>
      <c r="AC71" s="14">
        <f t="shared" si="28"/>
        <v>0</v>
      </c>
      <c r="AE71" s="19">
        <f t="shared" si="26"/>
        <v>0</v>
      </c>
      <c r="AF71" s="19"/>
      <c r="AG71" s="17"/>
      <c r="AK71" s="7"/>
      <c r="AL71" s="108">
        <f t="shared" si="29"/>
        <v>0</v>
      </c>
      <c r="AM71" s="108">
        <f t="shared" si="30"/>
        <v>0</v>
      </c>
      <c r="AN71" s="113"/>
    </row>
    <row r="72" spans="2:40" x14ac:dyDescent="0.2">
      <c r="B72" s="7"/>
      <c r="C72" s="8"/>
      <c r="D72" s="8"/>
      <c r="E72" s="9"/>
      <c r="F72" s="6"/>
      <c r="G72" s="8"/>
      <c r="H72" s="32"/>
      <c r="I72" s="10" t="str">
        <f t="shared" si="27"/>
        <v>21</v>
      </c>
      <c r="J72" s="11">
        <v>1</v>
      </c>
      <c r="K72" s="11"/>
      <c r="L72" s="11"/>
      <c r="M72" s="11">
        <f t="shared" si="16"/>
        <v>0</v>
      </c>
      <c r="N72" s="11"/>
      <c r="O72" s="11">
        <f t="shared" si="17"/>
        <v>0</v>
      </c>
      <c r="P72" s="11"/>
      <c r="Q72" s="11"/>
      <c r="R72" s="11"/>
      <c r="S72" s="11">
        <f t="shared" si="18"/>
        <v>0</v>
      </c>
      <c r="T72" s="11">
        <f t="shared" si="19"/>
        <v>1666.6666666666667</v>
      </c>
      <c r="U72" s="11">
        <f t="shared" si="20"/>
        <v>0</v>
      </c>
      <c r="V72" s="24">
        <f t="shared" si="21"/>
        <v>0</v>
      </c>
      <c r="W72" s="11">
        <f>IF(V72&lt;=40000,0,
IF(V72&lt;=55000,(V72-40000)*10%,
IF(V72&lt;=70000,(V72-55000)*15%+1500,
IF(V72&lt;=200000,(V72-70000)*20%+1500+2250,
IF(V72&lt;=400000,(V72-200000)*22.5%+1500+2250+26000,
IF(V72&lt;=600000,(V72-400000)*25%+1500+2250+26000+45000,
IF(AND(V72&gt;600000,V72&lt;=1200000),(V72-400000)*25%+1500+2250+26000+45000
+IFERROR(LOOKUP(V72,{600001;700001;800001;900001},{4000;6750;10250;15250}),0),IF(V72&gt;1200000,((V72-1200000)*27.5%)+300000,0)
)))))))</f>
        <v>0</v>
      </c>
      <c r="X72" s="12">
        <f t="shared" si="22"/>
        <v>0</v>
      </c>
      <c r="Y72" s="12">
        <f t="shared" si="23"/>
        <v>0</v>
      </c>
      <c r="Z72" s="11"/>
      <c r="AA72" s="13">
        <f t="shared" si="24"/>
        <v>0</v>
      </c>
      <c r="AB72" s="12">
        <f t="shared" si="25"/>
        <v>0</v>
      </c>
      <c r="AC72" s="14">
        <f t="shared" si="28"/>
        <v>0</v>
      </c>
      <c r="AE72" s="19">
        <f t="shared" si="26"/>
        <v>0</v>
      </c>
      <c r="AF72" s="19"/>
      <c r="AG72" s="17"/>
      <c r="AK72" s="7"/>
      <c r="AL72" s="108">
        <f t="shared" si="29"/>
        <v>0</v>
      </c>
      <c r="AM72" s="108">
        <f t="shared" si="30"/>
        <v>0</v>
      </c>
      <c r="AN72" s="113"/>
    </row>
    <row r="73" spans="2:40" x14ac:dyDescent="0.2">
      <c r="B73" s="7"/>
      <c r="C73" s="8"/>
      <c r="D73" s="8"/>
      <c r="E73" s="9"/>
      <c r="F73" s="6"/>
      <c r="G73" s="8"/>
      <c r="H73" s="32"/>
      <c r="I73" s="10" t="str">
        <f t="shared" si="27"/>
        <v>21</v>
      </c>
      <c r="J73" s="11">
        <v>1</v>
      </c>
      <c r="K73" s="11"/>
      <c r="L73" s="11"/>
      <c r="M73" s="11">
        <f t="shared" si="16"/>
        <v>0</v>
      </c>
      <c r="N73" s="11"/>
      <c r="O73" s="11">
        <f t="shared" si="17"/>
        <v>0</v>
      </c>
      <c r="P73" s="11"/>
      <c r="Q73" s="11"/>
      <c r="R73" s="11"/>
      <c r="S73" s="11">
        <f t="shared" si="18"/>
        <v>0</v>
      </c>
      <c r="T73" s="11">
        <f t="shared" si="19"/>
        <v>1666.6666666666667</v>
      </c>
      <c r="U73" s="11">
        <f t="shared" si="20"/>
        <v>0</v>
      </c>
      <c r="V73" s="24">
        <f t="shared" si="21"/>
        <v>0</v>
      </c>
      <c r="W73" s="11">
        <f>IF(V73&lt;=40000,0,
IF(V73&lt;=55000,(V73-40000)*10%,
IF(V73&lt;=70000,(V73-55000)*15%+1500,
IF(V73&lt;=200000,(V73-70000)*20%+1500+2250,
IF(V73&lt;=400000,(V73-200000)*22.5%+1500+2250+26000,
IF(V73&lt;=600000,(V73-400000)*25%+1500+2250+26000+45000,
IF(AND(V73&gt;600000,V73&lt;=1200000),(V73-400000)*25%+1500+2250+26000+45000
+IFERROR(LOOKUP(V73,{600001;700001;800001;900001},{4000;6750;10250;15250}),0),IF(V73&gt;1200000,((V73-1200000)*27.5%)+300000,0)
)))))))</f>
        <v>0</v>
      </c>
      <c r="X73" s="12">
        <f t="shared" si="22"/>
        <v>0</v>
      </c>
      <c r="Y73" s="12">
        <f t="shared" si="23"/>
        <v>0</v>
      </c>
      <c r="Z73" s="11"/>
      <c r="AA73" s="13">
        <f t="shared" si="24"/>
        <v>0</v>
      </c>
      <c r="AB73" s="12">
        <f t="shared" si="25"/>
        <v>0</v>
      </c>
      <c r="AC73" s="14">
        <f t="shared" si="28"/>
        <v>0</v>
      </c>
      <c r="AE73" s="19">
        <f t="shared" si="26"/>
        <v>0</v>
      </c>
      <c r="AF73" s="19"/>
      <c r="AG73" s="17"/>
      <c r="AK73" s="7"/>
      <c r="AL73" s="108">
        <f t="shared" si="29"/>
        <v>0</v>
      </c>
      <c r="AM73" s="108">
        <f t="shared" si="30"/>
        <v>0</v>
      </c>
      <c r="AN73" s="113"/>
    </row>
    <row r="74" spans="2:40" x14ac:dyDescent="0.2">
      <c r="B74" s="7"/>
      <c r="C74" s="8"/>
      <c r="D74" s="8"/>
      <c r="E74" s="9"/>
      <c r="F74" s="6"/>
      <c r="G74" s="8"/>
      <c r="H74" s="32"/>
      <c r="I74" s="10" t="str">
        <f t="shared" si="27"/>
        <v>21</v>
      </c>
      <c r="J74" s="11">
        <v>1</v>
      </c>
      <c r="K74" s="11"/>
      <c r="L74" s="11"/>
      <c r="M74" s="11">
        <f t="shared" si="16"/>
        <v>0</v>
      </c>
      <c r="N74" s="11"/>
      <c r="O74" s="11">
        <f t="shared" si="17"/>
        <v>0</v>
      </c>
      <c r="P74" s="11"/>
      <c r="Q74" s="11"/>
      <c r="R74" s="11"/>
      <c r="S74" s="11">
        <f t="shared" si="18"/>
        <v>0</v>
      </c>
      <c r="T74" s="11">
        <f t="shared" si="19"/>
        <v>1666.6666666666667</v>
      </c>
      <c r="U74" s="11">
        <f t="shared" si="20"/>
        <v>0</v>
      </c>
      <c r="V74" s="24">
        <f t="shared" si="21"/>
        <v>0</v>
      </c>
      <c r="W74" s="11">
        <f>IF(V74&lt;=40000,0,
IF(V74&lt;=55000,(V74-40000)*10%,
IF(V74&lt;=70000,(V74-55000)*15%+1500,
IF(V74&lt;=200000,(V74-70000)*20%+1500+2250,
IF(V74&lt;=400000,(V74-200000)*22.5%+1500+2250+26000,
IF(V74&lt;=600000,(V74-400000)*25%+1500+2250+26000+45000,
IF(AND(V74&gt;600000,V74&lt;=1200000),(V74-400000)*25%+1500+2250+26000+45000
+IFERROR(LOOKUP(V74,{600001;700001;800001;900001},{4000;6750;10250;15250}),0),IF(V74&gt;1200000,((V74-1200000)*27.5%)+300000,0)
)))))))</f>
        <v>0</v>
      </c>
      <c r="X74" s="12">
        <f t="shared" si="22"/>
        <v>0</v>
      </c>
      <c r="Y74" s="12">
        <f t="shared" si="23"/>
        <v>0</v>
      </c>
      <c r="Z74" s="11"/>
      <c r="AA74" s="13">
        <f t="shared" si="24"/>
        <v>0</v>
      </c>
      <c r="AB74" s="12">
        <f t="shared" si="25"/>
        <v>0</v>
      </c>
      <c r="AC74" s="14">
        <f t="shared" si="28"/>
        <v>0</v>
      </c>
      <c r="AE74" s="19">
        <f t="shared" si="26"/>
        <v>0</v>
      </c>
      <c r="AF74" s="19"/>
      <c r="AG74" s="17"/>
      <c r="AK74" s="7"/>
      <c r="AL74" s="108">
        <f t="shared" si="29"/>
        <v>0</v>
      </c>
      <c r="AM74" s="108">
        <f t="shared" si="30"/>
        <v>0</v>
      </c>
      <c r="AN74" s="113"/>
    </row>
    <row r="75" spans="2:40" x14ac:dyDescent="0.2">
      <c r="B75" s="7"/>
      <c r="C75" s="8"/>
      <c r="D75" s="8"/>
      <c r="E75" s="9"/>
      <c r="F75" s="6"/>
      <c r="G75" s="8"/>
      <c r="H75" s="32"/>
      <c r="I75" s="10" t="str">
        <f t="shared" si="27"/>
        <v>21</v>
      </c>
      <c r="J75" s="11">
        <v>1</v>
      </c>
      <c r="K75" s="11"/>
      <c r="L75" s="11"/>
      <c r="M75" s="11">
        <f t="shared" si="16"/>
        <v>0</v>
      </c>
      <c r="N75" s="11"/>
      <c r="O75" s="11">
        <f t="shared" si="17"/>
        <v>0</v>
      </c>
      <c r="P75" s="11"/>
      <c r="Q75" s="11"/>
      <c r="R75" s="11"/>
      <c r="S75" s="11">
        <f t="shared" si="18"/>
        <v>0</v>
      </c>
      <c r="T75" s="11">
        <f t="shared" si="19"/>
        <v>1666.6666666666667</v>
      </c>
      <c r="U75" s="11">
        <f t="shared" si="20"/>
        <v>0</v>
      </c>
      <c r="V75" s="24">
        <f t="shared" si="21"/>
        <v>0</v>
      </c>
      <c r="W75" s="11">
        <f>IF(V75&lt;=40000,0,
IF(V75&lt;=55000,(V75-40000)*10%,
IF(V75&lt;=70000,(V75-55000)*15%+1500,
IF(V75&lt;=200000,(V75-70000)*20%+1500+2250,
IF(V75&lt;=400000,(V75-200000)*22.5%+1500+2250+26000,
IF(V75&lt;=600000,(V75-400000)*25%+1500+2250+26000+45000,
IF(AND(V75&gt;600000,V75&lt;=1200000),(V75-400000)*25%+1500+2250+26000+45000
+IFERROR(LOOKUP(V75,{600001;700001;800001;900001},{4000;6750;10250;15250}),0),IF(V75&gt;1200000,((V75-1200000)*27.5%)+300000,0)
)))))))</f>
        <v>0</v>
      </c>
      <c r="X75" s="12">
        <f t="shared" si="22"/>
        <v>0</v>
      </c>
      <c r="Y75" s="12">
        <f t="shared" si="23"/>
        <v>0</v>
      </c>
      <c r="Z75" s="11"/>
      <c r="AA75" s="13">
        <f t="shared" si="24"/>
        <v>0</v>
      </c>
      <c r="AB75" s="12">
        <f t="shared" si="25"/>
        <v>0</v>
      </c>
      <c r="AC75" s="14">
        <f t="shared" si="28"/>
        <v>0</v>
      </c>
      <c r="AE75" s="19">
        <f t="shared" si="26"/>
        <v>0</v>
      </c>
      <c r="AF75" s="19"/>
      <c r="AG75" s="17"/>
      <c r="AK75" s="7"/>
      <c r="AL75" s="108">
        <f t="shared" si="29"/>
        <v>0</v>
      </c>
      <c r="AM75" s="108">
        <f t="shared" si="30"/>
        <v>0</v>
      </c>
      <c r="AN75" s="113"/>
    </row>
    <row r="76" spans="2:40" x14ac:dyDescent="0.2">
      <c r="B76" s="7"/>
      <c r="C76" s="8"/>
      <c r="D76" s="8"/>
      <c r="E76" s="9"/>
      <c r="F76" s="6"/>
      <c r="G76" s="8"/>
      <c r="H76" s="32"/>
      <c r="I76" s="10" t="str">
        <f t="shared" si="27"/>
        <v>21</v>
      </c>
      <c r="J76" s="11">
        <v>1</v>
      </c>
      <c r="K76" s="11"/>
      <c r="L76" s="11"/>
      <c r="M76" s="11">
        <f t="shared" si="16"/>
        <v>0</v>
      </c>
      <c r="N76" s="11"/>
      <c r="O76" s="11">
        <f t="shared" si="17"/>
        <v>0</v>
      </c>
      <c r="P76" s="11"/>
      <c r="Q76" s="11"/>
      <c r="R76" s="11"/>
      <c r="S76" s="11">
        <f t="shared" si="18"/>
        <v>0</v>
      </c>
      <c r="T76" s="11">
        <f t="shared" si="19"/>
        <v>1666.6666666666667</v>
      </c>
      <c r="U76" s="11">
        <f t="shared" si="20"/>
        <v>0</v>
      </c>
      <c r="V76" s="24">
        <f t="shared" si="21"/>
        <v>0</v>
      </c>
      <c r="W76" s="11">
        <f>IF(V76&lt;=40000,0,
IF(V76&lt;=55000,(V76-40000)*10%,
IF(V76&lt;=70000,(V76-55000)*15%+1500,
IF(V76&lt;=200000,(V76-70000)*20%+1500+2250,
IF(V76&lt;=400000,(V76-200000)*22.5%+1500+2250+26000,
IF(V76&lt;=600000,(V76-400000)*25%+1500+2250+26000+45000,
IF(AND(V76&gt;600000,V76&lt;=1200000),(V76-400000)*25%+1500+2250+26000+45000
+IFERROR(LOOKUP(V76,{600001;700001;800001;900001},{4000;6750;10250;15250}),0),IF(V76&gt;1200000,((V76-1200000)*27.5%)+300000,0)
)))))))</f>
        <v>0</v>
      </c>
      <c r="X76" s="12">
        <f t="shared" si="22"/>
        <v>0</v>
      </c>
      <c r="Y76" s="12">
        <f t="shared" si="23"/>
        <v>0</v>
      </c>
      <c r="Z76" s="11"/>
      <c r="AA76" s="13">
        <f t="shared" si="24"/>
        <v>0</v>
      </c>
      <c r="AB76" s="12">
        <f t="shared" si="25"/>
        <v>0</v>
      </c>
      <c r="AC76" s="14">
        <f t="shared" si="28"/>
        <v>0</v>
      </c>
      <c r="AE76" s="19">
        <f t="shared" si="26"/>
        <v>0</v>
      </c>
      <c r="AF76" s="19"/>
      <c r="AG76" s="17"/>
      <c r="AK76" s="7"/>
      <c r="AL76" s="108">
        <f t="shared" si="29"/>
        <v>0</v>
      </c>
      <c r="AM76" s="108">
        <f t="shared" si="30"/>
        <v>0</v>
      </c>
      <c r="AN76" s="113"/>
    </row>
    <row r="77" spans="2:40" x14ac:dyDescent="0.2">
      <c r="B77" s="7"/>
      <c r="C77" s="8"/>
      <c r="D77" s="8"/>
      <c r="E77" s="9"/>
      <c r="F77" s="6"/>
      <c r="G77" s="8"/>
      <c r="H77" s="32"/>
      <c r="I77" s="10" t="str">
        <f t="shared" si="27"/>
        <v>21</v>
      </c>
      <c r="J77" s="11">
        <v>1</v>
      </c>
      <c r="K77" s="11"/>
      <c r="L77" s="11"/>
      <c r="M77" s="11">
        <f t="shared" si="16"/>
        <v>0</v>
      </c>
      <c r="N77" s="11"/>
      <c r="O77" s="11">
        <f t="shared" si="17"/>
        <v>0</v>
      </c>
      <c r="P77" s="11"/>
      <c r="Q77" s="11"/>
      <c r="R77" s="11"/>
      <c r="S77" s="11">
        <f t="shared" si="18"/>
        <v>0</v>
      </c>
      <c r="T77" s="11">
        <f t="shared" si="19"/>
        <v>1666.6666666666667</v>
      </c>
      <c r="U77" s="11">
        <f t="shared" si="20"/>
        <v>0</v>
      </c>
      <c r="V77" s="24">
        <f t="shared" si="21"/>
        <v>0</v>
      </c>
      <c r="W77" s="11">
        <f>IF(V77&lt;=40000,0,
IF(V77&lt;=55000,(V77-40000)*10%,
IF(V77&lt;=70000,(V77-55000)*15%+1500,
IF(V77&lt;=200000,(V77-70000)*20%+1500+2250,
IF(V77&lt;=400000,(V77-200000)*22.5%+1500+2250+26000,
IF(V77&lt;=600000,(V77-400000)*25%+1500+2250+26000+45000,
IF(AND(V77&gt;600000,V77&lt;=1200000),(V77-400000)*25%+1500+2250+26000+45000
+IFERROR(LOOKUP(V77,{600001;700001;800001;900001},{4000;6750;10250;15250}),0),IF(V77&gt;1200000,((V77-1200000)*27.5%)+300000,0)
)))))))</f>
        <v>0</v>
      </c>
      <c r="X77" s="12">
        <f t="shared" si="22"/>
        <v>0</v>
      </c>
      <c r="Y77" s="12">
        <f t="shared" si="23"/>
        <v>0</v>
      </c>
      <c r="Z77" s="11"/>
      <c r="AA77" s="13">
        <f t="shared" si="24"/>
        <v>0</v>
      </c>
      <c r="AB77" s="12">
        <f t="shared" si="25"/>
        <v>0</v>
      </c>
      <c r="AC77" s="14">
        <f t="shared" si="28"/>
        <v>0</v>
      </c>
      <c r="AE77" s="19">
        <f t="shared" si="26"/>
        <v>0</v>
      </c>
      <c r="AF77" s="19"/>
      <c r="AG77" s="17"/>
      <c r="AK77" s="7"/>
      <c r="AL77" s="108">
        <f t="shared" si="29"/>
        <v>0</v>
      </c>
      <c r="AM77" s="108">
        <f t="shared" si="30"/>
        <v>0</v>
      </c>
      <c r="AN77" s="113"/>
    </row>
    <row r="78" spans="2:40" x14ac:dyDescent="0.2">
      <c r="B78" s="7"/>
      <c r="C78" s="8"/>
      <c r="D78" s="8"/>
      <c r="E78" s="9"/>
      <c r="F78" s="6"/>
      <c r="G78" s="8"/>
      <c r="H78" s="32"/>
      <c r="I78" s="10" t="str">
        <f t="shared" si="27"/>
        <v>21</v>
      </c>
      <c r="J78" s="11">
        <v>1</v>
      </c>
      <c r="K78" s="11"/>
      <c r="L78" s="11"/>
      <c r="M78" s="11">
        <f t="shared" si="16"/>
        <v>0</v>
      </c>
      <c r="N78" s="11"/>
      <c r="O78" s="11">
        <f t="shared" si="17"/>
        <v>0</v>
      </c>
      <c r="P78" s="11"/>
      <c r="Q78" s="11"/>
      <c r="R78" s="11"/>
      <c r="S78" s="11">
        <f t="shared" si="18"/>
        <v>0</v>
      </c>
      <c r="T78" s="11">
        <f t="shared" si="19"/>
        <v>1666.6666666666667</v>
      </c>
      <c r="U78" s="11">
        <f t="shared" si="20"/>
        <v>0</v>
      </c>
      <c r="V78" s="24">
        <f t="shared" si="21"/>
        <v>0</v>
      </c>
      <c r="W78" s="11">
        <f>IF(V78&lt;=40000,0,
IF(V78&lt;=55000,(V78-40000)*10%,
IF(V78&lt;=70000,(V78-55000)*15%+1500,
IF(V78&lt;=200000,(V78-70000)*20%+1500+2250,
IF(V78&lt;=400000,(V78-200000)*22.5%+1500+2250+26000,
IF(V78&lt;=600000,(V78-400000)*25%+1500+2250+26000+45000,
IF(AND(V78&gt;600000,V78&lt;=1200000),(V78-400000)*25%+1500+2250+26000+45000
+IFERROR(LOOKUP(V78,{600001;700001;800001;900001},{4000;6750;10250;15250}),0),IF(V78&gt;1200000,((V78-1200000)*27.5%)+300000,0)
)))))))</f>
        <v>0</v>
      </c>
      <c r="X78" s="12">
        <f t="shared" si="22"/>
        <v>0</v>
      </c>
      <c r="Y78" s="12">
        <f t="shared" si="23"/>
        <v>0</v>
      </c>
      <c r="Z78" s="11"/>
      <c r="AA78" s="13">
        <f t="shared" si="24"/>
        <v>0</v>
      </c>
      <c r="AB78" s="12">
        <f t="shared" si="25"/>
        <v>0</v>
      </c>
      <c r="AC78" s="14">
        <f t="shared" si="28"/>
        <v>0</v>
      </c>
      <c r="AE78" s="19">
        <f t="shared" si="26"/>
        <v>0</v>
      </c>
      <c r="AF78" s="19"/>
      <c r="AG78" s="17"/>
      <c r="AK78" s="7"/>
      <c r="AL78" s="108">
        <f t="shared" si="29"/>
        <v>0</v>
      </c>
      <c r="AM78" s="108">
        <f t="shared" si="30"/>
        <v>0</v>
      </c>
      <c r="AN78" s="113"/>
    </row>
    <row r="79" spans="2:40" x14ac:dyDescent="0.2">
      <c r="B79" s="7"/>
      <c r="C79" s="8"/>
      <c r="D79" s="8"/>
      <c r="E79" s="9"/>
      <c r="F79" s="6"/>
      <c r="G79" s="8"/>
      <c r="H79" s="32"/>
      <c r="I79" s="10" t="str">
        <f t="shared" si="27"/>
        <v>21</v>
      </c>
      <c r="J79" s="11">
        <v>1</v>
      </c>
      <c r="K79" s="11"/>
      <c r="L79" s="11"/>
      <c r="M79" s="11">
        <f t="shared" si="16"/>
        <v>0</v>
      </c>
      <c r="N79" s="11"/>
      <c r="O79" s="11">
        <f t="shared" si="17"/>
        <v>0</v>
      </c>
      <c r="P79" s="11"/>
      <c r="Q79" s="11"/>
      <c r="R79" s="11"/>
      <c r="S79" s="11">
        <f t="shared" si="18"/>
        <v>0</v>
      </c>
      <c r="T79" s="11">
        <f t="shared" si="19"/>
        <v>1666.6666666666667</v>
      </c>
      <c r="U79" s="11">
        <f t="shared" si="20"/>
        <v>0</v>
      </c>
      <c r="V79" s="24">
        <f t="shared" si="21"/>
        <v>0</v>
      </c>
      <c r="W79" s="11">
        <f>IF(V79&lt;=40000,0,
IF(V79&lt;=55000,(V79-40000)*10%,
IF(V79&lt;=70000,(V79-55000)*15%+1500,
IF(V79&lt;=200000,(V79-70000)*20%+1500+2250,
IF(V79&lt;=400000,(V79-200000)*22.5%+1500+2250+26000,
IF(V79&lt;=600000,(V79-400000)*25%+1500+2250+26000+45000,
IF(AND(V79&gt;600000,V79&lt;=1200000),(V79-400000)*25%+1500+2250+26000+45000
+IFERROR(LOOKUP(V79,{600001;700001;800001;900001},{4000;6750;10250;15250}),0),IF(V79&gt;1200000,((V79-1200000)*27.5%)+300000,0)
)))))))</f>
        <v>0</v>
      </c>
      <c r="X79" s="12">
        <f t="shared" si="22"/>
        <v>0</v>
      </c>
      <c r="Y79" s="12">
        <f t="shared" si="23"/>
        <v>0</v>
      </c>
      <c r="Z79" s="11"/>
      <c r="AA79" s="13">
        <f t="shared" si="24"/>
        <v>0</v>
      </c>
      <c r="AB79" s="12">
        <f t="shared" si="25"/>
        <v>0</v>
      </c>
      <c r="AC79" s="14">
        <f t="shared" si="28"/>
        <v>0</v>
      </c>
      <c r="AE79" s="19">
        <f t="shared" si="26"/>
        <v>0</v>
      </c>
      <c r="AF79" s="19"/>
      <c r="AG79" s="17"/>
      <c r="AK79" s="7"/>
      <c r="AL79" s="108">
        <f t="shared" si="29"/>
        <v>0</v>
      </c>
      <c r="AM79" s="108">
        <f t="shared" si="30"/>
        <v>0</v>
      </c>
      <c r="AN79" s="113"/>
    </row>
    <row r="80" spans="2:40" x14ac:dyDescent="0.2">
      <c r="B80" s="7"/>
      <c r="C80" s="8"/>
      <c r="D80" s="8"/>
      <c r="E80" s="9"/>
      <c r="F80" s="6"/>
      <c r="G80" s="8"/>
      <c r="H80" s="32"/>
      <c r="I80" s="10" t="str">
        <f t="shared" si="27"/>
        <v>21</v>
      </c>
      <c r="J80" s="11">
        <v>1</v>
      </c>
      <c r="K80" s="11"/>
      <c r="L80" s="11"/>
      <c r="M80" s="11">
        <f t="shared" si="16"/>
        <v>0</v>
      </c>
      <c r="N80" s="11"/>
      <c r="O80" s="11">
        <f t="shared" si="17"/>
        <v>0</v>
      </c>
      <c r="P80" s="11"/>
      <c r="Q80" s="11"/>
      <c r="R80" s="11"/>
      <c r="S80" s="11">
        <f t="shared" si="18"/>
        <v>0</v>
      </c>
      <c r="T80" s="11">
        <f t="shared" si="19"/>
        <v>1666.6666666666667</v>
      </c>
      <c r="U80" s="11">
        <f t="shared" si="20"/>
        <v>0</v>
      </c>
      <c r="V80" s="24">
        <f t="shared" si="21"/>
        <v>0</v>
      </c>
      <c r="W80" s="11">
        <f>IF(V80&lt;=40000,0,
IF(V80&lt;=55000,(V80-40000)*10%,
IF(V80&lt;=70000,(V80-55000)*15%+1500,
IF(V80&lt;=200000,(V80-70000)*20%+1500+2250,
IF(V80&lt;=400000,(V80-200000)*22.5%+1500+2250+26000,
IF(V80&lt;=600000,(V80-400000)*25%+1500+2250+26000+45000,
IF(AND(V80&gt;600000,V80&lt;=1200000),(V80-400000)*25%+1500+2250+26000+45000
+IFERROR(LOOKUP(V80,{600001;700001;800001;900001},{4000;6750;10250;15250}),0),IF(V80&gt;1200000,((V80-1200000)*27.5%)+300000,0)
)))))))</f>
        <v>0</v>
      </c>
      <c r="X80" s="12">
        <f t="shared" si="22"/>
        <v>0</v>
      </c>
      <c r="Y80" s="12">
        <f t="shared" si="23"/>
        <v>0</v>
      </c>
      <c r="Z80" s="11"/>
      <c r="AA80" s="13">
        <f t="shared" si="24"/>
        <v>0</v>
      </c>
      <c r="AB80" s="12">
        <f t="shared" si="25"/>
        <v>0</v>
      </c>
      <c r="AC80" s="14">
        <f t="shared" si="28"/>
        <v>0</v>
      </c>
      <c r="AE80" s="19">
        <f t="shared" si="26"/>
        <v>0</v>
      </c>
      <c r="AF80" s="19"/>
      <c r="AG80" s="17"/>
      <c r="AK80" s="7"/>
      <c r="AL80" s="108">
        <f t="shared" si="29"/>
        <v>0</v>
      </c>
      <c r="AM80" s="108">
        <f t="shared" si="30"/>
        <v>0</v>
      </c>
      <c r="AN80" s="113"/>
    </row>
    <row r="81" spans="2:40" x14ac:dyDescent="0.2">
      <c r="B81" s="7"/>
      <c r="C81" s="8"/>
      <c r="D81" s="8"/>
      <c r="E81" s="9"/>
      <c r="F81" s="6"/>
      <c r="G81" s="8"/>
      <c r="H81" s="32"/>
      <c r="I81" s="10" t="str">
        <f t="shared" si="27"/>
        <v>21</v>
      </c>
      <c r="J81" s="11">
        <v>1</v>
      </c>
      <c r="K81" s="11"/>
      <c r="L81" s="11"/>
      <c r="M81" s="11">
        <f t="shared" si="16"/>
        <v>0</v>
      </c>
      <c r="N81" s="11"/>
      <c r="O81" s="11">
        <f t="shared" si="17"/>
        <v>0</v>
      </c>
      <c r="P81" s="11"/>
      <c r="Q81" s="11"/>
      <c r="R81" s="11"/>
      <c r="S81" s="11">
        <f t="shared" si="18"/>
        <v>0</v>
      </c>
      <c r="T81" s="11">
        <f t="shared" si="19"/>
        <v>1666.6666666666667</v>
      </c>
      <c r="U81" s="11">
        <f t="shared" si="20"/>
        <v>0</v>
      </c>
      <c r="V81" s="24">
        <f t="shared" si="21"/>
        <v>0</v>
      </c>
      <c r="W81" s="11">
        <f>IF(V81&lt;=40000,0,
IF(V81&lt;=55000,(V81-40000)*10%,
IF(V81&lt;=70000,(V81-55000)*15%+1500,
IF(V81&lt;=200000,(V81-70000)*20%+1500+2250,
IF(V81&lt;=400000,(V81-200000)*22.5%+1500+2250+26000,
IF(V81&lt;=600000,(V81-400000)*25%+1500+2250+26000+45000,
IF(AND(V81&gt;600000,V81&lt;=1200000),(V81-400000)*25%+1500+2250+26000+45000
+IFERROR(LOOKUP(V81,{600001;700001;800001;900001},{4000;6750;10250;15250}),0),IF(V81&gt;1200000,((V81-1200000)*27.5%)+300000,0)
)))))))</f>
        <v>0</v>
      </c>
      <c r="X81" s="12">
        <f t="shared" si="22"/>
        <v>0</v>
      </c>
      <c r="Y81" s="12">
        <f t="shared" si="23"/>
        <v>0</v>
      </c>
      <c r="Z81" s="11"/>
      <c r="AA81" s="13">
        <f t="shared" si="24"/>
        <v>0</v>
      </c>
      <c r="AB81" s="12">
        <f t="shared" si="25"/>
        <v>0</v>
      </c>
      <c r="AC81" s="14">
        <f t="shared" si="28"/>
        <v>0</v>
      </c>
      <c r="AE81" s="19">
        <f t="shared" si="26"/>
        <v>0</v>
      </c>
      <c r="AF81" s="19"/>
      <c r="AG81" s="17"/>
      <c r="AK81" s="7"/>
      <c r="AL81" s="108">
        <f t="shared" si="29"/>
        <v>0</v>
      </c>
      <c r="AM81" s="108">
        <f t="shared" si="30"/>
        <v>0</v>
      </c>
      <c r="AN81" s="113"/>
    </row>
    <row r="82" spans="2:40" x14ac:dyDescent="0.2">
      <c r="B82" s="7"/>
      <c r="C82" s="8"/>
      <c r="D82" s="8"/>
      <c r="E82" s="9"/>
      <c r="F82" s="6"/>
      <c r="G82" s="8"/>
      <c r="H82" s="32"/>
      <c r="I82" s="10" t="str">
        <f t="shared" si="27"/>
        <v>21</v>
      </c>
      <c r="J82" s="11">
        <v>1</v>
      </c>
      <c r="K82" s="11"/>
      <c r="L82" s="11"/>
      <c r="M82" s="11">
        <f t="shared" si="16"/>
        <v>0</v>
      </c>
      <c r="N82" s="11"/>
      <c r="O82" s="11">
        <f t="shared" si="17"/>
        <v>0</v>
      </c>
      <c r="P82" s="11"/>
      <c r="Q82" s="11"/>
      <c r="R82" s="11"/>
      <c r="S82" s="11">
        <f t="shared" si="18"/>
        <v>0</v>
      </c>
      <c r="T82" s="11">
        <f t="shared" si="19"/>
        <v>1666.6666666666667</v>
      </c>
      <c r="U82" s="11">
        <f t="shared" si="20"/>
        <v>0</v>
      </c>
      <c r="V82" s="24">
        <f t="shared" si="21"/>
        <v>0</v>
      </c>
      <c r="W82" s="11">
        <f>IF(V82&lt;=40000,0,
IF(V82&lt;=55000,(V82-40000)*10%,
IF(V82&lt;=70000,(V82-55000)*15%+1500,
IF(V82&lt;=200000,(V82-70000)*20%+1500+2250,
IF(V82&lt;=400000,(V82-200000)*22.5%+1500+2250+26000,
IF(V82&lt;=600000,(V82-400000)*25%+1500+2250+26000+45000,
IF(AND(V82&gt;600000,V82&lt;=1200000),(V82-400000)*25%+1500+2250+26000+45000
+IFERROR(LOOKUP(V82,{600001;700001;800001;900001},{4000;6750;10250;15250}),0),IF(V82&gt;1200000,((V82-1200000)*27.5%)+300000,0)
)))))))</f>
        <v>0</v>
      </c>
      <c r="X82" s="12">
        <f t="shared" si="22"/>
        <v>0</v>
      </c>
      <c r="Y82" s="12">
        <f t="shared" si="23"/>
        <v>0</v>
      </c>
      <c r="Z82" s="11"/>
      <c r="AA82" s="13">
        <f t="shared" si="24"/>
        <v>0</v>
      </c>
      <c r="AB82" s="12">
        <f t="shared" si="25"/>
        <v>0</v>
      </c>
      <c r="AC82" s="14">
        <f t="shared" si="28"/>
        <v>0</v>
      </c>
      <c r="AE82" s="19">
        <f t="shared" si="26"/>
        <v>0</v>
      </c>
      <c r="AF82" s="19"/>
      <c r="AG82" s="17"/>
      <c r="AK82" s="7"/>
      <c r="AL82" s="108">
        <f t="shared" si="29"/>
        <v>0</v>
      </c>
      <c r="AM82" s="108">
        <f t="shared" si="30"/>
        <v>0</v>
      </c>
      <c r="AN82" s="113"/>
    </row>
    <row r="83" spans="2:40" x14ac:dyDescent="0.2">
      <c r="B83" s="7"/>
      <c r="C83" s="8"/>
      <c r="D83" s="8"/>
      <c r="E83" s="9"/>
      <c r="F83" s="6"/>
      <c r="G83" s="8"/>
      <c r="H83" s="32"/>
      <c r="I83" s="10" t="str">
        <f t="shared" si="27"/>
        <v>21</v>
      </c>
      <c r="J83" s="11">
        <v>1</v>
      </c>
      <c r="K83" s="11"/>
      <c r="L83" s="11"/>
      <c r="M83" s="11">
        <f t="shared" si="16"/>
        <v>0</v>
      </c>
      <c r="N83" s="11"/>
      <c r="O83" s="11">
        <f t="shared" si="17"/>
        <v>0</v>
      </c>
      <c r="P83" s="11"/>
      <c r="Q83" s="11"/>
      <c r="R83" s="11"/>
      <c r="S83" s="11">
        <f t="shared" si="18"/>
        <v>0</v>
      </c>
      <c r="T83" s="11">
        <f t="shared" si="19"/>
        <v>1666.6666666666667</v>
      </c>
      <c r="U83" s="11">
        <f t="shared" si="20"/>
        <v>0</v>
      </c>
      <c r="V83" s="24">
        <f t="shared" si="21"/>
        <v>0</v>
      </c>
      <c r="W83" s="11">
        <f>IF(V83&lt;=40000,0,
IF(V83&lt;=55000,(V83-40000)*10%,
IF(V83&lt;=70000,(V83-55000)*15%+1500,
IF(V83&lt;=200000,(V83-70000)*20%+1500+2250,
IF(V83&lt;=400000,(V83-200000)*22.5%+1500+2250+26000,
IF(V83&lt;=600000,(V83-400000)*25%+1500+2250+26000+45000,
IF(AND(V83&gt;600000,V83&lt;=1200000),(V83-400000)*25%+1500+2250+26000+45000
+IFERROR(LOOKUP(V83,{600001;700001;800001;900001},{4000;6750;10250;15250}),0),IF(V83&gt;1200000,((V83-1200000)*27.5%)+300000,0)
)))))))</f>
        <v>0</v>
      </c>
      <c r="X83" s="12">
        <f t="shared" si="22"/>
        <v>0</v>
      </c>
      <c r="Y83" s="12">
        <f t="shared" si="23"/>
        <v>0</v>
      </c>
      <c r="Z83" s="11"/>
      <c r="AA83" s="13">
        <f t="shared" si="24"/>
        <v>0</v>
      </c>
      <c r="AB83" s="12">
        <f t="shared" si="25"/>
        <v>0</v>
      </c>
      <c r="AC83" s="14">
        <f t="shared" si="28"/>
        <v>0</v>
      </c>
      <c r="AE83" s="19">
        <f t="shared" si="26"/>
        <v>0</v>
      </c>
      <c r="AF83" s="19"/>
      <c r="AG83" s="17"/>
      <c r="AK83" s="7"/>
      <c r="AL83" s="108">
        <f t="shared" si="29"/>
        <v>0</v>
      </c>
      <c r="AM83" s="108">
        <f t="shared" si="30"/>
        <v>0</v>
      </c>
      <c r="AN83" s="113"/>
    </row>
    <row r="84" spans="2:40" x14ac:dyDescent="0.2">
      <c r="B84" s="7"/>
      <c r="C84" s="8"/>
      <c r="D84" s="8"/>
      <c r="E84" s="9"/>
      <c r="F84" s="6"/>
      <c r="G84" s="8"/>
      <c r="H84" s="32"/>
      <c r="I84" s="10" t="str">
        <f t="shared" si="27"/>
        <v>21</v>
      </c>
      <c r="J84" s="11">
        <v>1</v>
      </c>
      <c r="K84" s="11"/>
      <c r="L84" s="11"/>
      <c r="M84" s="11">
        <f t="shared" si="16"/>
        <v>0</v>
      </c>
      <c r="N84" s="11"/>
      <c r="O84" s="11">
        <f t="shared" si="17"/>
        <v>0</v>
      </c>
      <c r="P84" s="11"/>
      <c r="Q84" s="11"/>
      <c r="R84" s="11"/>
      <c r="S84" s="11">
        <f t="shared" si="18"/>
        <v>0</v>
      </c>
      <c r="T84" s="11">
        <f t="shared" si="19"/>
        <v>1666.6666666666667</v>
      </c>
      <c r="U84" s="11">
        <f t="shared" si="20"/>
        <v>0</v>
      </c>
      <c r="V84" s="24">
        <f t="shared" si="21"/>
        <v>0</v>
      </c>
      <c r="W84" s="11">
        <f>IF(V84&lt;=40000,0,
IF(V84&lt;=55000,(V84-40000)*10%,
IF(V84&lt;=70000,(V84-55000)*15%+1500,
IF(V84&lt;=200000,(V84-70000)*20%+1500+2250,
IF(V84&lt;=400000,(V84-200000)*22.5%+1500+2250+26000,
IF(V84&lt;=600000,(V84-400000)*25%+1500+2250+26000+45000,
IF(AND(V84&gt;600000,V84&lt;=1200000),(V84-400000)*25%+1500+2250+26000+45000
+IFERROR(LOOKUP(V84,{600001;700001;800001;900001},{4000;6750;10250;15250}),0),IF(V84&gt;1200000,((V84-1200000)*27.5%)+300000,0)
)))))))</f>
        <v>0</v>
      </c>
      <c r="X84" s="12">
        <f t="shared" si="22"/>
        <v>0</v>
      </c>
      <c r="Y84" s="12">
        <f t="shared" si="23"/>
        <v>0</v>
      </c>
      <c r="Z84" s="11"/>
      <c r="AA84" s="13">
        <f t="shared" si="24"/>
        <v>0</v>
      </c>
      <c r="AB84" s="12">
        <f t="shared" si="25"/>
        <v>0</v>
      </c>
      <c r="AC84" s="14">
        <f t="shared" si="28"/>
        <v>0</v>
      </c>
      <c r="AE84" s="19">
        <f t="shared" si="26"/>
        <v>0</v>
      </c>
      <c r="AF84" s="19"/>
      <c r="AG84" s="17"/>
      <c r="AK84" s="7"/>
      <c r="AL84" s="108">
        <f t="shared" si="29"/>
        <v>0</v>
      </c>
      <c r="AM84" s="108">
        <f t="shared" si="30"/>
        <v>0</v>
      </c>
      <c r="AN84" s="113"/>
    </row>
    <row r="85" spans="2:40" x14ac:dyDescent="0.2">
      <c r="B85" s="7"/>
      <c r="C85" s="8"/>
      <c r="D85" s="8"/>
      <c r="E85" s="9"/>
      <c r="F85" s="6"/>
      <c r="G85" s="8"/>
      <c r="H85" s="32"/>
      <c r="I85" s="10" t="str">
        <f t="shared" si="27"/>
        <v>21</v>
      </c>
      <c r="J85" s="11">
        <v>1</v>
      </c>
      <c r="K85" s="11"/>
      <c r="L85" s="11"/>
      <c r="M85" s="11">
        <f t="shared" si="16"/>
        <v>0</v>
      </c>
      <c r="N85" s="11"/>
      <c r="O85" s="11">
        <f t="shared" si="17"/>
        <v>0</v>
      </c>
      <c r="P85" s="11"/>
      <c r="Q85" s="11"/>
      <c r="R85" s="11"/>
      <c r="S85" s="11">
        <f t="shared" si="18"/>
        <v>0</v>
      </c>
      <c r="T85" s="11">
        <f t="shared" si="19"/>
        <v>1666.6666666666667</v>
      </c>
      <c r="U85" s="11">
        <f t="shared" si="20"/>
        <v>0</v>
      </c>
      <c r="V85" s="24">
        <f t="shared" si="21"/>
        <v>0</v>
      </c>
      <c r="W85" s="11">
        <f>IF(V85&lt;=40000,0,
IF(V85&lt;=55000,(V85-40000)*10%,
IF(V85&lt;=70000,(V85-55000)*15%+1500,
IF(V85&lt;=200000,(V85-70000)*20%+1500+2250,
IF(V85&lt;=400000,(V85-200000)*22.5%+1500+2250+26000,
IF(V85&lt;=600000,(V85-400000)*25%+1500+2250+26000+45000,
IF(AND(V85&gt;600000,V85&lt;=1200000),(V85-400000)*25%+1500+2250+26000+45000
+IFERROR(LOOKUP(V85,{600001;700001;800001;900001},{4000;6750;10250;15250}),0),IF(V85&gt;1200000,((V85-1200000)*27.5%)+300000,0)
)))))))</f>
        <v>0</v>
      </c>
      <c r="X85" s="12">
        <f t="shared" si="22"/>
        <v>0</v>
      </c>
      <c r="Y85" s="12">
        <f t="shared" si="23"/>
        <v>0</v>
      </c>
      <c r="Z85" s="11"/>
      <c r="AA85" s="13">
        <f t="shared" si="24"/>
        <v>0</v>
      </c>
      <c r="AB85" s="12">
        <f t="shared" si="25"/>
        <v>0</v>
      </c>
      <c r="AC85" s="14">
        <f t="shared" si="28"/>
        <v>0</v>
      </c>
      <c r="AE85" s="19">
        <f t="shared" si="26"/>
        <v>0</v>
      </c>
      <c r="AF85" s="19"/>
      <c r="AG85" s="17"/>
      <c r="AK85" s="7"/>
      <c r="AL85" s="108">
        <f t="shared" si="29"/>
        <v>0</v>
      </c>
      <c r="AM85" s="108">
        <f t="shared" si="30"/>
        <v>0</v>
      </c>
      <c r="AN85" s="113"/>
    </row>
    <row r="86" spans="2:40" x14ac:dyDescent="0.2">
      <c r="B86" s="7"/>
      <c r="C86" s="8"/>
      <c r="D86" s="8"/>
      <c r="E86" s="9"/>
      <c r="F86" s="6"/>
      <c r="G86" s="8"/>
      <c r="H86" s="32"/>
      <c r="I86" s="10" t="str">
        <f t="shared" si="27"/>
        <v>21</v>
      </c>
      <c r="J86" s="11">
        <v>1</v>
      </c>
      <c r="K86" s="11"/>
      <c r="L86" s="11"/>
      <c r="M86" s="11">
        <f t="shared" si="16"/>
        <v>0</v>
      </c>
      <c r="N86" s="11"/>
      <c r="O86" s="11">
        <f t="shared" si="17"/>
        <v>0</v>
      </c>
      <c r="P86" s="11"/>
      <c r="Q86" s="11"/>
      <c r="R86" s="11"/>
      <c r="S86" s="11">
        <f t="shared" si="18"/>
        <v>0</v>
      </c>
      <c r="T86" s="11">
        <f t="shared" si="19"/>
        <v>1666.6666666666667</v>
      </c>
      <c r="U86" s="11">
        <f t="shared" si="20"/>
        <v>0</v>
      </c>
      <c r="V86" s="24">
        <f t="shared" si="21"/>
        <v>0</v>
      </c>
      <c r="W86" s="11">
        <f>IF(V86&lt;=40000,0,
IF(V86&lt;=55000,(V86-40000)*10%,
IF(V86&lt;=70000,(V86-55000)*15%+1500,
IF(V86&lt;=200000,(V86-70000)*20%+1500+2250,
IF(V86&lt;=400000,(V86-200000)*22.5%+1500+2250+26000,
IF(V86&lt;=600000,(V86-400000)*25%+1500+2250+26000+45000,
IF(AND(V86&gt;600000,V86&lt;=1200000),(V86-400000)*25%+1500+2250+26000+45000
+IFERROR(LOOKUP(V86,{600001;700001;800001;900001},{4000;6750;10250;15250}),0),IF(V86&gt;1200000,((V86-1200000)*27.5%)+300000,0)
)))))))</f>
        <v>0</v>
      </c>
      <c r="X86" s="12">
        <f t="shared" si="22"/>
        <v>0</v>
      </c>
      <c r="Y86" s="12">
        <f t="shared" si="23"/>
        <v>0</v>
      </c>
      <c r="Z86" s="11"/>
      <c r="AA86" s="13">
        <f t="shared" si="24"/>
        <v>0</v>
      </c>
      <c r="AB86" s="12">
        <f t="shared" si="25"/>
        <v>0</v>
      </c>
      <c r="AC86" s="14">
        <f t="shared" si="28"/>
        <v>0</v>
      </c>
      <c r="AE86" s="19">
        <f t="shared" si="26"/>
        <v>0</v>
      </c>
      <c r="AF86" s="19"/>
      <c r="AG86" s="17"/>
      <c r="AK86" s="7"/>
      <c r="AL86" s="108">
        <f t="shared" si="29"/>
        <v>0</v>
      </c>
      <c r="AM86" s="108">
        <f t="shared" si="30"/>
        <v>0</v>
      </c>
      <c r="AN86" s="113"/>
    </row>
    <row r="87" spans="2:40" x14ac:dyDescent="0.2">
      <c r="B87" s="7"/>
      <c r="C87" s="8"/>
      <c r="D87" s="8"/>
      <c r="E87" s="9"/>
      <c r="F87" s="6"/>
      <c r="G87" s="8"/>
      <c r="H87" s="32"/>
      <c r="I87" s="10" t="str">
        <f t="shared" si="27"/>
        <v>21</v>
      </c>
      <c r="J87" s="11">
        <v>1</v>
      </c>
      <c r="K87" s="11"/>
      <c r="L87" s="11"/>
      <c r="M87" s="11">
        <f t="shared" si="16"/>
        <v>0</v>
      </c>
      <c r="N87" s="11"/>
      <c r="O87" s="11">
        <f t="shared" si="17"/>
        <v>0</v>
      </c>
      <c r="P87" s="11"/>
      <c r="Q87" s="11"/>
      <c r="R87" s="11"/>
      <c r="S87" s="11">
        <f t="shared" si="18"/>
        <v>0</v>
      </c>
      <c r="T87" s="11">
        <f t="shared" si="19"/>
        <v>1666.6666666666667</v>
      </c>
      <c r="U87" s="11">
        <f t="shared" si="20"/>
        <v>0</v>
      </c>
      <c r="V87" s="24">
        <f t="shared" si="21"/>
        <v>0</v>
      </c>
      <c r="W87" s="11">
        <f>IF(V87&lt;=40000,0,
IF(V87&lt;=55000,(V87-40000)*10%,
IF(V87&lt;=70000,(V87-55000)*15%+1500,
IF(V87&lt;=200000,(V87-70000)*20%+1500+2250,
IF(V87&lt;=400000,(V87-200000)*22.5%+1500+2250+26000,
IF(V87&lt;=600000,(V87-400000)*25%+1500+2250+26000+45000,
IF(AND(V87&gt;600000,V87&lt;=1200000),(V87-400000)*25%+1500+2250+26000+45000
+IFERROR(LOOKUP(V87,{600001;700001;800001;900001},{4000;6750;10250;15250}),0),IF(V87&gt;1200000,((V87-1200000)*27.5%)+300000,0)
)))))))</f>
        <v>0</v>
      </c>
      <c r="X87" s="12">
        <f t="shared" si="22"/>
        <v>0</v>
      </c>
      <c r="Y87" s="12">
        <f t="shared" si="23"/>
        <v>0</v>
      </c>
      <c r="Z87" s="11"/>
      <c r="AA87" s="13">
        <f t="shared" si="24"/>
        <v>0</v>
      </c>
      <c r="AB87" s="12">
        <f t="shared" si="25"/>
        <v>0</v>
      </c>
      <c r="AC87" s="14">
        <f t="shared" si="28"/>
        <v>0</v>
      </c>
      <c r="AE87" s="19">
        <f t="shared" si="26"/>
        <v>0</v>
      </c>
      <c r="AF87" s="19"/>
      <c r="AG87" s="17"/>
      <c r="AK87" s="7"/>
      <c r="AL87" s="108">
        <f t="shared" si="29"/>
        <v>0</v>
      </c>
      <c r="AM87" s="108">
        <f t="shared" si="30"/>
        <v>0</v>
      </c>
      <c r="AN87" s="113"/>
    </row>
    <row r="88" spans="2:40" x14ac:dyDescent="0.2">
      <c r="B88" s="7"/>
      <c r="C88" s="8"/>
      <c r="D88" s="8"/>
      <c r="E88" s="9"/>
      <c r="F88" s="6"/>
      <c r="G88" s="8"/>
      <c r="H88" s="32"/>
      <c r="I88" s="10" t="str">
        <f t="shared" si="27"/>
        <v>21</v>
      </c>
      <c r="J88" s="11">
        <v>1</v>
      </c>
      <c r="K88" s="11"/>
      <c r="L88" s="11"/>
      <c r="M88" s="11">
        <f t="shared" si="16"/>
        <v>0</v>
      </c>
      <c r="N88" s="11"/>
      <c r="O88" s="11">
        <f t="shared" si="17"/>
        <v>0</v>
      </c>
      <c r="P88" s="11"/>
      <c r="Q88" s="11"/>
      <c r="R88" s="11"/>
      <c r="S88" s="11">
        <f t="shared" si="18"/>
        <v>0</v>
      </c>
      <c r="T88" s="11">
        <f t="shared" si="19"/>
        <v>1666.6666666666667</v>
      </c>
      <c r="U88" s="11">
        <f t="shared" si="20"/>
        <v>0</v>
      </c>
      <c r="V88" s="24">
        <f t="shared" si="21"/>
        <v>0</v>
      </c>
      <c r="W88" s="11">
        <f>IF(V88&lt;=40000,0,
IF(V88&lt;=55000,(V88-40000)*10%,
IF(V88&lt;=70000,(V88-55000)*15%+1500,
IF(V88&lt;=200000,(V88-70000)*20%+1500+2250,
IF(V88&lt;=400000,(V88-200000)*22.5%+1500+2250+26000,
IF(V88&lt;=600000,(V88-400000)*25%+1500+2250+26000+45000,
IF(AND(V88&gt;600000,V88&lt;=1200000),(V88-400000)*25%+1500+2250+26000+45000
+IFERROR(LOOKUP(V88,{600001;700001;800001;900001},{4000;6750;10250;15250}),0),IF(V88&gt;1200000,((V88-1200000)*27.5%)+300000,0)
)))))))</f>
        <v>0</v>
      </c>
      <c r="X88" s="12">
        <f t="shared" si="22"/>
        <v>0</v>
      </c>
      <c r="Y88" s="12">
        <f t="shared" si="23"/>
        <v>0</v>
      </c>
      <c r="Z88" s="11"/>
      <c r="AA88" s="13">
        <f t="shared" si="24"/>
        <v>0</v>
      </c>
      <c r="AB88" s="12">
        <f t="shared" si="25"/>
        <v>0</v>
      </c>
      <c r="AC88" s="14">
        <f t="shared" si="28"/>
        <v>0</v>
      </c>
      <c r="AE88" s="19">
        <f t="shared" si="26"/>
        <v>0</v>
      </c>
      <c r="AF88" s="19"/>
      <c r="AG88" s="17"/>
      <c r="AK88" s="7"/>
      <c r="AL88" s="108">
        <f t="shared" si="29"/>
        <v>0</v>
      </c>
      <c r="AM88" s="108">
        <f t="shared" si="30"/>
        <v>0</v>
      </c>
      <c r="AN88" s="113"/>
    </row>
    <row r="89" spans="2:40" x14ac:dyDescent="0.2">
      <c r="B89" s="7"/>
      <c r="C89" s="8"/>
      <c r="D89" s="8"/>
      <c r="E89" s="9"/>
      <c r="F89" s="6"/>
      <c r="G89" s="8"/>
      <c r="H89" s="32"/>
      <c r="I89" s="10" t="str">
        <f t="shared" si="27"/>
        <v>21</v>
      </c>
      <c r="J89" s="11">
        <v>1</v>
      </c>
      <c r="K89" s="11"/>
      <c r="L89" s="11"/>
      <c r="M89" s="11">
        <f t="shared" si="16"/>
        <v>0</v>
      </c>
      <c r="N89" s="11"/>
      <c r="O89" s="11">
        <f t="shared" si="17"/>
        <v>0</v>
      </c>
      <c r="P89" s="11"/>
      <c r="Q89" s="11"/>
      <c r="R89" s="11"/>
      <c r="S89" s="11">
        <f t="shared" si="18"/>
        <v>0</v>
      </c>
      <c r="T89" s="11">
        <f t="shared" si="19"/>
        <v>1666.6666666666667</v>
      </c>
      <c r="U89" s="11">
        <f t="shared" si="20"/>
        <v>0</v>
      </c>
      <c r="V89" s="24">
        <f t="shared" si="21"/>
        <v>0</v>
      </c>
      <c r="W89" s="11">
        <f>IF(V89&lt;=40000,0,
IF(V89&lt;=55000,(V89-40000)*10%,
IF(V89&lt;=70000,(V89-55000)*15%+1500,
IF(V89&lt;=200000,(V89-70000)*20%+1500+2250,
IF(V89&lt;=400000,(V89-200000)*22.5%+1500+2250+26000,
IF(V89&lt;=600000,(V89-400000)*25%+1500+2250+26000+45000,
IF(AND(V89&gt;600000,V89&lt;=1200000),(V89-400000)*25%+1500+2250+26000+45000
+IFERROR(LOOKUP(V89,{600001;700001;800001;900001},{4000;6750;10250;15250}),0),IF(V89&gt;1200000,((V89-1200000)*27.5%)+300000,0)
)))))))</f>
        <v>0</v>
      </c>
      <c r="X89" s="12">
        <f t="shared" si="22"/>
        <v>0</v>
      </c>
      <c r="Y89" s="12">
        <f t="shared" si="23"/>
        <v>0</v>
      </c>
      <c r="Z89" s="11"/>
      <c r="AA89" s="13">
        <f t="shared" si="24"/>
        <v>0</v>
      </c>
      <c r="AB89" s="12">
        <f t="shared" si="25"/>
        <v>0</v>
      </c>
      <c r="AC89" s="14">
        <f t="shared" si="28"/>
        <v>0</v>
      </c>
      <c r="AE89" s="19">
        <f t="shared" si="26"/>
        <v>0</v>
      </c>
      <c r="AF89" s="19"/>
      <c r="AG89" s="17"/>
      <c r="AK89" s="7"/>
      <c r="AL89" s="108">
        <f t="shared" si="29"/>
        <v>0</v>
      </c>
      <c r="AM89" s="108">
        <f t="shared" si="30"/>
        <v>0</v>
      </c>
      <c r="AN89" s="113"/>
    </row>
    <row r="90" spans="2:40" x14ac:dyDescent="0.2">
      <c r="B90" s="7"/>
      <c r="C90" s="8"/>
      <c r="D90" s="8"/>
      <c r="E90" s="9"/>
      <c r="F90" s="6"/>
      <c r="G90" s="8"/>
      <c r="H90" s="32"/>
      <c r="I90" s="10" t="str">
        <f t="shared" si="27"/>
        <v>21</v>
      </c>
      <c r="J90" s="11">
        <v>1</v>
      </c>
      <c r="K90" s="11"/>
      <c r="L90" s="11"/>
      <c r="M90" s="11">
        <f t="shared" si="16"/>
        <v>0</v>
      </c>
      <c r="N90" s="11"/>
      <c r="O90" s="11">
        <f t="shared" si="17"/>
        <v>0</v>
      </c>
      <c r="P90" s="11"/>
      <c r="Q90" s="11"/>
      <c r="R90" s="11"/>
      <c r="S90" s="11">
        <f t="shared" si="18"/>
        <v>0</v>
      </c>
      <c r="T90" s="11">
        <f t="shared" si="19"/>
        <v>1666.6666666666667</v>
      </c>
      <c r="U90" s="11">
        <f t="shared" si="20"/>
        <v>0</v>
      </c>
      <c r="V90" s="24">
        <f t="shared" si="21"/>
        <v>0</v>
      </c>
      <c r="W90" s="11">
        <f>IF(V90&lt;=40000,0,
IF(V90&lt;=55000,(V90-40000)*10%,
IF(V90&lt;=70000,(V90-55000)*15%+1500,
IF(V90&lt;=200000,(V90-70000)*20%+1500+2250,
IF(V90&lt;=400000,(V90-200000)*22.5%+1500+2250+26000,
IF(V90&lt;=600000,(V90-400000)*25%+1500+2250+26000+45000,
IF(AND(V90&gt;600000,V90&lt;=1200000),(V90-400000)*25%+1500+2250+26000+45000
+IFERROR(LOOKUP(V90,{600001;700001;800001;900001},{4000;6750;10250;15250}),0),IF(V90&gt;1200000,((V90-1200000)*27.5%)+300000,0)
)))))))</f>
        <v>0</v>
      </c>
      <c r="X90" s="12">
        <f t="shared" si="22"/>
        <v>0</v>
      </c>
      <c r="Y90" s="12">
        <f t="shared" si="23"/>
        <v>0</v>
      </c>
      <c r="Z90" s="11"/>
      <c r="AA90" s="13">
        <f t="shared" si="24"/>
        <v>0</v>
      </c>
      <c r="AB90" s="12">
        <f t="shared" si="25"/>
        <v>0</v>
      </c>
      <c r="AC90" s="14">
        <f t="shared" si="28"/>
        <v>0</v>
      </c>
      <c r="AE90" s="19">
        <f t="shared" si="26"/>
        <v>0</v>
      </c>
      <c r="AF90" s="19"/>
      <c r="AG90" s="17"/>
      <c r="AK90" s="7"/>
      <c r="AL90" s="108">
        <f t="shared" si="29"/>
        <v>0</v>
      </c>
      <c r="AM90" s="108">
        <f t="shared" si="30"/>
        <v>0</v>
      </c>
      <c r="AN90" s="113"/>
    </row>
    <row r="91" spans="2:40" x14ac:dyDescent="0.2">
      <c r="B91" s="7"/>
      <c r="C91" s="8"/>
      <c r="D91" s="8"/>
      <c r="E91" s="9"/>
      <c r="F91" s="6"/>
      <c r="G91" s="8"/>
      <c r="H91" s="32"/>
      <c r="I91" s="10" t="str">
        <f t="shared" si="27"/>
        <v>21</v>
      </c>
      <c r="J91" s="11">
        <v>1</v>
      </c>
      <c r="K91" s="11"/>
      <c r="L91" s="11"/>
      <c r="M91" s="11">
        <f t="shared" si="16"/>
        <v>0</v>
      </c>
      <c r="N91" s="11"/>
      <c r="O91" s="11">
        <f t="shared" si="17"/>
        <v>0</v>
      </c>
      <c r="P91" s="11"/>
      <c r="Q91" s="11"/>
      <c r="R91" s="11"/>
      <c r="S91" s="11">
        <f t="shared" si="18"/>
        <v>0</v>
      </c>
      <c r="T91" s="11">
        <f t="shared" si="19"/>
        <v>1666.6666666666667</v>
      </c>
      <c r="U91" s="11">
        <f t="shared" si="20"/>
        <v>0</v>
      </c>
      <c r="V91" s="24">
        <f t="shared" si="21"/>
        <v>0</v>
      </c>
      <c r="W91" s="11">
        <f>IF(V91&lt;=40000,0,
IF(V91&lt;=55000,(V91-40000)*10%,
IF(V91&lt;=70000,(V91-55000)*15%+1500,
IF(V91&lt;=200000,(V91-70000)*20%+1500+2250,
IF(V91&lt;=400000,(V91-200000)*22.5%+1500+2250+26000,
IF(V91&lt;=600000,(V91-400000)*25%+1500+2250+26000+45000,
IF(AND(V91&gt;600000,V91&lt;=1200000),(V91-400000)*25%+1500+2250+26000+45000
+IFERROR(LOOKUP(V91,{600001;700001;800001;900001},{4000;6750;10250;15250}),0),IF(V91&gt;1200000,((V91-1200000)*27.5%)+300000,0)
)))))))</f>
        <v>0</v>
      </c>
      <c r="X91" s="12">
        <f t="shared" si="22"/>
        <v>0</v>
      </c>
      <c r="Y91" s="12">
        <f t="shared" si="23"/>
        <v>0</v>
      </c>
      <c r="Z91" s="11"/>
      <c r="AA91" s="13">
        <f t="shared" si="24"/>
        <v>0</v>
      </c>
      <c r="AB91" s="12">
        <f t="shared" si="25"/>
        <v>0</v>
      </c>
      <c r="AC91" s="14">
        <f t="shared" si="28"/>
        <v>0</v>
      </c>
      <c r="AE91" s="19">
        <f t="shared" si="26"/>
        <v>0</v>
      </c>
      <c r="AF91" s="19"/>
      <c r="AG91" s="17"/>
      <c r="AK91" s="7"/>
      <c r="AL91" s="108">
        <f t="shared" si="29"/>
        <v>0</v>
      </c>
      <c r="AM91" s="108">
        <f t="shared" si="30"/>
        <v>0</v>
      </c>
      <c r="AN91" s="113"/>
    </row>
    <row r="92" spans="2:40" x14ac:dyDescent="0.2">
      <c r="B92" s="7"/>
      <c r="C92" s="8"/>
      <c r="D92" s="8"/>
      <c r="E92" s="9"/>
      <c r="F92" s="6"/>
      <c r="G92" s="8"/>
      <c r="H92" s="32"/>
      <c r="I92" s="10" t="str">
        <f t="shared" si="27"/>
        <v>21</v>
      </c>
      <c r="J92" s="11">
        <v>1</v>
      </c>
      <c r="K92" s="11"/>
      <c r="L92" s="11"/>
      <c r="M92" s="11">
        <f t="shared" si="16"/>
        <v>0</v>
      </c>
      <c r="N92" s="11"/>
      <c r="O92" s="11">
        <f t="shared" si="17"/>
        <v>0</v>
      </c>
      <c r="P92" s="11"/>
      <c r="Q92" s="11"/>
      <c r="R92" s="11"/>
      <c r="S92" s="11">
        <f t="shared" si="18"/>
        <v>0</v>
      </c>
      <c r="T92" s="11">
        <f t="shared" si="19"/>
        <v>1666.6666666666667</v>
      </c>
      <c r="U92" s="11">
        <f t="shared" si="20"/>
        <v>0</v>
      </c>
      <c r="V92" s="24">
        <f t="shared" si="21"/>
        <v>0</v>
      </c>
      <c r="W92" s="11">
        <f>IF(V92&lt;=40000,0,
IF(V92&lt;=55000,(V92-40000)*10%,
IF(V92&lt;=70000,(V92-55000)*15%+1500,
IF(V92&lt;=200000,(V92-70000)*20%+1500+2250,
IF(V92&lt;=400000,(V92-200000)*22.5%+1500+2250+26000,
IF(V92&lt;=600000,(V92-400000)*25%+1500+2250+26000+45000,
IF(AND(V92&gt;600000,V92&lt;=1200000),(V92-400000)*25%+1500+2250+26000+45000
+IFERROR(LOOKUP(V92,{600001;700001;800001;900001},{4000;6750;10250;15250}),0),IF(V92&gt;1200000,((V92-1200000)*27.5%)+300000,0)
)))))))</f>
        <v>0</v>
      </c>
      <c r="X92" s="12">
        <f t="shared" si="22"/>
        <v>0</v>
      </c>
      <c r="Y92" s="12">
        <f t="shared" si="23"/>
        <v>0</v>
      </c>
      <c r="Z92" s="11"/>
      <c r="AA92" s="13">
        <f t="shared" si="24"/>
        <v>0</v>
      </c>
      <c r="AB92" s="12">
        <f t="shared" si="25"/>
        <v>0</v>
      </c>
      <c r="AC92" s="14">
        <f t="shared" si="28"/>
        <v>0</v>
      </c>
      <c r="AE92" s="19">
        <f t="shared" si="26"/>
        <v>0</v>
      </c>
      <c r="AF92" s="19"/>
      <c r="AG92" s="17"/>
      <c r="AK92" s="7"/>
      <c r="AL92" s="108">
        <f t="shared" si="29"/>
        <v>0</v>
      </c>
      <c r="AM92" s="108">
        <f t="shared" si="30"/>
        <v>0</v>
      </c>
      <c r="AN92" s="113"/>
    </row>
    <row r="93" spans="2:40" x14ac:dyDescent="0.2">
      <c r="B93" s="7"/>
      <c r="C93" s="8"/>
      <c r="D93" s="8"/>
      <c r="E93" s="9"/>
      <c r="F93" s="6"/>
      <c r="G93" s="8"/>
      <c r="H93" s="32"/>
      <c r="I93" s="10" t="str">
        <f t="shared" si="27"/>
        <v>21</v>
      </c>
      <c r="J93" s="11">
        <v>1</v>
      </c>
      <c r="K93" s="11"/>
      <c r="L93" s="11"/>
      <c r="M93" s="11">
        <f t="shared" ref="M93:M156" si="31">SUM(K93:L93)</f>
        <v>0</v>
      </c>
      <c r="N93" s="11"/>
      <c r="O93" s="11">
        <f t="shared" ref="O93:O156" si="32">+N93+M93</f>
        <v>0</v>
      </c>
      <c r="P93" s="11"/>
      <c r="Q93" s="11"/>
      <c r="R93" s="11"/>
      <c r="S93" s="11">
        <f t="shared" ref="S93:S156" si="33">O93-P93-Q93-R93</f>
        <v>0</v>
      </c>
      <c r="T93" s="11">
        <f t="shared" ref="T93:T156" si="34">IF(J93&gt;0,(20000/12*J93),0)</f>
        <v>1666.6666666666667</v>
      </c>
      <c r="U93" s="11">
        <f t="shared" ref="U93:U156" si="35">IF(AND(J93&gt;0,S93-T93&gt;0),S93-T93,0)</f>
        <v>0</v>
      </c>
      <c r="V93" s="24">
        <f t="shared" ref="V93:V156" si="36">IF(J93=0,0,(U93/J93*12))</f>
        <v>0</v>
      </c>
      <c r="W93" s="11">
        <f>IF(V93&lt;=40000,0,
IF(V93&lt;=55000,(V93-40000)*10%,
IF(V93&lt;=70000,(V93-55000)*15%+1500,
IF(V93&lt;=200000,(V93-70000)*20%+1500+2250,
IF(V93&lt;=400000,(V93-200000)*22.5%+1500+2250+26000,
IF(V93&lt;=600000,(V93-400000)*25%+1500+2250+26000+45000,
IF(AND(V93&gt;600000,V93&lt;=1200000),(V93-400000)*25%+1500+2250+26000+45000
+IFERROR(LOOKUP(V93,{600001;700001;800001;900001},{4000;6750;10250;15250}),0),IF(V93&gt;1200000,((V93-1200000)*27.5%)+300000,0)
)))))))</f>
        <v>0</v>
      </c>
      <c r="X93" s="12">
        <f t="shared" ref="X93:X156" si="37">N93*0.1</f>
        <v>0</v>
      </c>
      <c r="Y93" s="12">
        <f t="shared" ref="Y93:Y156" si="38">(W93/12*J93)-X93</f>
        <v>0</v>
      </c>
      <c r="Z93" s="11"/>
      <c r="AA93" s="13">
        <f t="shared" ref="AA93:AA156" si="39">+O93-P93-Y93-Z93</f>
        <v>0</v>
      </c>
      <c r="AB93" s="12">
        <f t="shared" ref="AB93:AB156" si="40">(P93/0.11)*18.75%</f>
        <v>0</v>
      </c>
      <c r="AC93" s="14">
        <f t="shared" si="28"/>
        <v>0</v>
      </c>
      <c r="AE93" s="19">
        <f t="shared" ref="AE93:AE156" si="41">+AD93-AC93</f>
        <v>0</v>
      </c>
      <c r="AF93" s="19"/>
      <c r="AG93" s="17"/>
      <c r="AK93" s="7"/>
      <c r="AL93" s="108">
        <f t="shared" si="29"/>
        <v>0</v>
      </c>
      <c r="AM93" s="108">
        <f t="shared" si="30"/>
        <v>0</v>
      </c>
      <c r="AN93" s="113"/>
    </row>
    <row r="94" spans="2:40" x14ac:dyDescent="0.2">
      <c r="B94" s="7"/>
      <c r="C94" s="8"/>
      <c r="D94" s="8"/>
      <c r="E94" s="9"/>
      <c r="F94" s="6"/>
      <c r="G94" s="8"/>
      <c r="H94" s="32"/>
      <c r="I94" s="10" t="str">
        <f t="shared" si="27"/>
        <v>21</v>
      </c>
      <c r="J94" s="11">
        <v>1</v>
      </c>
      <c r="K94" s="11"/>
      <c r="L94" s="11"/>
      <c r="M94" s="11">
        <f t="shared" si="31"/>
        <v>0</v>
      </c>
      <c r="N94" s="11"/>
      <c r="O94" s="11">
        <f t="shared" si="32"/>
        <v>0</v>
      </c>
      <c r="P94" s="11"/>
      <c r="Q94" s="11"/>
      <c r="R94" s="11"/>
      <c r="S94" s="11">
        <f t="shared" si="33"/>
        <v>0</v>
      </c>
      <c r="T94" s="11">
        <f t="shared" si="34"/>
        <v>1666.6666666666667</v>
      </c>
      <c r="U94" s="11">
        <f t="shared" si="35"/>
        <v>0</v>
      </c>
      <c r="V94" s="24">
        <f t="shared" si="36"/>
        <v>0</v>
      </c>
      <c r="W94" s="11">
        <f>IF(V94&lt;=40000,0,
IF(V94&lt;=55000,(V94-40000)*10%,
IF(V94&lt;=70000,(V94-55000)*15%+1500,
IF(V94&lt;=200000,(V94-70000)*20%+1500+2250,
IF(V94&lt;=400000,(V94-200000)*22.5%+1500+2250+26000,
IF(V94&lt;=600000,(V94-400000)*25%+1500+2250+26000+45000,
IF(AND(V94&gt;600000,V94&lt;=1200000),(V94-400000)*25%+1500+2250+26000+45000
+IFERROR(LOOKUP(V94,{600001;700001;800001;900001},{4000;6750;10250;15250}),0),IF(V94&gt;1200000,((V94-1200000)*27.5%)+300000,0)
)))))))</f>
        <v>0</v>
      </c>
      <c r="X94" s="12">
        <f t="shared" si="37"/>
        <v>0</v>
      </c>
      <c r="Y94" s="12">
        <f t="shared" si="38"/>
        <v>0</v>
      </c>
      <c r="Z94" s="11"/>
      <c r="AA94" s="13">
        <f t="shared" si="39"/>
        <v>0</v>
      </c>
      <c r="AB94" s="12">
        <f t="shared" si="40"/>
        <v>0</v>
      </c>
      <c r="AC94" s="14">
        <f t="shared" si="28"/>
        <v>0</v>
      </c>
      <c r="AE94" s="19">
        <f t="shared" si="41"/>
        <v>0</v>
      </c>
      <c r="AF94" s="19"/>
      <c r="AG94" s="17"/>
      <c r="AK94" s="7"/>
      <c r="AL94" s="108">
        <f t="shared" si="29"/>
        <v>0</v>
      </c>
      <c r="AM94" s="108">
        <f t="shared" si="30"/>
        <v>0</v>
      </c>
      <c r="AN94" s="113"/>
    </row>
    <row r="95" spans="2:40" x14ac:dyDescent="0.2">
      <c r="B95" s="7"/>
      <c r="C95" s="8"/>
      <c r="D95" s="8"/>
      <c r="E95" s="9"/>
      <c r="F95" s="6"/>
      <c r="G95" s="8"/>
      <c r="H95" s="32"/>
      <c r="I95" s="10" t="str">
        <f t="shared" si="27"/>
        <v>21</v>
      </c>
      <c r="J95" s="11">
        <v>1</v>
      </c>
      <c r="K95" s="11"/>
      <c r="L95" s="11"/>
      <c r="M95" s="11">
        <f t="shared" si="31"/>
        <v>0</v>
      </c>
      <c r="N95" s="11"/>
      <c r="O95" s="11">
        <f t="shared" si="32"/>
        <v>0</v>
      </c>
      <c r="P95" s="11"/>
      <c r="Q95" s="11"/>
      <c r="R95" s="11"/>
      <c r="S95" s="11">
        <f t="shared" si="33"/>
        <v>0</v>
      </c>
      <c r="T95" s="11">
        <f t="shared" si="34"/>
        <v>1666.6666666666667</v>
      </c>
      <c r="U95" s="11">
        <f t="shared" si="35"/>
        <v>0</v>
      </c>
      <c r="V95" s="24">
        <f t="shared" si="36"/>
        <v>0</v>
      </c>
      <c r="W95" s="11">
        <f>IF(V95&lt;=40000,0,
IF(V95&lt;=55000,(V95-40000)*10%,
IF(V95&lt;=70000,(V95-55000)*15%+1500,
IF(V95&lt;=200000,(V95-70000)*20%+1500+2250,
IF(V95&lt;=400000,(V95-200000)*22.5%+1500+2250+26000,
IF(V95&lt;=600000,(V95-400000)*25%+1500+2250+26000+45000,
IF(AND(V95&gt;600000,V95&lt;=1200000),(V95-400000)*25%+1500+2250+26000+45000
+IFERROR(LOOKUP(V95,{600001;700001;800001;900001},{4000;6750;10250;15250}),0),IF(V95&gt;1200000,((V95-1200000)*27.5%)+300000,0)
)))))))</f>
        <v>0</v>
      </c>
      <c r="X95" s="12">
        <f t="shared" si="37"/>
        <v>0</v>
      </c>
      <c r="Y95" s="12">
        <f t="shared" si="38"/>
        <v>0</v>
      </c>
      <c r="Z95" s="11"/>
      <c r="AA95" s="13">
        <f t="shared" si="39"/>
        <v>0</v>
      </c>
      <c r="AB95" s="12">
        <f t="shared" si="40"/>
        <v>0</v>
      </c>
      <c r="AC95" s="14">
        <f t="shared" si="28"/>
        <v>0</v>
      </c>
      <c r="AE95" s="19">
        <f t="shared" si="41"/>
        <v>0</v>
      </c>
      <c r="AF95" s="19"/>
      <c r="AG95" s="17"/>
      <c r="AK95" s="7"/>
      <c r="AL95" s="108">
        <f t="shared" si="29"/>
        <v>0</v>
      </c>
      <c r="AM95" s="108">
        <f t="shared" si="30"/>
        <v>0</v>
      </c>
      <c r="AN95" s="113"/>
    </row>
    <row r="96" spans="2:40" x14ac:dyDescent="0.2">
      <c r="B96" s="7"/>
      <c r="C96" s="8"/>
      <c r="D96" s="8"/>
      <c r="E96" s="9"/>
      <c r="F96" s="6"/>
      <c r="G96" s="8"/>
      <c r="H96" s="32"/>
      <c r="I96" s="10" t="str">
        <f t="shared" si="27"/>
        <v>21</v>
      </c>
      <c r="J96" s="11">
        <v>1</v>
      </c>
      <c r="K96" s="11"/>
      <c r="L96" s="11"/>
      <c r="M96" s="11">
        <f t="shared" si="31"/>
        <v>0</v>
      </c>
      <c r="N96" s="11"/>
      <c r="O96" s="11">
        <f t="shared" si="32"/>
        <v>0</v>
      </c>
      <c r="P96" s="11"/>
      <c r="Q96" s="11"/>
      <c r="R96" s="11"/>
      <c r="S96" s="11">
        <f t="shared" si="33"/>
        <v>0</v>
      </c>
      <c r="T96" s="11">
        <f t="shared" si="34"/>
        <v>1666.6666666666667</v>
      </c>
      <c r="U96" s="11">
        <f t="shared" si="35"/>
        <v>0</v>
      </c>
      <c r="V96" s="24">
        <f t="shared" si="36"/>
        <v>0</v>
      </c>
      <c r="W96" s="11">
        <f>IF(V96&lt;=40000,0,
IF(V96&lt;=55000,(V96-40000)*10%,
IF(V96&lt;=70000,(V96-55000)*15%+1500,
IF(V96&lt;=200000,(V96-70000)*20%+1500+2250,
IF(V96&lt;=400000,(V96-200000)*22.5%+1500+2250+26000,
IF(V96&lt;=600000,(V96-400000)*25%+1500+2250+26000+45000,
IF(AND(V96&gt;600000,V96&lt;=1200000),(V96-400000)*25%+1500+2250+26000+45000
+IFERROR(LOOKUP(V96,{600001;700001;800001;900001},{4000;6750;10250;15250}),0),IF(V96&gt;1200000,((V96-1200000)*27.5%)+300000,0)
)))))))</f>
        <v>0</v>
      </c>
      <c r="X96" s="12">
        <f t="shared" si="37"/>
        <v>0</v>
      </c>
      <c r="Y96" s="12">
        <f t="shared" si="38"/>
        <v>0</v>
      </c>
      <c r="Z96" s="11"/>
      <c r="AA96" s="13">
        <f t="shared" si="39"/>
        <v>0</v>
      </c>
      <c r="AB96" s="12">
        <f t="shared" si="40"/>
        <v>0</v>
      </c>
      <c r="AC96" s="14">
        <f t="shared" si="28"/>
        <v>0</v>
      </c>
      <c r="AE96" s="19">
        <f t="shared" si="41"/>
        <v>0</v>
      </c>
      <c r="AF96" s="19"/>
      <c r="AG96" s="17"/>
      <c r="AK96" s="7"/>
      <c r="AL96" s="108">
        <f t="shared" si="29"/>
        <v>0</v>
      </c>
      <c r="AM96" s="108">
        <f t="shared" si="30"/>
        <v>0</v>
      </c>
      <c r="AN96" s="113"/>
    </row>
    <row r="97" spans="2:40" x14ac:dyDescent="0.2">
      <c r="B97" s="7"/>
      <c r="C97" s="8"/>
      <c r="D97" s="8"/>
      <c r="E97" s="9"/>
      <c r="F97" s="6"/>
      <c r="G97" s="8"/>
      <c r="H97" s="32"/>
      <c r="I97" s="10" t="str">
        <f t="shared" si="27"/>
        <v>21</v>
      </c>
      <c r="J97" s="11">
        <v>1</v>
      </c>
      <c r="K97" s="11"/>
      <c r="L97" s="11"/>
      <c r="M97" s="11">
        <f t="shared" si="31"/>
        <v>0</v>
      </c>
      <c r="N97" s="11"/>
      <c r="O97" s="11">
        <f t="shared" si="32"/>
        <v>0</v>
      </c>
      <c r="P97" s="11"/>
      <c r="Q97" s="11"/>
      <c r="R97" s="11"/>
      <c r="S97" s="11">
        <f t="shared" si="33"/>
        <v>0</v>
      </c>
      <c r="T97" s="11">
        <f t="shared" si="34"/>
        <v>1666.6666666666667</v>
      </c>
      <c r="U97" s="11">
        <f t="shared" si="35"/>
        <v>0</v>
      </c>
      <c r="V97" s="24">
        <f t="shared" si="36"/>
        <v>0</v>
      </c>
      <c r="W97" s="11">
        <f>IF(V97&lt;=40000,0,
IF(V97&lt;=55000,(V97-40000)*10%,
IF(V97&lt;=70000,(V97-55000)*15%+1500,
IF(V97&lt;=200000,(V97-70000)*20%+1500+2250,
IF(V97&lt;=400000,(V97-200000)*22.5%+1500+2250+26000,
IF(V97&lt;=600000,(V97-400000)*25%+1500+2250+26000+45000,
IF(AND(V97&gt;600000,V97&lt;=1200000),(V97-400000)*25%+1500+2250+26000+45000
+IFERROR(LOOKUP(V97,{600001;700001;800001;900001},{4000;6750;10250;15250}),0),IF(V97&gt;1200000,((V97-1200000)*27.5%)+300000,0)
)))))))</f>
        <v>0</v>
      </c>
      <c r="X97" s="12">
        <f t="shared" si="37"/>
        <v>0</v>
      </c>
      <c r="Y97" s="12">
        <f t="shared" si="38"/>
        <v>0</v>
      </c>
      <c r="Z97" s="11"/>
      <c r="AA97" s="13">
        <f t="shared" si="39"/>
        <v>0</v>
      </c>
      <c r="AB97" s="12">
        <f t="shared" si="40"/>
        <v>0</v>
      </c>
      <c r="AC97" s="14">
        <f t="shared" si="28"/>
        <v>0</v>
      </c>
      <c r="AE97" s="19">
        <f t="shared" si="41"/>
        <v>0</v>
      </c>
      <c r="AF97" s="19"/>
      <c r="AG97" s="17"/>
      <c r="AK97" s="7"/>
      <c r="AL97" s="108">
        <f t="shared" si="29"/>
        <v>0</v>
      </c>
      <c r="AM97" s="108">
        <f t="shared" si="30"/>
        <v>0</v>
      </c>
      <c r="AN97" s="113"/>
    </row>
    <row r="98" spans="2:40" x14ac:dyDescent="0.2">
      <c r="B98" s="7"/>
      <c r="C98" s="8"/>
      <c r="D98" s="8"/>
      <c r="E98" s="9"/>
      <c r="F98" s="6"/>
      <c r="G98" s="8"/>
      <c r="H98" s="32"/>
      <c r="I98" s="10" t="str">
        <f t="shared" si="27"/>
        <v>21</v>
      </c>
      <c r="J98" s="11">
        <v>1</v>
      </c>
      <c r="K98" s="11"/>
      <c r="L98" s="11"/>
      <c r="M98" s="11">
        <f t="shared" si="31"/>
        <v>0</v>
      </c>
      <c r="N98" s="11"/>
      <c r="O98" s="11">
        <f t="shared" si="32"/>
        <v>0</v>
      </c>
      <c r="P98" s="11"/>
      <c r="Q98" s="11"/>
      <c r="R98" s="11"/>
      <c r="S98" s="11">
        <f t="shared" si="33"/>
        <v>0</v>
      </c>
      <c r="T98" s="11">
        <f t="shared" si="34"/>
        <v>1666.6666666666667</v>
      </c>
      <c r="U98" s="11">
        <f t="shared" si="35"/>
        <v>0</v>
      </c>
      <c r="V98" s="24">
        <f t="shared" si="36"/>
        <v>0</v>
      </c>
      <c r="W98" s="11">
        <f>IF(V98&lt;=40000,0,
IF(V98&lt;=55000,(V98-40000)*10%,
IF(V98&lt;=70000,(V98-55000)*15%+1500,
IF(V98&lt;=200000,(V98-70000)*20%+1500+2250,
IF(V98&lt;=400000,(V98-200000)*22.5%+1500+2250+26000,
IF(V98&lt;=600000,(V98-400000)*25%+1500+2250+26000+45000,
IF(AND(V98&gt;600000,V98&lt;=1200000),(V98-400000)*25%+1500+2250+26000+45000
+IFERROR(LOOKUP(V98,{600001;700001;800001;900001},{4000;6750;10250;15250}),0),IF(V98&gt;1200000,((V98-1200000)*27.5%)+300000,0)
)))))))</f>
        <v>0</v>
      </c>
      <c r="X98" s="12">
        <f t="shared" si="37"/>
        <v>0</v>
      </c>
      <c r="Y98" s="12">
        <f t="shared" si="38"/>
        <v>0</v>
      </c>
      <c r="Z98" s="11"/>
      <c r="AA98" s="13">
        <f t="shared" si="39"/>
        <v>0</v>
      </c>
      <c r="AB98" s="12">
        <f t="shared" si="40"/>
        <v>0</v>
      </c>
      <c r="AC98" s="14">
        <f t="shared" si="28"/>
        <v>0</v>
      </c>
      <c r="AE98" s="19">
        <f t="shared" si="41"/>
        <v>0</v>
      </c>
      <c r="AF98" s="19"/>
      <c r="AG98" s="17"/>
      <c r="AK98" s="7"/>
      <c r="AL98" s="108">
        <f t="shared" si="29"/>
        <v>0</v>
      </c>
      <c r="AM98" s="108">
        <f t="shared" si="30"/>
        <v>0</v>
      </c>
      <c r="AN98" s="113"/>
    </row>
    <row r="99" spans="2:40" x14ac:dyDescent="0.2">
      <c r="B99" s="7"/>
      <c r="C99" s="8"/>
      <c r="D99" s="8"/>
      <c r="E99" s="9"/>
      <c r="F99" s="6"/>
      <c r="G99" s="8"/>
      <c r="H99" s="32"/>
      <c r="I99" s="10" t="str">
        <f t="shared" si="27"/>
        <v>21</v>
      </c>
      <c r="J99" s="11">
        <v>1</v>
      </c>
      <c r="K99" s="11"/>
      <c r="L99" s="11"/>
      <c r="M99" s="11">
        <f t="shared" si="31"/>
        <v>0</v>
      </c>
      <c r="N99" s="11"/>
      <c r="O99" s="11">
        <f t="shared" si="32"/>
        <v>0</v>
      </c>
      <c r="P99" s="11"/>
      <c r="Q99" s="11"/>
      <c r="R99" s="11"/>
      <c r="S99" s="11">
        <f t="shared" si="33"/>
        <v>0</v>
      </c>
      <c r="T99" s="11">
        <f t="shared" si="34"/>
        <v>1666.6666666666667</v>
      </c>
      <c r="U99" s="11">
        <f t="shared" si="35"/>
        <v>0</v>
      </c>
      <c r="V99" s="24">
        <f t="shared" si="36"/>
        <v>0</v>
      </c>
      <c r="W99" s="11">
        <f>IF(V99&lt;=40000,0,
IF(V99&lt;=55000,(V99-40000)*10%,
IF(V99&lt;=70000,(V99-55000)*15%+1500,
IF(V99&lt;=200000,(V99-70000)*20%+1500+2250,
IF(V99&lt;=400000,(V99-200000)*22.5%+1500+2250+26000,
IF(V99&lt;=600000,(V99-400000)*25%+1500+2250+26000+45000,
IF(AND(V99&gt;600000,V99&lt;=1200000),(V99-400000)*25%+1500+2250+26000+45000
+IFERROR(LOOKUP(V99,{600001;700001;800001;900001},{4000;6750;10250;15250}),0),IF(V99&gt;1200000,((V99-1200000)*27.5%)+300000,0)
)))))))</f>
        <v>0</v>
      </c>
      <c r="X99" s="12">
        <f t="shared" si="37"/>
        <v>0</v>
      </c>
      <c r="Y99" s="12">
        <f t="shared" si="38"/>
        <v>0</v>
      </c>
      <c r="Z99" s="11"/>
      <c r="AA99" s="13">
        <f t="shared" si="39"/>
        <v>0</v>
      </c>
      <c r="AB99" s="12">
        <f t="shared" si="40"/>
        <v>0</v>
      </c>
      <c r="AC99" s="14">
        <f t="shared" si="28"/>
        <v>0</v>
      </c>
      <c r="AE99" s="19">
        <f t="shared" si="41"/>
        <v>0</v>
      </c>
      <c r="AF99" s="19"/>
      <c r="AG99" s="17"/>
      <c r="AK99" s="7"/>
      <c r="AL99" s="108">
        <f t="shared" si="29"/>
        <v>0</v>
      </c>
      <c r="AM99" s="108">
        <f t="shared" si="30"/>
        <v>0</v>
      </c>
      <c r="AN99" s="113"/>
    </row>
    <row r="100" spans="2:40" x14ac:dyDescent="0.2">
      <c r="B100" s="7"/>
      <c r="C100" s="8"/>
      <c r="D100" s="8"/>
      <c r="E100" s="9"/>
      <c r="F100" s="6"/>
      <c r="G100" s="8"/>
      <c r="H100" s="32"/>
      <c r="I100" s="10" t="str">
        <f t="shared" si="27"/>
        <v>21</v>
      </c>
      <c r="J100" s="11">
        <v>1</v>
      </c>
      <c r="K100" s="11"/>
      <c r="L100" s="11"/>
      <c r="M100" s="11">
        <f t="shared" si="31"/>
        <v>0</v>
      </c>
      <c r="N100" s="11"/>
      <c r="O100" s="11">
        <f t="shared" si="32"/>
        <v>0</v>
      </c>
      <c r="P100" s="11"/>
      <c r="Q100" s="11"/>
      <c r="R100" s="11"/>
      <c r="S100" s="11">
        <f t="shared" si="33"/>
        <v>0</v>
      </c>
      <c r="T100" s="11">
        <f t="shared" si="34"/>
        <v>1666.6666666666667</v>
      </c>
      <c r="U100" s="11">
        <f t="shared" si="35"/>
        <v>0</v>
      </c>
      <c r="V100" s="24">
        <f t="shared" si="36"/>
        <v>0</v>
      </c>
      <c r="W100" s="11">
        <f>IF(V100&lt;=40000,0,
IF(V100&lt;=55000,(V100-40000)*10%,
IF(V100&lt;=70000,(V100-55000)*15%+1500,
IF(V100&lt;=200000,(V100-70000)*20%+1500+2250,
IF(V100&lt;=400000,(V100-200000)*22.5%+1500+2250+26000,
IF(V100&lt;=600000,(V100-400000)*25%+1500+2250+26000+45000,
IF(AND(V100&gt;600000,V100&lt;=1200000),(V100-400000)*25%+1500+2250+26000+45000
+IFERROR(LOOKUP(V100,{600001;700001;800001;900001},{4000;6750;10250;15250}),0),IF(V100&gt;1200000,((V100-1200000)*27.5%)+300000,0)
)))))))</f>
        <v>0</v>
      </c>
      <c r="X100" s="12">
        <f t="shared" si="37"/>
        <v>0</v>
      </c>
      <c r="Y100" s="12">
        <f t="shared" si="38"/>
        <v>0</v>
      </c>
      <c r="Z100" s="11"/>
      <c r="AA100" s="13">
        <f t="shared" si="39"/>
        <v>0</v>
      </c>
      <c r="AB100" s="12">
        <f t="shared" si="40"/>
        <v>0</v>
      </c>
      <c r="AC100" s="14">
        <f t="shared" si="28"/>
        <v>0</v>
      </c>
      <c r="AE100" s="19">
        <f t="shared" si="41"/>
        <v>0</v>
      </c>
      <c r="AF100" s="19"/>
      <c r="AG100" s="17"/>
      <c r="AK100" s="7"/>
      <c r="AL100" s="108">
        <f t="shared" si="29"/>
        <v>0</v>
      </c>
      <c r="AM100" s="108">
        <f t="shared" si="30"/>
        <v>0</v>
      </c>
      <c r="AN100" s="113"/>
    </row>
    <row r="101" spans="2:40" x14ac:dyDescent="0.2">
      <c r="B101" s="7"/>
      <c r="C101" s="8"/>
      <c r="D101" s="8"/>
      <c r="E101" s="9"/>
      <c r="F101" s="6"/>
      <c r="G101" s="8"/>
      <c r="H101" s="32"/>
      <c r="I101" s="10" t="str">
        <f t="shared" si="27"/>
        <v>21</v>
      </c>
      <c r="J101" s="11">
        <v>1</v>
      </c>
      <c r="K101" s="11"/>
      <c r="L101" s="11"/>
      <c r="M101" s="11">
        <f t="shared" si="31"/>
        <v>0</v>
      </c>
      <c r="N101" s="11"/>
      <c r="O101" s="11">
        <f t="shared" si="32"/>
        <v>0</v>
      </c>
      <c r="P101" s="11"/>
      <c r="Q101" s="11"/>
      <c r="R101" s="11"/>
      <c r="S101" s="11">
        <f t="shared" si="33"/>
        <v>0</v>
      </c>
      <c r="T101" s="11">
        <f t="shared" si="34"/>
        <v>1666.6666666666667</v>
      </c>
      <c r="U101" s="11">
        <f t="shared" si="35"/>
        <v>0</v>
      </c>
      <c r="V101" s="24">
        <f t="shared" si="36"/>
        <v>0</v>
      </c>
      <c r="W101" s="11">
        <f>IF(V101&lt;=40000,0,
IF(V101&lt;=55000,(V101-40000)*10%,
IF(V101&lt;=70000,(V101-55000)*15%+1500,
IF(V101&lt;=200000,(V101-70000)*20%+1500+2250,
IF(V101&lt;=400000,(V101-200000)*22.5%+1500+2250+26000,
IF(V101&lt;=600000,(V101-400000)*25%+1500+2250+26000+45000,
IF(AND(V101&gt;600000,V101&lt;=1200000),(V101-400000)*25%+1500+2250+26000+45000
+IFERROR(LOOKUP(V101,{600001;700001;800001;900001},{4000;6750;10250;15250}),0),IF(V101&gt;1200000,((V101-1200000)*27.5%)+300000,0)
)))))))</f>
        <v>0</v>
      </c>
      <c r="X101" s="12">
        <f t="shared" si="37"/>
        <v>0</v>
      </c>
      <c r="Y101" s="12">
        <f t="shared" si="38"/>
        <v>0</v>
      </c>
      <c r="Z101" s="11"/>
      <c r="AA101" s="13">
        <f t="shared" si="39"/>
        <v>0</v>
      </c>
      <c r="AB101" s="12">
        <f t="shared" si="40"/>
        <v>0</v>
      </c>
      <c r="AC101" s="14">
        <f t="shared" si="28"/>
        <v>0</v>
      </c>
      <c r="AE101" s="19">
        <f t="shared" si="41"/>
        <v>0</v>
      </c>
      <c r="AF101" s="19"/>
      <c r="AG101" s="17"/>
      <c r="AK101" s="7"/>
      <c r="AL101" s="108">
        <f t="shared" si="29"/>
        <v>0</v>
      </c>
      <c r="AM101" s="108">
        <f t="shared" si="30"/>
        <v>0</v>
      </c>
      <c r="AN101" s="113"/>
    </row>
    <row r="102" spans="2:40" x14ac:dyDescent="0.2">
      <c r="B102" s="7"/>
      <c r="C102" s="8"/>
      <c r="D102" s="8"/>
      <c r="E102" s="9"/>
      <c r="F102" s="6"/>
      <c r="G102" s="8"/>
      <c r="H102" s="32"/>
      <c r="I102" s="10" t="str">
        <f t="shared" si="27"/>
        <v>21</v>
      </c>
      <c r="J102" s="11">
        <v>1</v>
      </c>
      <c r="K102" s="11"/>
      <c r="L102" s="11"/>
      <c r="M102" s="11">
        <f t="shared" si="31"/>
        <v>0</v>
      </c>
      <c r="N102" s="11"/>
      <c r="O102" s="11">
        <f t="shared" si="32"/>
        <v>0</v>
      </c>
      <c r="P102" s="11"/>
      <c r="Q102" s="11"/>
      <c r="R102" s="11"/>
      <c r="S102" s="11">
        <f t="shared" si="33"/>
        <v>0</v>
      </c>
      <c r="T102" s="11">
        <f t="shared" si="34"/>
        <v>1666.6666666666667</v>
      </c>
      <c r="U102" s="11">
        <f t="shared" si="35"/>
        <v>0</v>
      </c>
      <c r="V102" s="24">
        <f t="shared" si="36"/>
        <v>0</v>
      </c>
      <c r="W102" s="11">
        <f>IF(V102&lt;=40000,0,
IF(V102&lt;=55000,(V102-40000)*10%,
IF(V102&lt;=70000,(V102-55000)*15%+1500,
IF(V102&lt;=200000,(V102-70000)*20%+1500+2250,
IF(V102&lt;=400000,(V102-200000)*22.5%+1500+2250+26000,
IF(V102&lt;=600000,(V102-400000)*25%+1500+2250+26000+45000,
IF(AND(V102&gt;600000,V102&lt;=1200000),(V102-400000)*25%+1500+2250+26000+45000
+IFERROR(LOOKUP(V102,{600001;700001;800001;900001},{4000;6750;10250;15250}),0),IF(V102&gt;1200000,((V102-1200000)*27.5%)+300000,0)
)))))))</f>
        <v>0</v>
      </c>
      <c r="X102" s="12">
        <f t="shared" si="37"/>
        <v>0</v>
      </c>
      <c r="Y102" s="12">
        <f t="shared" si="38"/>
        <v>0</v>
      </c>
      <c r="Z102" s="11"/>
      <c r="AA102" s="13">
        <f t="shared" si="39"/>
        <v>0</v>
      </c>
      <c r="AB102" s="12">
        <f t="shared" si="40"/>
        <v>0</v>
      </c>
      <c r="AC102" s="14">
        <f t="shared" si="28"/>
        <v>0</v>
      </c>
      <c r="AE102" s="19">
        <f t="shared" si="41"/>
        <v>0</v>
      </c>
      <c r="AF102" s="19"/>
      <c r="AG102" s="17"/>
      <c r="AK102" s="7"/>
      <c r="AL102" s="108">
        <f t="shared" si="29"/>
        <v>0</v>
      </c>
      <c r="AM102" s="108">
        <f t="shared" si="30"/>
        <v>0</v>
      </c>
      <c r="AN102" s="113"/>
    </row>
    <row r="103" spans="2:40" x14ac:dyDescent="0.2">
      <c r="B103" s="7"/>
      <c r="C103" s="8"/>
      <c r="D103" s="8"/>
      <c r="E103" s="9"/>
      <c r="F103" s="6"/>
      <c r="G103" s="8"/>
      <c r="H103" s="32"/>
      <c r="I103" s="10" t="str">
        <f t="shared" si="27"/>
        <v>21</v>
      </c>
      <c r="J103" s="11">
        <v>1</v>
      </c>
      <c r="K103" s="11"/>
      <c r="L103" s="11"/>
      <c r="M103" s="11">
        <f t="shared" si="31"/>
        <v>0</v>
      </c>
      <c r="N103" s="11"/>
      <c r="O103" s="11">
        <f t="shared" si="32"/>
        <v>0</v>
      </c>
      <c r="P103" s="11"/>
      <c r="Q103" s="11"/>
      <c r="R103" s="11"/>
      <c r="S103" s="11">
        <f t="shared" si="33"/>
        <v>0</v>
      </c>
      <c r="T103" s="11">
        <f t="shared" si="34"/>
        <v>1666.6666666666667</v>
      </c>
      <c r="U103" s="11">
        <f t="shared" si="35"/>
        <v>0</v>
      </c>
      <c r="V103" s="24">
        <f t="shared" si="36"/>
        <v>0</v>
      </c>
      <c r="W103" s="11">
        <f>IF(V103&lt;=40000,0,
IF(V103&lt;=55000,(V103-40000)*10%,
IF(V103&lt;=70000,(V103-55000)*15%+1500,
IF(V103&lt;=200000,(V103-70000)*20%+1500+2250,
IF(V103&lt;=400000,(V103-200000)*22.5%+1500+2250+26000,
IF(V103&lt;=600000,(V103-400000)*25%+1500+2250+26000+45000,
IF(AND(V103&gt;600000,V103&lt;=1200000),(V103-400000)*25%+1500+2250+26000+45000
+IFERROR(LOOKUP(V103,{600001;700001;800001;900001},{4000;6750;10250;15250}),0),IF(V103&gt;1200000,((V103-1200000)*27.5%)+300000,0)
)))))))</f>
        <v>0</v>
      </c>
      <c r="X103" s="12">
        <f t="shared" si="37"/>
        <v>0</v>
      </c>
      <c r="Y103" s="12">
        <f t="shared" si="38"/>
        <v>0</v>
      </c>
      <c r="Z103" s="11"/>
      <c r="AA103" s="13">
        <f t="shared" si="39"/>
        <v>0</v>
      </c>
      <c r="AB103" s="12">
        <f t="shared" si="40"/>
        <v>0</v>
      </c>
      <c r="AC103" s="14">
        <f t="shared" si="28"/>
        <v>0</v>
      </c>
      <c r="AE103" s="19">
        <f t="shared" si="41"/>
        <v>0</v>
      </c>
      <c r="AF103" s="19"/>
      <c r="AG103" s="17"/>
      <c r="AK103" s="7"/>
      <c r="AL103" s="108">
        <f t="shared" si="29"/>
        <v>0</v>
      </c>
      <c r="AM103" s="108">
        <f t="shared" si="30"/>
        <v>0</v>
      </c>
      <c r="AN103" s="113"/>
    </row>
    <row r="104" spans="2:40" x14ac:dyDescent="0.2">
      <c r="B104" s="7"/>
      <c r="C104" s="8"/>
      <c r="D104" s="8"/>
      <c r="E104" s="9"/>
      <c r="F104" s="6"/>
      <c r="G104" s="8"/>
      <c r="H104" s="32"/>
      <c r="I104" s="10" t="str">
        <f t="shared" si="27"/>
        <v>21</v>
      </c>
      <c r="J104" s="11">
        <v>1</v>
      </c>
      <c r="K104" s="11"/>
      <c r="L104" s="11"/>
      <c r="M104" s="11">
        <f t="shared" si="31"/>
        <v>0</v>
      </c>
      <c r="N104" s="11"/>
      <c r="O104" s="11">
        <f t="shared" si="32"/>
        <v>0</v>
      </c>
      <c r="P104" s="11"/>
      <c r="Q104" s="11"/>
      <c r="R104" s="11"/>
      <c r="S104" s="11">
        <f t="shared" si="33"/>
        <v>0</v>
      </c>
      <c r="T104" s="11">
        <f t="shared" si="34"/>
        <v>1666.6666666666667</v>
      </c>
      <c r="U104" s="11">
        <f t="shared" si="35"/>
        <v>0</v>
      </c>
      <c r="V104" s="24">
        <f t="shared" si="36"/>
        <v>0</v>
      </c>
      <c r="W104" s="11">
        <f>IF(V104&lt;=40000,0,
IF(V104&lt;=55000,(V104-40000)*10%,
IF(V104&lt;=70000,(V104-55000)*15%+1500,
IF(V104&lt;=200000,(V104-70000)*20%+1500+2250,
IF(V104&lt;=400000,(V104-200000)*22.5%+1500+2250+26000,
IF(V104&lt;=600000,(V104-400000)*25%+1500+2250+26000+45000,
IF(AND(V104&gt;600000,V104&lt;=1200000),(V104-400000)*25%+1500+2250+26000+45000
+IFERROR(LOOKUP(V104,{600001;700001;800001;900001},{4000;6750;10250;15250}),0),IF(V104&gt;1200000,((V104-1200000)*27.5%)+300000,0)
)))))))</f>
        <v>0</v>
      </c>
      <c r="X104" s="12">
        <f t="shared" si="37"/>
        <v>0</v>
      </c>
      <c r="Y104" s="12">
        <f t="shared" si="38"/>
        <v>0</v>
      </c>
      <c r="Z104" s="11"/>
      <c r="AA104" s="13">
        <f t="shared" si="39"/>
        <v>0</v>
      </c>
      <c r="AB104" s="12">
        <f t="shared" si="40"/>
        <v>0</v>
      </c>
      <c r="AC104" s="14">
        <f t="shared" si="28"/>
        <v>0</v>
      </c>
      <c r="AE104" s="19">
        <f t="shared" si="41"/>
        <v>0</v>
      </c>
      <c r="AF104" s="19"/>
      <c r="AG104" s="17"/>
      <c r="AK104" s="7"/>
      <c r="AL104" s="108">
        <f t="shared" si="29"/>
        <v>0</v>
      </c>
      <c r="AM104" s="108">
        <f t="shared" si="30"/>
        <v>0</v>
      </c>
      <c r="AN104" s="113"/>
    </row>
    <row r="105" spans="2:40" x14ac:dyDescent="0.2">
      <c r="B105" s="7"/>
      <c r="C105" s="8"/>
      <c r="D105" s="8"/>
      <c r="E105" s="9"/>
      <c r="F105" s="6"/>
      <c r="G105" s="8"/>
      <c r="H105" s="32"/>
      <c r="I105" s="10" t="str">
        <f t="shared" si="27"/>
        <v>21</v>
      </c>
      <c r="J105" s="11">
        <v>1</v>
      </c>
      <c r="K105" s="11"/>
      <c r="L105" s="11"/>
      <c r="M105" s="11">
        <f t="shared" si="31"/>
        <v>0</v>
      </c>
      <c r="N105" s="11"/>
      <c r="O105" s="11">
        <f t="shared" si="32"/>
        <v>0</v>
      </c>
      <c r="P105" s="11"/>
      <c r="Q105" s="11"/>
      <c r="R105" s="11"/>
      <c r="S105" s="11">
        <f t="shared" si="33"/>
        <v>0</v>
      </c>
      <c r="T105" s="11">
        <f t="shared" si="34"/>
        <v>1666.6666666666667</v>
      </c>
      <c r="U105" s="11">
        <f t="shared" si="35"/>
        <v>0</v>
      </c>
      <c r="V105" s="24">
        <f t="shared" si="36"/>
        <v>0</v>
      </c>
      <c r="W105" s="11">
        <f>IF(V105&lt;=40000,0,
IF(V105&lt;=55000,(V105-40000)*10%,
IF(V105&lt;=70000,(V105-55000)*15%+1500,
IF(V105&lt;=200000,(V105-70000)*20%+1500+2250,
IF(V105&lt;=400000,(V105-200000)*22.5%+1500+2250+26000,
IF(V105&lt;=600000,(V105-400000)*25%+1500+2250+26000+45000,
IF(AND(V105&gt;600000,V105&lt;=1200000),(V105-400000)*25%+1500+2250+26000+45000
+IFERROR(LOOKUP(V105,{600001;700001;800001;900001},{4000;6750;10250;15250}),0),IF(V105&gt;1200000,((V105-1200000)*27.5%)+300000,0)
)))))))</f>
        <v>0</v>
      </c>
      <c r="X105" s="12">
        <f t="shared" si="37"/>
        <v>0</v>
      </c>
      <c r="Y105" s="12">
        <f t="shared" si="38"/>
        <v>0</v>
      </c>
      <c r="Z105" s="11"/>
      <c r="AA105" s="13">
        <f t="shared" si="39"/>
        <v>0</v>
      </c>
      <c r="AB105" s="12">
        <f t="shared" si="40"/>
        <v>0</v>
      </c>
      <c r="AC105" s="14">
        <f t="shared" si="28"/>
        <v>0</v>
      </c>
      <c r="AE105" s="19">
        <f t="shared" si="41"/>
        <v>0</v>
      </c>
      <c r="AF105" s="19"/>
      <c r="AG105" s="17"/>
      <c r="AK105" s="7"/>
      <c r="AL105" s="108">
        <f t="shared" si="29"/>
        <v>0</v>
      </c>
      <c r="AM105" s="108">
        <f t="shared" si="30"/>
        <v>0</v>
      </c>
      <c r="AN105" s="113"/>
    </row>
    <row r="106" spans="2:40" x14ac:dyDescent="0.2">
      <c r="B106" s="7"/>
      <c r="C106" s="8"/>
      <c r="D106" s="8"/>
      <c r="E106" s="9"/>
      <c r="F106" s="6"/>
      <c r="G106" s="8"/>
      <c r="H106" s="32"/>
      <c r="I106" s="10" t="str">
        <f t="shared" si="27"/>
        <v>21</v>
      </c>
      <c r="J106" s="11">
        <v>1</v>
      </c>
      <c r="K106" s="11"/>
      <c r="L106" s="11"/>
      <c r="M106" s="11">
        <f t="shared" si="31"/>
        <v>0</v>
      </c>
      <c r="N106" s="11"/>
      <c r="O106" s="11">
        <f t="shared" si="32"/>
        <v>0</v>
      </c>
      <c r="P106" s="11"/>
      <c r="Q106" s="11"/>
      <c r="R106" s="11"/>
      <c r="S106" s="11">
        <f t="shared" si="33"/>
        <v>0</v>
      </c>
      <c r="T106" s="11">
        <f t="shared" si="34"/>
        <v>1666.6666666666667</v>
      </c>
      <c r="U106" s="11">
        <f t="shared" si="35"/>
        <v>0</v>
      </c>
      <c r="V106" s="24">
        <f t="shared" si="36"/>
        <v>0</v>
      </c>
      <c r="W106" s="11">
        <f>IF(V106&lt;=40000,0,
IF(V106&lt;=55000,(V106-40000)*10%,
IF(V106&lt;=70000,(V106-55000)*15%+1500,
IF(V106&lt;=200000,(V106-70000)*20%+1500+2250,
IF(V106&lt;=400000,(V106-200000)*22.5%+1500+2250+26000,
IF(V106&lt;=600000,(V106-400000)*25%+1500+2250+26000+45000,
IF(AND(V106&gt;600000,V106&lt;=1200000),(V106-400000)*25%+1500+2250+26000+45000
+IFERROR(LOOKUP(V106,{600001;700001;800001;900001},{4000;6750;10250;15250}),0),IF(V106&gt;1200000,((V106-1200000)*27.5%)+300000,0)
)))))))</f>
        <v>0</v>
      </c>
      <c r="X106" s="12">
        <f t="shared" si="37"/>
        <v>0</v>
      </c>
      <c r="Y106" s="12">
        <f t="shared" si="38"/>
        <v>0</v>
      </c>
      <c r="Z106" s="11"/>
      <c r="AA106" s="13">
        <f t="shared" si="39"/>
        <v>0</v>
      </c>
      <c r="AB106" s="12">
        <f t="shared" si="40"/>
        <v>0</v>
      </c>
      <c r="AC106" s="14">
        <f t="shared" si="28"/>
        <v>0</v>
      </c>
      <c r="AE106" s="19">
        <f t="shared" si="41"/>
        <v>0</v>
      </c>
      <c r="AF106" s="19"/>
      <c r="AG106" s="17"/>
      <c r="AK106" s="7"/>
      <c r="AL106" s="108">
        <f t="shared" si="29"/>
        <v>0</v>
      </c>
      <c r="AM106" s="108">
        <f t="shared" si="30"/>
        <v>0</v>
      </c>
      <c r="AN106" s="113"/>
    </row>
    <row r="107" spans="2:40" x14ac:dyDescent="0.2">
      <c r="B107" s="7"/>
      <c r="C107" s="8"/>
      <c r="D107" s="8"/>
      <c r="E107" s="9"/>
      <c r="F107" s="6"/>
      <c r="G107" s="8"/>
      <c r="H107" s="32"/>
      <c r="I107" s="10" t="str">
        <f t="shared" si="27"/>
        <v>21</v>
      </c>
      <c r="J107" s="11">
        <v>1</v>
      </c>
      <c r="K107" s="11"/>
      <c r="L107" s="11"/>
      <c r="M107" s="11">
        <f t="shared" si="31"/>
        <v>0</v>
      </c>
      <c r="N107" s="11"/>
      <c r="O107" s="11">
        <f t="shared" si="32"/>
        <v>0</v>
      </c>
      <c r="P107" s="11"/>
      <c r="Q107" s="11"/>
      <c r="R107" s="11"/>
      <c r="S107" s="11">
        <f t="shared" si="33"/>
        <v>0</v>
      </c>
      <c r="T107" s="11">
        <f t="shared" si="34"/>
        <v>1666.6666666666667</v>
      </c>
      <c r="U107" s="11">
        <f t="shared" si="35"/>
        <v>0</v>
      </c>
      <c r="V107" s="24">
        <f t="shared" si="36"/>
        <v>0</v>
      </c>
      <c r="W107" s="11">
        <f>IF(V107&lt;=40000,0,
IF(V107&lt;=55000,(V107-40000)*10%,
IF(V107&lt;=70000,(V107-55000)*15%+1500,
IF(V107&lt;=200000,(V107-70000)*20%+1500+2250,
IF(V107&lt;=400000,(V107-200000)*22.5%+1500+2250+26000,
IF(V107&lt;=600000,(V107-400000)*25%+1500+2250+26000+45000,
IF(AND(V107&gt;600000,V107&lt;=1200000),(V107-400000)*25%+1500+2250+26000+45000
+IFERROR(LOOKUP(V107,{600001;700001;800001;900001},{4000;6750;10250;15250}),0),IF(V107&gt;1200000,((V107-1200000)*27.5%)+300000,0)
)))))))</f>
        <v>0</v>
      </c>
      <c r="X107" s="12">
        <f t="shared" si="37"/>
        <v>0</v>
      </c>
      <c r="Y107" s="12">
        <f t="shared" si="38"/>
        <v>0</v>
      </c>
      <c r="Z107" s="11"/>
      <c r="AA107" s="13">
        <f t="shared" si="39"/>
        <v>0</v>
      </c>
      <c r="AB107" s="12">
        <f t="shared" si="40"/>
        <v>0</v>
      </c>
      <c r="AC107" s="14">
        <f t="shared" si="28"/>
        <v>0</v>
      </c>
      <c r="AE107" s="19">
        <f t="shared" si="41"/>
        <v>0</v>
      </c>
      <c r="AF107" s="19"/>
      <c r="AG107" s="17"/>
      <c r="AK107" s="7"/>
      <c r="AL107" s="108">
        <f t="shared" si="29"/>
        <v>0</v>
      </c>
      <c r="AM107" s="108">
        <f t="shared" si="30"/>
        <v>0</v>
      </c>
      <c r="AN107" s="113"/>
    </row>
    <row r="108" spans="2:40" x14ac:dyDescent="0.2">
      <c r="B108" s="7"/>
      <c r="C108" s="8"/>
      <c r="D108" s="8"/>
      <c r="E108" s="9"/>
      <c r="F108" s="6"/>
      <c r="G108" s="8"/>
      <c r="H108" s="32"/>
      <c r="I108" s="10" t="str">
        <f t="shared" si="27"/>
        <v>21</v>
      </c>
      <c r="J108" s="11">
        <v>1</v>
      </c>
      <c r="K108" s="11"/>
      <c r="L108" s="11"/>
      <c r="M108" s="11">
        <f t="shared" si="31"/>
        <v>0</v>
      </c>
      <c r="N108" s="11"/>
      <c r="O108" s="11">
        <f t="shared" si="32"/>
        <v>0</v>
      </c>
      <c r="P108" s="11"/>
      <c r="Q108" s="11"/>
      <c r="R108" s="11"/>
      <c r="S108" s="11">
        <f t="shared" si="33"/>
        <v>0</v>
      </c>
      <c r="T108" s="11">
        <f t="shared" si="34"/>
        <v>1666.6666666666667</v>
      </c>
      <c r="U108" s="11">
        <f t="shared" si="35"/>
        <v>0</v>
      </c>
      <c r="V108" s="24">
        <f t="shared" si="36"/>
        <v>0</v>
      </c>
      <c r="W108" s="11">
        <f>IF(V108&lt;=40000,0,
IF(V108&lt;=55000,(V108-40000)*10%,
IF(V108&lt;=70000,(V108-55000)*15%+1500,
IF(V108&lt;=200000,(V108-70000)*20%+1500+2250,
IF(V108&lt;=400000,(V108-200000)*22.5%+1500+2250+26000,
IF(V108&lt;=600000,(V108-400000)*25%+1500+2250+26000+45000,
IF(AND(V108&gt;600000,V108&lt;=1200000),(V108-400000)*25%+1500+2250+26000+45000
+IFERROR(LOOKUP(V108,{600001;700001;800001;900001},{4000;6750;10250;15250}),0),IF(V108&gt;1200000,((V108-1200000)*27.5%)+300000,0)
)))))))</f>
        <v>0</v>
      </c>
      <c r="X108" s="12">
        <f t="shared" si="37"/>
        <v>0</v>
      </c>
      <c r="Y108" s="12">
        <f t="shared" si="38"/>
        <v>0</v>
      </c>
      <c r="Z108" s="11"/>
      <c r="AA108" s="13">
        <f t="shared" si="39"/>
        <v>0</v>
      </c>
      <c r="AB108" s="12">
        <f t="shared" si="40"/>
        <v>0</v>
      </c>
      <c r="AC108" s="14">
        <f t="shared" si="28"/>
        <v>0</v>
      </c>
      <c r="AE108" s="19">
        <f t="shared" si="41"/>
        <v>0</v>
      </c>
      <c r="AF108" s="19"/>
      <c r="AG108" s="17"/>
      <c r="AK108" s="7"/>
      <c r="AL108" s="108">
        <f t="shared" si="29"/>
        <v>0</v>
      </c>
      <c r="AM108" s="108">
        <f t="shared" si="30"/>
        <v>0</v>
      </c>
      <c r="AN108" s="113"/>
    </row>
    <row r="109" spans="2:40" x14ac:dyDescent="0.2">
      <c r="B109" s="7"/>
      <c r="C109" s="8"/>
      <c r="D109" s="8"/>
      <c r="E109" s="9"/>
      <c r="F109" s="6"/>
      <c r="G109" s="8"/>
      <c r="H109" s="32"/>
      <c r="I109" s="10" t="str">
        <f t="shared" si="27"/>
        <v>21</v>
      </c>
      <c r="J109" s="11">
        <v>1</v>
      </c>
      <c r="K109" s="11"/>
      <c r="L109" s="11"/>
      <c r="M109" s="11">
        <f t="shared" si="31"/>
        <v>0</v>
      </c>
      <c r="N109" s="11"/>
      <c r="O109" s="11">
        <f t="shared" si="32"/>
        <v>0</v>
      </c>
      <c r="P109" s="11"/>
      <c r="Q109" s="11"/>
      <c r="R109" s="11"/>
      <c r="S109" s="11">
        <f t="shared" si="33"/>
        <v>0</v>
      </c>
      <c r="T109" s="11">
        <f t="shared" si="34"/>
        <v>1666.6666666666667</v>
      </c>
      <c r="U109" s="11">
        <f t="shared" si="35"/>
        <v>0</v>
      </c>
      <c r="V109" s="24">
        <f t="shared" si="36"/>
        <v>0</v>
      </c>
      <c r="W109" s="11">
        <f>IF(V109&lt;=40000,0,
IF(V109&lt;=55000,(V109-40000)*10%,
IF(V109&lt;=70000,(V109-55000)*15%+1500,
IF(V109&lt;=200000,(V109-70000)*20%+1500+2250,
IF(V109&lt;=400000,(V109-200000)*22.5%+1500+2250+26000,
IF(V109&lt;=600000,(V109-400000)*25%+1500+2250+26000+45000,
IF(AND(V109&gt;600000,V109&lt;=1200000),(V109-400000)*25%+1500+2250+26000+45000
+IFERROR(LOOKUP(V109,{600001;700001;800001;900001},{4000;6750;10250;15250}),0),IF(V109&gt;1200000,((V109-1200000)*27.5%)+300000,0)
)))))))</f>
        <v>0</v>
      </c>
      <c r="X109" s="12">
        <f t="shared" si="37"/>
        <v>0</v>
      </c>
      <c r="Y109" s="12">
        <f t="shared" si="38"/>
        <v>0</v>
      </c>
      <c r="Z109" s="11"/>
      <c r="AA109" s="13">
        <f t="shared" si="39"/>
        <v>0</v>
      </c>
      <c r="AB109" s="12">
        <f t="shared" si="40"/>
        <v>0</v>
      </c>
      <c r="AC109" s="14">
        <f t="shared" si="28"/>
        <v>0</v>
      </c>
      <c r="AE109" s="19">
        <f t="shared" si="41"/>
        <v>0</v>
      </c>
      <c r="AF109" s="19"/>
      <c r="AG109" s="17"/>
      <c r="AK109" s="7"/>
      <c r="AL109" s="108">
        <f t="shared" si="29"/>
        <v>0</v>
      </c>
      <c r="AM109" s="108">
        <f t="shared" si="30"/>
        <v>0</v>
      </c>
      <c r="AN109" s="113"/>
    </row>
    <row r="110" spans="2:40" x14ac:dyDescent="0.2">
      <c r="B110" s="7"/>
      <c r="C110" s="8"/>
      <c r="D110" s="8"/>
      <c r="E110" s="9"/>
      <c r="F110" s="6"/>
      <c r="G110" s="8"/>
      <c r="H110" s="32"/>
      <c r="I110" s="10" t="str">
        <f t="shared" si="27"/>
        <v>21</v>
      </c>
      <c r="J110" s="11">
        <v>1</v>
      </c>
      <c r="K110" s="11"/>
      <c r="L110" s="11"/>
      <c r="M110" s="11">
        <f t="shared" si="31"/>
        <v>0</v>
      </c>
      <c r="N110" s="11"/>
      <c r="O110" s="11">
        <f t="shared" si="32"/>
        <v>0</v>
      </c>
      <c r="P110" s="11"/>
      <c r="Q110" s="11"/>
      <c r="R110" s="11"/>
      <c r="S110" s="11">
        <f t="shared" si="33"/>
        <v>0</v>
      </c>
      <c r="T110" s="11">
        <f t="shared" si="34"/>
        <v>1666.6666666666667</v>
      </c>
      <c r="U110" s="11">
        <f t="shared" si="35"/>
        <v>0</v>
      </c>
      <c r="V110" s="24">
        <f t="shared" si="36"/>
        <v>0</v>
      </c>
      <c r="W110" s="11">
        <f>IF(V110&lt;=40000,0,
IF(V110&lt;=55000,(V110-40000)*10%,
IF(V110&lt;=70000,(V110-55000)*15%+1500,
IF(V110&lt;=200000,(V110-70000)*20%+1500+2250,
IF(V110&lt;=400000,(V110-200000)*22.5%+1500+2250+26000,
IF(V110&lt;=600000,(V110-400000)*25%+1500+2250+26000+45000,
IF(AND(V110&gt;600000,V110&lt;=1200000),(V110-400000)*25%+1500+2250+26000+45000
+IFERROR(LOOKUP(V110,{600001;700001;800001;900001},{4000;6750;10250;15250}),0),IF(V110&gt;1200000,((V110-1200000)*27.5%)+300000,0)
)))))))</f>
        <v>0</v>
      </c>
      <c r="X110" s="12">
        <f t="shared" si="37"/>
        <v>0</v>
      </c>
      <c r="Y110" s="12">
        <f t="shared" si="38"/>
        <v>0</v>
      </c>
      <c r="Z110" s="11"/>
      <c r="AA110" s="13">
        <f t="shared" si="39"/>
        <v>0</v>
      </c>
      <c r="AB110" s="12">
        <f t="shared" si="40"/>
        <v>0</v>
      </c>
      <c r="AC110" s="14">
        <f t="shared" si="28"/>
        <v>0</v>
      </c>
      <c r="AE110" s="19">
        <f t="shared" si="41"/>
        <v>0</v>
      </c>
      <c r="AF110" s="19"/>
      <c r="AG110" s="17"/>
      <c r="AK110" s="7"/>
      <c r="AL110" s="108">
        <f t="shared" si="29"/>
        <v>0</v>
      </c>
      <c r="AM110" s="108">
        <f t="shared" si="30"/>
        <v>0</v>
      </c>
      <c r="AN110" s="113"/>
    </row>
    <row r="111" spans="2:40" x14ac:dyDescent="0.2">
      <c r="B111" s="7"/>
      <c r="C111" s="8"/>
      <c r="D111" s="8"/>
      <c r="E111" s="9"/>
      <c r="F111" s="6"/>
      <c r="G111" s="8"/>
      <c r="H111" s="32"/>
      <c r="I111" s="10" t="str">
        <f t="shared" si="27"/>
        <v>21</v>
      </c>
      <c r="J111" s="11">
        <v>1</v>
      </c>
      <c r="K111" s="11"/>
      <c r="L111" s="11"/>
      <c r="M111" s="11">
        <f t="shared" si="31"/>
        <v>0</v>
      </c>
      <c r="N111" s="11"/>
      <c r="O111" s="11">
        <f t="shared" si="32"/>
        <v>0</v>
      </c>
      <c r="P111" s="11"/>
      <c r="Q111" s="11"/>
      <c r="R111" s="11"/>
      <c r="S111" s="11">
        <f t="shared" si="33"/>
        <v>0</v>
      </c>
      <c r="T111" s="11">
        <f t="shared" si="34"/>
        <v>1666.6666666666667</v>
      </c>
      <c r="U111" s="11">
        <f t="shared" si="35"/>
        <v>0</v>
      </c>
      <c r="V111" s="24">
        <f t="shared" si="36"/>
        <v>0</v>
      </c>
      <c r="W111" s="11">
        <f>IF(V111&lt;=40000,0,
IF(V111&lt;=55000,(V111-40000)*10%,
IF(V111&lt;=70000,(V111-55000)*15%+1500,
IF(V111&lt;=200000,(V111-70000)*20%+1500+2250,
IF(V111&lt;=400000,(V111-200000)*22.5%+1500+2250+26000,
IF(V111&lt;=600000,(V111-400000)*25%+1500+2250+26000+45000,
IF(AND(V111&gt;600000,V111&lt;=1200000),(V111-400000)*25%+1500+2250+26000+45000
+IFERROR(LOOKUP(V111,{600001;700001;800001;900001},{4000;6750;10250;15250}),0),IF(V111&gt;1200000,((V111-1200000)*27.5%)+300000,0)
)))))))</f>
        <v>0</v>
      </c>
      <c r="X111" s="12">
        <f t="shared" si="37"/>
        <v>0</v>
      </c>
      <c r="Y111" s="12">
        <f t="shared" si="38"/>
        <v>0</v>
      </c>
      <c r="Z111" s="11"/>
      <c r="AA111" s="13">
        <f t="shared" si="39"/>
        <v>0</v>
      </c>
      <c r="AB111" s="12">
        <f t="shared" si="40"/>
        <v>0</v>
      </c>
      <c r="AC111" s="14">
        <f t="shared" si="28"/>
        <v>0</v>
      </c>
      <c r="AE111" s="19">
        <f t="shared" si="41"/>
        <v>0</v>
      </c>
      <c r="AF111" s="19"/>
      <c r="AG111" s="17"/>
      <c r="AK111" s="7"/>
      <c r="AL111" s="108">
        <f t="shared" si="29"/>
        <v>0</v>
      </c>
      <c r="AM111" s="108">
        <f t="shared" si="30"/>
        <v>0</v>
      </c>
      <c r="AN111" s="113"/>
    </row>
    <row r="112" spans="2:40" x14ac:dyDescent="0.2">
      <c r="B112" s="7"/>
      <c r="C112" s="8"/>
      <c r="D112" s="8"/>
      <c r="E112" s="9"/>
      <c r="F112" s="6"/>
      <c r="G112" s="8"/>
      <c r="H112" s="32"/>
      <c r="I112" s="10" t="str">
        <f t="shared" si="27"/>
        <v>21</v>
      </c>
      <c r="J112" s="11">
        <v>1</v>
      </c>
      <c r="K112" s="11"/>
      <c r="L112" s="11"/>
      <c r="M112" s="11">
        <f t="shared" si="31"/>
        <v>0</v>
      </c>
      <c r="N112" s="11"/>
      <c r="O112" s="11">
        <f t="shared" si="32"/>
        <v>0</v>
      </c>
      <c r="P112" s="11"/>
      <c r="Q112" s="11"/>
      <c r="R112" s="11"/>
      <c r="S112" s="11">
        <f t="shared" si="33"/>
        <v>0</v>
      </c>
      <c r="T112" s="11">
        <f t="shared" si="34"/>
        <v>1666.6666666666667</v>
      </c>
      <c r="U112" s="11">
        <f t="shared" si="35"/>
        <v>0</v>
      </c>
      <c r="V112" s="24">
        <f t="shared" si="36"/>
        <v>0</v>
      </c>
      <c r="W112" s="11">
        <f>IF(V112&lt;=40000,0,
IF(V112&lt;=55000,(V112-40000)*10%,
IF(V112&lt;=70000,(V112-55000)*15%+1500,
IF(V112&lt;=200000,(V112-70000)*20%+1500+2250,
IF(V112&lt;=400000,(V112-200000)*22.5%+1500+2250+26000,
IF(V112&lt;=600000,(V112-400000)*25%+1500+2250+26000+45000,
IF(AND(V112&gt;600000,V112&lt;=1200000),(V112-400000)*25%+1500+2250+26000+45000
+IFERROR(LOOKUP(V112,{600001;700001;800001;900001},{4000;6750;10250;15250}),0),IF(V112&gt;1200000,((V112-1200000)*27.5%)+300000,0)
)))))))</f>
        <v>0</v>
      </c>
      <c r="X112" s="12">
        <f t="shared" si="37"/>
        <v>0</v>
      </c>
      <c r="Y112" s="12">
        <f t="shared" si="38"/>
        <v>0</v>
      </c>
      <c r="Z112" s="11"/>
      <c r="AA112" s="13">
        <f t="shared" si="39"/>
        <v>0</v>
      </c>
      <c r="AB112" s="12">
        <f t="shared" si="40"/>
        <v>0</v>
      </c>
      <c r="AC112" s="14">
        <f t="shared" si="28"/>
        <v>0</v>
      </c>
      <c r="AE112" s="19">
        <f t="shared" si="41"/>
        <v>0</v>
      </c>
      <c r="AF112" s="19"/>
      <c r="AG112" s="17"/>
      <c r="AK112" s="7"/>
      <c r="AL112" s="108">
        <f t="shared" si="29"/>
        <v>0</v>
      </c>
      <c r="AM112" s="108">
        <f t="shared" si="30"/>
        <v>0</v>
      </c>
      <c r="AN112" s="113"/>
    </row>
    <row r="113" spans="2:40" x14ac:dyDescent="0.2">
      <c r="B113" s="7"/>
      <c r="C113" s="8"/>
      <c r="D113" s="8"/>
      <c r="E113" s="9"/>
      <c r="F113" s="6"/>
      <c r="G113" s="8"/>
      <c r="H113" s="32"/>
      <c r="I113" s="10" t="str">
        <f t="shared" si="27"/>
        <v>21</v>
      </c>
      <c r="J113" s="11">
        <v>1</v>
      </c>
      <c r="K113" s="11"/>
      <c r="L113" s="11"/>
      <c r="M113" s="11">
        <f t="shared" si="31"/>
        <v>0</v>
      </c>
      <c r="N113" s="11"/>
      <c r="O113" s="11">
        <f t="shared" si="32"/>
        <v>0</v>
      </c>
      <c r="P113" s="11"/>
      <c r="Q113" s="11"/>
      <c r="R113" s="11"/>
      <c r="S113" s="11">
        <f t="shared" si="33"/>
        <v>0</v>
      </c>
      <c r="T113" s="11">
        <f t="shared" si="34"/>
        <v>1666.6666666666667</v>
      </c>
      <c r="U113" s="11">
        <f t="shared" si="35"/>
        <v>0</v>
      </c>
      <c r="V113" s="24">
        <f t="shared" si="36"/>
        <v>0</v>
      </c>
      <c r="W113" s="11">
        <f>IF(V113&lt;=40000,0,
IF(V113&lt;=55000,(V113-40000)*10%,
IF(V113&lt;=70000,(V113-55000)*15%+1500,
IF(V113&lt;=200000,(V113-70000)*20%+1500+2250,
IF(V113&lt;=400000,(V113-200000)*22.5%+1500+2250+26000,
IF(V113&lt;=600000,(V113-400000)*25%+1500+2250+26000+45000,
IF(AND(V113&gt;600000,V113&lt;=1200000),(V113-400000)*25%+1500+2250+26000+45000
+IFERROR(LOOKUP(V113,{600001;700001;800001;900001},{4000;6750;10250;15250}),0),IF(V113&gt;1200000,((V113-1200000)*27.5%)+300000,0)
)))))))</f>
        <v>0</v>
      </c>
      <c r="X113" s="12">
        <f t="shared" si="37"/>
        <v>0</v>
      </c>
      <c r="Y113" s="12">
        <f t="shared" si="38"/>
        <v>0</v>
      </c>
      <c r="Z113" s="11"/>
      <c r="AA113" s="13">
        <f t="shared" si="39"/>
        <v>0</v>
      </c>
      <c r="AB113" s="12">
        <f t="shared" si="40"/>
        <v>0</v>
      </c>
      <c r="AC113" s="14">
        <f t="shared" si="28"/>
        <v>0</v>
      </c>
      <c r="AE113" s="19">
        <f t="shared" si="41"/>
        <v>0</v>
      </c>
      <c r="AF113" s="19"/>
      <c r="AG113" s="17"/>
      <c r="AK113" s="7"/>
      <c r="AL113" s="108">
        <f t="shared" si="29"/>
        <v>0</v>
      </c>
      <c r="AM113" s="108">
        <f t="shared" si="30"/>
        <v>0</v>
      </c>
      <c r="AN113" s="113"/>
    </row>
    <row r="114" spans="2:40" x14ac:dyDescent="0.2">
      <c r="B114" s="7"/>
      <c r="C114" s="8"/>
      <c r="D114" s="8"/>
      <c r="E114" s="9"/>
      <c r="F114" s="6"/>
      <c r="G114" s="8"/>
      <c r="H114" s="32"/>
      <c r="I114" s="10" t="str">
        <f t="shared" si="27"/>
        <v>21</v>
      </c>
      <c r="J114" s="11">
        <v>1</v>
      </c>
      <c r="K114" s="11"/>
      <c r="L114" s="11"/>
      <c r="M114" s="11">
        <f t="shared" si="31"/>
        <v>0</v>
      </c>
      <c r="N114" s="11"/>
      <c r="O114" s="11">
        <f t="shared" si="32"/>
        <v>0</v>
      </c>
      <c r="P114" s="11"/>
      <c r="Q114" s="11"/>
      <c r="R114" s="11"/>
      <c r="S114" s="11">
        <f t="shared" si="33"/>
        <v>0</v>
      </c>
      <c r="T114" s="11">
        <f t="shared" si="34"/>
        <v>1666.6666666666667</v>
      </c>
      <c r="U114" s="11">
        <f t="shared" si="35"/>
        <v>0</v>
      </c>
      <c r="V114" s="24">
        <f t="shared" si="36"/>
        <v>0</v>
      </c>
      <c r="W114" s="11">
        <f>IF(V114&lt;=40000,0,
IF(V114&lt;=55000,(V114-40000)*10%,
IF(V114&lt;=70000,(V114-55000)*15%+1500,
IF(V114&lt;=200000,(V114-70000)*20%+1500+2250,
IF(V114&lt;=400000,(V114-200000)*22.5%+1500+2250+26000,
IF(V114&lt;=600000,(V114-400000)*25%+1500+2250+26000+45000,
IF(AND(V114&gt;600000,V114&lt;=1200000),(V114-400000)*25%+1500+2250+26000+45000
+IFERROR(LOOKUP(V114,{600001;700001;800001;900001},{4000;6750;10250;15250}),0),IF(V114&gt;1200000,((V114-1200000)*27.5%)+300000,0)
)))))))</f>
        <v>0</v>
      </c>
      <c r="X114" s="12">
        <f t="shared" si="37"/>
        <v>0</v>
      </c>
      <c r="Y114" s="12">
        <f t="shared" si="38"/>
        <v>0</v>
      </c>
      <c r="Z114" s="11"/>
      <c r="AA114" s="13">
        <f t="shared" si="39"/>
        <v>0</v>
      </c>
      <c r="AB114" s="12">
        <f t="shared" si="40"/>
        <v>0</v>
      </c>
      <c r="AC114" s="14">
        <f t="shared" si="28"/>
        <v>0</v>
      </c>
      <c r="AE114" s="19">
        <f t="shared" si="41"/>
        <v>0</v>
      </c>
      <c r="AF114" s="19"/>
      <c r="AG114" s="17"/>
      <c r="AK114" s="7"/>
      <c r="AL114" s="108">
        <f t="shared" si="29"/>
        <v>0</v>
      </c>
      <c r="AM114" s="108">
        <f t="shared" si="30"/>
        <v>0</v>
      </c>
      <c r="AN114" s="113"/>
    </row>
    <row r="115" spans="2:40" x14ac:dyDescent="0.2">
      <c r="B115" s="7"/>
      <c r="C115" s="8"/>
      <c r="D115" s="8"/>
      <c r="E115" s="9"/>
      <c r="F115" s="6"/>
      <c r="G115" s="8"/>
      <c r="H115" s="32"/>
      <c r="I115" s="10" t="str">
        <f t="shared" si="27"/>
        <v>21</v>
      </c>
      <c r="J115" s="11">
        <v>1</v>
      </c>
      <c r="K115" s="11"/>
      <c r="L115" s="11"/>
      <c r="M115" s="11">
        <f t="shared" si="31"/>
        <v>0</v>
      </c>
      <c r="N115" s="11"/>
      <c r="O115" s="11">
        <f t="shared" si="32"/>
        <v>0</v>
      </c>
      <c r="P115" s="11"/>
      <c r="Q115" s="11"/>
      <c r="R115" s="11"/>
      <c r="S115" s="11">
        <f t="shared" si="33"/>
        <v>0</v>
      </c>
      <c r="T115" s="11">
        <f t="shared" si="34"/>
        <v>1666.6666666666667</v>
      </c>
      <c r="U115" s="11">
        <f t="shared" si="35"/>
        <v>0</v>
      </c>
      <c r="V115" s="24">
        <f t="shared" si="36"/>
        <v>0</v>
      </c>
      <c r="W115" s="11">
        <f>IF(V115&lt;=40000,0,
IF(V115&lt;=55000,(V115-40000)*10%,
IF(V115&lt;=70000,(V115-55000)*15%+1500,
IF(V115&lt;=200000,(V115-70000)*20%+1500+2250,
IF(V115&lt;=400000,(V115-200000)*22.5%+1500+2250+26000,
IF(V115&lt;=600000,(V115-400000)*25%+1500+2250+26000+45000,
IF(AND(V115&gt;600000,V115&lt;=1200000),(V115-400000)*25%+1500+2250+26000+45000
+IFERROR(LOOKUP(V115,{600001;700001;800001;900001},{4000;6750;10250;15250}),0),IF(V115&gt;1200000,((V115-1200000)*27.5%)+300000,0)
)))))))</f>
        <v>0</v>
      </c>
      <c r="X115" s="12">
        <f t="shared" si="37"/>
        <v>0</v>
      </c>
      <c r="Y115" s="12">
        <f t="shared" si="38"/>
        <v>0</v>
      </c>
      <c r="Z115" s="11"/>
      <c r="AA115" s="13">
        <f t="shared" si="39"/>
        <v>0</v>
      </c>
      <c r="AB115" s="12">
        <f t="shared" si="40"/>
        <v>0</v>
      </c>
      <c r="AC115" s="14">
        <f t="shared" si="28"/>
        <v>0</v>
      </c>
      <c r="AE115" s="19">
        <f t="shared" si="41"/>
        <v>0</v>
      </c>
      <c r="AF115" s="19"/>
      <c r="AG115" s="17"/>
      <c r="AK115" s="7"/>
      <c r="AL115" s="108">
        <f t="shared" si="29"/>
        <v>0</v>
      </c>
      <c r="AM115" s="108">
        <f t="shared" si="30"/>
        <v>0</v>
      </c>
      <c r="AN115" s="113"/>
    </row>
    <row r="116" spans="2:40" x14ac:dyDescent="0.2">
      <c r="B116" s="7"/>
      <c r="C116" s="8"/>
      <c r="D116" s="8"/>
      <c r="E116" s="9"/>
      <c r="F116" s="6"/>
      <c r="G116" s="8"/>
      <c r="H116" s="32"/>
      <c r="I116" s="10" t="str">
        <f t="shared" si="27"/>
        <v>21</v>
      </c>
      <c r="J116" s="11">
        <v>1</v>
      </c>
      <c r="K116" s="11"/>
      <c r="L116" s="11"/>
      <c r="M116" s="11">
        <f t="shared" si="31"/>
        <v>0</v>
      </c>
      <c r="N116" s="11"/>
      <c r="O116" s="11">
        <f t="shared" si="32"/>
        <v>0</v>
      </c>
      <c r="P116" s="11"/>
      <c r="Q116" s="11"/>
      <c r="R116" s="11"/>
      <c r="S116" s="11">
        <f t="shared" si="33"/>
        <v>0</v>
      </c>
      <c r="T116" s="11">
        <f t="shared" si="34"/>
        <v>1666.6666666666667</v>
      </c>
      <c r="U116" s="11">
        <f t="shared" si="35"/>
        <v>0</v>
      </c>
      <c r="V116" s="24">
        <f t="shared" si="36"/>
        <v>0</v>
      </c>
      <c r="W116" s="11">
        <f>IF(V116&lt;=40000,0,
IF(V116&lt;=55000,(V116-40000)*10%,
IF(V116&lt;=70000,(V116-55000)*15%+1500,
IF(V116&lt;=200000,(V116-70000)*20%+1500+2250,
IF(V116&lt;=400000,(V116-200000)*22.5%+1500+2250+26000,
IF(V116&lt;=600000,(V116-400000)*25%+1500+2250+26000+45000,
IF(AND(V116&gt;600000,V116&lt;=1200000),(V116-400000)*25%+1500+2250+26000+45000
+IFERROR(LOOKUP(V116,{600001;700001;800001;900001},{4000;6750;10250;15250}),0),IF(V116&gt;1200000,((V116-1200000)*27.5%)+300000,0)
)))))))</f>
        <v>0</v>
      </c>
      <c r="X116" s="12">
        <f t="shared" si="37"/>
        <v>0</v>
      </c>
      <c r="Y116" s="12">
        <f t="shared" si="38"/>
        <v>0</v>
      </c>
      <c r="Z116" s="11"/>
      <c r="AA116" s="13">
        <f t="shared" si="39"/>
        <v>0</v>
      </c>
      <c r="AB116" s="12">
        <f t="shared" si="40"/>
        <v>0</v>
      </c>
      <c r="AC116" s="14">
        <f t="shared" si="28"/>
        <v>0</v>
      </c>
      <c r="AE116" s="19">
        <f t="shared" si="41"/>
        <v>0</v>
      </c>
      <c r="AF116" s="19"/>
      <c r="AG116" s="17"/>
      <c r="AK116" s="7"/>
      <c r="AL116" s="108">
        <f t="shared" si="29"/>
        <v>0</v>
      </c>
      <c r="AM116" s="108">
        <f t="shared" si="30"/>
        <v>0</v>
      </c>
      <c r="AN116" s="113"/>
    </row>
    <row r="117" spans="2:40" x14ac:dyDescent="0.2">
      <c r="B117" s="7"/>
      <c r="C117" s="8"/>
      <c r="D117" s="8"/>
      <c r="E117" s="9"/>
      <c r="F117" s="6"/>
      <c r="G117" s="8"/>
      <c r="H117" s="32"/>
      <c r="I117" s="10" t="str">
        <f t="shared" si="27"/>
        <v>21</v>
      </c>
      <c r="J117" s="11">
        <v>1</v>
      </c>
      <c r="K117" s="11"/>
      <c r="L117" s="11"/>
      <c r="M117" s="11">
        <f t="shared" si="31"/>
        <v>0</v>
      </c>
      <c r="N117" s="11"/>
      <c r="O117" s="11">
        <f t="shared" si="32"/>
        <v>0</v>
      </c>
      <c r="P117" s="11"/>
      <c r="Q117" s="11"/>
      <c r="R117" s="11"/>
      <c r="S117" s="11">
        <f t="shared" si="33"/>
        <v>0</v>
      </c>
      <c r="T117" s="11">
        <f t="shared" si="34"/>
        <v>1666.6666666666667</v>
      </c>
      <c r="U117" s="11">
        <f t="shared" si="35"/>
        <v>0</v>
      </c>
      <c r="V117" s="24">
        <f t="shared" si="36"/>
        <v>0</v>
      </c>
      <c r="W117" s="11">
        <f>IF(V117&lt;=40000,0,
IF(V117&lt;=55000,(V117-40000)*10%,
IF(V117&lt;=70000,(V117-55000)*15%+1500,
IF(V117&lt;=200000,(V117-70000)*20%+1500+2250,
IF(V117&lt;=400000,(V117-200000)*22.5%+1500+2250+26000,
IF(V117&lt;=600000,(V117-400000)*25%+1500+2250+26000+45000,
IF(AND(V117&gt;600000,V117&lt;=1200000),(V117-400000)*25%+1500+2250+26000+45000
+IFERROR(LOOKUP(V117,{600001;700001;800001;900001},{4000;6750;10250;15250}),0),IF(V117&gt;1200000,((V117-1200000)*27.5%)+300000,0)
)))))))</f>
        <v>0</v>
      </c>
      <c r="X117" s="12">
        <f t="shared" si="37"/>
        <v>0</v>
      </c>
      <c r="Y117" s="12">
        <f t="shared" si="38"/>
        <v>0</v>
      </c>
      <c r="Z117" s="11"/>
      <c r="AA117" s="13">
        <f t="shared" si="39"/>
        <v>0</v>
      </c>
      <c r="AB117" s="12">
        <f t="shared" si="40"/>
        <v>0</v>
      </c>
      <c r="AC117" s="14">
        <f t="shared" si="28"/>
        <v>0</v>
      </c>
      <c r="AE117" s="19">
        <f t="shared" si="41"/>
        <v>0</v>
      </c>
      <c r="AF117" s="19"/>
      <c r="AG117" s="17"/>
      <c r="AK117" s="7"/>
      <c r="AL117" s="108">
        <f t="shared" si="29"/>
        <v>0</v>
      </c>
      <c r="AM117" s="108">
        <f t="shared" si="30"/>
        <v>0</v>
      </c>
      <c r="AN117" s="113"/>
    </row>
    <row r="118" spans="2:40" x14ac:dyDescent="0.2">
      <c r="B118" s="7"/>
      <c r="C118" s="8"/>
      <c r="D118" s="8"/>
      <c r="E118" s="9"/>
      <c r="F118" s="6"/>
      <c r="G118" s="8"/>
      <c r="H118" s="32"/>
      <c r="I118" s="10" t="str">
        <f t="shared" si="27"/>
        <v>21</v>
      </c>
      <c r="J118" s="11">
        <v>1</v>
      </c>
      <c r="K118" s="11"/>
      <c r="L118" s="11"/>
      <c r="M118" s="11">
        <f t="shared" si="31"/>
        <v>0</v>
      </c>
      <c r="N118" s="11"/>
      <c r="O118" s="11">
        <f t="shared" si="32"/>
        <v>0</v>
      </c>
      <c r="P118" s="11"/>
      <c r="Q118" s="11"/>
      <c r="R118" s="11"/>
      <c r="S118" s="11">
        <f t="shared" si="33"/>
        <v>0</v>
      </c>
      <c r="T118" s="11">
        <f t="shared" si="34"/>
        <v>1666.6666666666667</v>
      </c>
      <c r="U118" s="11">
        <f t="shared" si="35"/>
        <v>0</v>
      </c>
      <c r="V118" s="24">
        <f t="shared" si="36"/>
        <v>0</v>
      </c>
      <c r="W118" s="11">
        <f>IF(V118&lt;=40000,0,
IF(V118&lt;=55000,(V118-40000)*10%,
IF(V118&lt;=70000,(V118-55000)*15%+1500,
IF(V118&lt;=200000,(V118-70000)*20%+1500+2250,
IF(V118&lt;=400000,(V118-200000)*22.5%+1500+2250+26000,
IF(V118&lt;=600000,(V118-400000)*25%+1500+2250+26000+45000,
IF(AND(V118&gt;600000,V118&lt;=1200000),(V118-400000)*25%+1500+2250+26000+45000
+IFERROR(LOOKUP(V118,{600001;700001;800001;900001},{4000;6750;10250;15250}),0),IF(V118&gt;1200000,((V118-1200000)*27.5%)+300000,0)
)))))))</f>
        <v>0</v>
      </c>
      <c r="X118" s="12">
        <f t="shared" si="37"/>
        <v>0</v>
      </c>
      <c r="Y118" s="12">
        <f t="shared" si="38"/>
        <v>0</v>
      </c>
      <c r="Z118" s="11"/>
      <c r="AA118" s="13">
        <f t="shared" si="39"/>
        <v>0</v>
      </c>
      <c r="AB118" s="12">
        <f t="shared" si="40"/>
        <v>0</v>
      </c>
      <c r="AC118" s="14">
        <f t="shared" si="28"/>
        <v>0</v>
      </c>
      <c r="AE118" s="19">
        <f t="shared" si="41"/>
        <v>0</v>
      </c>
      <c r="AF118" s="19"/>
      <c r="AG118" s="17"/>
      <c r="AK118" s="7"/>
      <c r="AL118" s="108">
        <f t="shared" si="29"/>
        <v>0</v>
      </c>
      <c r="AM118" s="108">
        <f t="shared" si="30"/>
        <v>0</v>
      </c>
      <c r="AN118" s="113"/>
    </row>
    <row r="119" spans="2:40" x14ac:dyDescent="0.2">
      <c r="B119" s="7"/>
      <c r="C119" s="8"/>
      <c r="D119" s="8"/>
      <c r="E119" s="9"/>
      <c r="F119" s="6"/>
      <c r="G119" s="8"/>
      <c r="H119" s="32"/>
      <c r="I119" s="10" t="str">
        <f t="shared" si="27"/>
        <v>21</v>
      </c>
      <c r="J119" s="11">
        <v>1</v>
      </c>
      <c r="K119" s="11"/>
      <c r="L119" s="11"/>
      <c r="M119" s="11">
        <f t="shared" si="31"/>
        <v>0</v>
      </c>
      <c r="N119" s="11"/>
      <c r="O119" s="11">
        <f t="shared" si="32"/>
        <v>0</v>
      </c>
      <c r="P119" s="11"/>
      <c r="Q119" s="11"/>
      <c r="R119" s="11"/>
      <c r="S119" s="11">
        <f t="shared" si="33"/>
        <v>0</v>
      </c>
      <c r="T119" s="11">
        <f t="shared" si="34"/>
        <v>1666.6666666666667</v>
      </c>
      <c r="U119" s="11">
        <f t="shared" si="35"/>
        <v>0</v>
      </c>
      <c r="V119" s="24">
        <f t="shared" si="36"/>
        <v>0</v>
      </c>
      <c r="W119" s="11">
        <f>IF(V119&lt;=40000,0,
IF(V119&lt;=55000,(V119-40000)*10%,
IF(V119&lt;=70000,(V119-55000)*15%+1500,
IF(V119&lt;=200000,(V119-70000)*20%+1500+2250,
IF(V119&lt;=400000,(V119-200000)*22.5%+1500+2250+26000,
IF(V119&lt;=600000,(V119-400000)*25%+1500+2250+26000+45000,
IF(AND(V119&gt;600000,V119&lt;=1200000),(V119-400000)*25%+1500+2250+26000+45000
+IFERROR(LOOKUP(V119,{600001;700001;800001;900001},{4000;6750;10250;15250}),0),IF(V119&gt;1200000,((V119-1200000)*27.5%)+300000,0)
)))))))</f>
        <v>0</v>
      </c>
      <c r="X119" s="12">
        <f t="shared" si="37"/>
        <v>0</v>
      </c>
      <c r="Y119" s="12">
        <f t="shared" si="38"/>
        <v>0</v>
      </c>
      <c r="Z119" s="11"/>
      <c r="AA119" s="13">
        <f t="shared" si="39"/>
        <v>0</v>
      </c>
      <c r="AB119" s="12">
        <f t="shared" si="40"/>
        <v>0</v>
      </c>
      <c r="AC119" s="14">
        <f t="shared" si="28"/>
        <v>0</v>
      </c>
      <c r="AE119" s="19">
        <f t="shared" si="41"/>
        <v>0</v>
      </c>
      <c r="AF119" s="19"/>
      <c r="AG119" s="17"/>
      <c r="AK119" s="7"/>
      <c r="AL119" s="108">
        <f t="shared" si="29"/>
        <v>0</v>
      </c>
      <c r="AM119" s="108">
        <f t="shared" si="30"/>
        <v>0</v>
      </c>
      <c r="AN119" s="113"/>
    </row>
    <row r="120" spans="2:40" x14ac:dyDescent="0.2">
      <c r="B120" s="7"/>
      <c r="C120" s="8"/>
      <c r="D120" s="8"/>
      <c r="E120" s="9"/>
      <c r="F120" s="6"/>
      <c r="G120" s="8"/>
      <c r="H120" s="32"/>
      <c r="I120" s="10" t="str">
        <f t="shared" si="27"/>
        <v>21</v>
      </c>
      <c r="J120" s="11">
        <v>1</v>
      </c>
      <c r="K120" s="11"/>
      <c r="L120" s="11"/>
      <c r="M120" s="11">
        <f t="shared" si="31"/>
        <v>0</v>
      </c>
      <c r="N120" s="11"/>
      <c r="O120" s="11">
        <f t="shared" si="32"/>
        <v>0</v>
      </c>
      <c r="P120" s="11"/>
      <c r="Q120" s="11"/>
      <c r="R120" s="11"/>
      <c r="S120" s="11">
        <f t="shared" si="33"/>
        <v>0</v>
      </c>
      <c r="T120" s="11">
        <f t="shared" si="34"/>
        <v>1666.6666666666667</v>
      </c>
      <c r="U120" s="11">
        <f t="shared" si="35"/>
        <v>0</v>
      </c>
      <c r="V120" s="24">
        <f t="shared" si="36"/>
        <v>0</v>
      </c>
      <c r="W120" s="11">
        <f>IF(V120&lt;=40000,0,
IF(V120&lt;=55000,(V120-40000)*10%,
IF(V120&lt;=70000,(V120-55000)*15%+1500,
IF(V120&lt;=200000,(V120-70000)*20%+1500+2250,
IF(V120&lt;=400000,(V120-200000)*22.5%+1500+2250+26000,
IF(V120&lt;=600000,(V120-400000)*25%+1500+2250+26000+45000,
IF(AND(V120&gt;600000,V120&lt;=1200000),(V120-400000)*25%+1500+2250+26000+45000
+IFERROR(LOOKUP(V120,{600001;700001;800001;900001},{4000;6750;10250;15250}),0),IF(V120&gt;1200000,((V120-1200000)*27.5%)+300000,0)
)))))))</f>
        <v>0</v>
      </c>
      <c r="X120" s="12">
        <f t="shared" si="37"/>
        <v>0</v>
      </c>
      <c r="Y120" s="12">
        <f t="shared" si="38"/>
        <v>0</v>
      </c>
      <c r="Z120" s="11"/>
      <c r="AA120" s="13">
        <f t="shared" si="39"/>
        <v>0</v>
      </c>
      <c r="AB120" s="12">
        <f t="shared" si="40"/>
        <v>0</v>
      </c>
      <c r="AC120" s="14">
        <f t="shared" si="28"/>
        <v>0</v>
      </c>
      <c r="AE120" s="19">
        <f t="shared" si="41"/>
        <v>0</v>
      </c>
      <c r="AF120" s="19"/>
      <c r="AG120" s="17"/>
      <c r="AK120" s="7"/>
      <c r="AL120" s="108">
        <f t="shared" si="29"/>
        <v>0</v>
      </c>
      <c r="AM120" s="108">
        <f t="shared" si="30"/>
        <v>0</v>
      </c>
      <c r="AN120" s="113"/>
    </row>
    <row r="121" spans="2:40" x14ac:dyDescent="0.2">
      <c r="B121" s="7"/>
      <c r="C121" s="8"/>
      <c r="D121" s="8"/>
      <c r="E121" s="9"/>
      <c r="F121" s="6"/>
      <c r="G121" s="8"/>
      <c r="H121" s="32"/>
      <c r="I121" s="10" t="str">
        <f t="shared" si="27"/>
        <v>21</v>
      </c>
      <c r="J121" s="11">
        <v>1</v>
      </c>
      <c r="K121" s="11"/>
      <c r="L121" s="11"/>
      <c r="M121" s="11">
        <f t="shared" si="31"/>
        <v>0</v>
      </c>
      <c r="N121" s="11"/>
      <c r="O121" s="11">
        <f t="shared" si="32"/>
        <v>0</v>
      </c>
      <c r="P121" s="11"/>
      <c r="Q121" s="11"/>
      <c r="R121" s="11"/>
      <c r="S121" s="11">
        <f t="shared" si="33"/>
        <v>0</v>
      </c>
      <c r="T121" s="11">
        <f t="shared" si="34"/>
        <v>1666.6666666666667</v>
      </c>
      <c r="U121" s="11">
        <f t="shared" si="35"/>
        <v>0</v>
      </c>
      <c r="V121" s="24">
        <f t="shared" si="36"/>
        <v>0</v>
      </c>
      <c r="W121" s="11">
        <f>IF(V121&lt;=40000,0,
IF(V121&lt;=55000,(V121-40000)*10%,
IF(V121&lt;=70000,(V121-55000)*15%+1500,
IF(V121&lt;=200000,(V121-70000)*20%+1500+2250,
IF(V121&lt;=400000,(V121-200000)*22.5%+1500+2250+26000,
IF(V121&lt;=600000,(V121-400000)*25%+1500+2250+26000+45000,
IF(AND(V121&gt;600000,V121&lt;=1200000),(V121-400000)*25%+1500+2250+26000+45000
+IFERROR(LOOKUP(V121,{600001;700001;800001;900001},{4000;6750;10250;15250}),0),IF(V121&gt;1200000,((V121-1200000)*27.5%)+300000,0)
)))))))</f>
        <v>0</v>
      </c>
      <c r="X121" s="12">
        <f t="shared" si="37"/>
        <v>0</v>
      </c>
      <c r="Y121" s="12">
        <f t="shared" si="38"/>
        <v>0</v>
      </c>
      <c r="Z121" s="11"/>
      <c r="AA121" s="13">
        <f t="shared" si="39"/>
        <v>0</v>
      </c>
      <c r="AB121" s="12">
        <f t="shared" si="40"/>
        <v>0</v>
      </c>
      <c r="AC121" s="14">
        <f t="shared" si="28"/>
        <v>0</v>
      </c>
      <c r="AE121" s="19">
        <f t="shared" si="41"/>
        <v>0</v>
      </c>
      <c r="AF121" s="19"/>
      <c r="AG121" s="17"/>
      <c r="AK121" s="7"/>
      <c r="AL121" s="108">
        <f t="shared" si="29"/>
        <v>0</v>
      </c>
      <c r="AM121" s="108">
        <f t="shared" si="30"/>
        <v>0</v>
      </c>
      <c r="AN121" s="113"/>
    </row>
    <row r="122" spans="2:40" x14ac:dyDescent="0.2">
      <c r="B122" s="7"/>
      <c r="C122" s="8"/>
      <c r="D122" s="8"/>
      <c r="E122" s="9"/>
      <c r="F122" s="6"/>
      <c r="G122" s="8"/>
      <c r="H122" s="32"/>
      <c r="I122" s="10" t="str">
        <f t="shared" si="27"/>
        <v>21</v>
      </c>
      <c r="J122" s="11">
        <v>1</v>
      </c>
      <c r="K122" s="11"/>
      <c r="L122" s="11"/>
      <c r="M122" s="11">
        <f t="shared" si="31"/>
        <v>0</v>
      </c>
      <c r="N122" s="11"/>
      <c r="O122" s="11">
        <f t="shared" si="32"/>
        <v>0</v>
      </c>
      <c r="P122" s="11"/>
      <c r="Q122" s="11"/>
      <c r="R122" s="11"/>
      <c r="S122" s="11">
        <f t="shared" si="33"/>
        <v>0</v>
      </c>
      <c r="T122" s="11">
        <f t="shared" si="34"/>
        <v>1666.6666666666667</v>
      </c>
      <c r="U122" s="11">
        <f t="shared" si="35"/>
        <v>0</v>
      </c>
      <c r="V122" s="24">
        <f t="shared" si="36"/>
        <v>0</v>
      </c>
      <c r="W122" s="11">
        <f>IF(V122&lt;=40000,0,
IF(V122&lt;=55000,(V122-40000)*10%,
IF(V122&lt;=70000,(V122-55000)*15%+1500,
IF(V122&lt;=200000,(V122-70000)*20%+1500+2250,
IF(V122&lt;=400000,(V122-200000)*22.5%+1500+2250+26000,
IF(V122&lt;=600000,(V122-400000)*25%+1500+2250+26000+45000,
IF(AND(V122&gt;600000,V122&lt;=1200000),(V122-400000)*25%+1500+2250+26000+45000
+IFERROR(LOOKUP(V122,{600001;700001;800001;900001},{4000;6750;10250;15250}),0),IF(V122&gt;1200000,((V122-1200000)*27.5%)+300000,0)
)))))))</f>
        <v>0</v>
      </c>
      <c r="X122" s="12">
        <f t="shared" si="37"/>
        <v>0</v>
      </c>
      <c r="Y122" s="12">
        <f t="shared" si="38"/>
        <v>0</v>
      </c>
      <c r="Z122" s="11"/>
      <c r="AA122" s="13">
        <f t="shared" si="39"/>
        <v>0</v>
      </c>
      <c r="AB122" s="12">
        <f t="shared" si="40"/>
        <v>0</v>
      </c>
      <c r="AC122" s="14">
        <f t="shared" si="28"/>
        <v>0</v>
      </c>
      <c r="AE122" s="19">
        <f t="shared" si="41"/>
        <v>0</v>
      </c>
      <c r="AF122" s="19"/>
      <c r="AG122" s="17"/>
      <c r="AK122" s="7"/>
      <c r="AL122" s="108">
        <f t="shared" si="29"/>
        <v>0</v>
      </c>
      <c r="AM122" s="108">
        <f t="shared" si="30"/>
        <v>0</v>
      </c>
      <c r="AN122" s="113"/>
    </row>
    <row r="123" spans="2:40" x14ac:dyDescent="0.2">
      <c r="B123" s="7"/>
      <c r="C123" s="8"/>
      <c r="D123" s="8"/>
      <c r="E123" s="9"/>
      <c r="F123" s="6"/>
      <c r="G123" s="8"/>
      <c r="H123" s="32"/>
      <c r="I123" s="10" t="str">
        <f t="shared" si="27"/>
        <v>21</v>
      </c>
      <c r="J123" s="11">
        <v>1</v>
      </c>
      <c r="K123" s="11"/>
      <c r="L123" s="11"/>
      <c r="M123" s="11">
        <f t="shared" si="31"/>
        <v>0</v>
      </c>
      <c r="N123" s="11"/>
      <c r="O123" s="11">
        <f t="shared" si="32"/>
        <v>0</v>
      </c>
      <c r="P123" s="11"/>
      <c r="Q123" s="11"/>
      <c r="R123" s="11"/>
      <c r="S123" s="11">
        <f t="shared" si="33"/>
        <v>0</v>
      </c>
      <c r="T123" s="11">
        <f t="shared" si="34"/>
        <v>1666.6666666666667</v>
      </c>
      <c r="U123" s="11">
        <f t="shared" si="35"/>
        <v>0</v>
      </c>
      <c r="V123" s="24">
        <f t="shared" si="36"/>
        <v>0</v>
      </c>
      <c r="W123" s="11">
        <f>IF(V123&lt;=40000,0,
IF(V123&lt;=55000,(V123-40000)*10%,
IF(V123&lt;=70000,(V123-55000)*15%+1500,
IF(V123&lt;=200000,(V123-70000)*20%+1500+2250,
IF(V123&lt;=400000,(V123-200000)*22.5%+1500+2250+26000,
IF(V123&lt;=600000,(V123-400000)*25%+1500+2250+26000+45000,
IF(AND(V123&gt;600000,V123&lt;=1200000),(V123-400000)*25%+1500+2250+26000+45000
+IFERROR(LOOKUP(V123,{600001;700001;800001;900001},{4000;6750;10250;15250}),0),IF(V123&gt;1200000,((V123-1200000)*27.5%)+300000,0)
)))))))</f>
        <v>0</v>
      </c>
      <c r="X123" s="12">
        <f t="shared" si="37"/>
        <v>0</v>
      </c>
      <c r="Y123" s="12">
        <f t="shared" si="38"/>
        <v>0</v>
      </c>
      <c r="Z123" s="11"/>
      <c r="AA123" s="13">
        <f t="shared" si="39"/>
        <v>0</v>
      </c>
      <c r="AB123" s="12">
        <f t="shared" si="40"/>
        <v>0</v>
      </c>
      <c r="AC123" s="14">
        <f t="shared" si="28"/>
        <v>0</v>
      </c>
      <c r="AE123" s="19">
        <f t="shared" si="41"/>
        <v>0</v>
      </c>
      <c r="AF123" s="19"/>
      <c r="AG123" s="17"/>
      <c r="AK123" s="7"/>
      <c r="AL123" s="108">
        <f t="shared" si="29"/>
        <v>0</v>
      </c>
      <c r="AM123" s="108">
        <f t="shared" si="30"/>
        <v>0</v>
      </c>
      <c r="AN123" s="113"/>
    </row>
    <row r="124" spans="2:40" x14ac:dyDescent="0.2">
      <c r="B124" s="7"/>
      <c r="C124" s="8"/>
      <c r="D124" s="8"/>
      <c r="E124" s="9"/>
      <c r="F124" s="6"/>
      <c r="G124" s="8"/>
      <c r="H124" s="32"/>
      <c r="I124" s="10" t="str">
        <f t="shared" si="27"/>
        <v>21</v>
      </c>
      <c r="J124" s="11">
        <v>1</v>
      </c>
      <c r="K124" s="11"/>
      <c r="L124" s="11"/>
      <c r="M124" s="11">
        <f t="shared" si="31"/>
        <v>0</v>
      </c>
      <c r="N124" s="11"/>
      <c r="O124" s="11">
        <f t="shared" si="32"/>
        <v>0</v>
      </c>
      <c r="P124" s="11"/>
      <c r="Q124" s="11"/>
      <c r="R124" s="11"/>
      <c r="S124" s="11">
        <f t="shared" si="33"/>
        <v>0</v>
      </c>
      <c r="T124" s="11">
        <f t="shared" si="34"/>
        <v>1666.6666666666667</v>
      </c>
      <c r="U124" s="11">
        <f t="shared" si="35"/>
        <v>0</v>
      </c>
      <c r="V124" s="24">
        <f t="shared" si="36"/>
        <v>0</v>
      </c>
      <c r="W124" s="11">
        <f>IF(V124&lt;=40000,0,
IF(V124&lt;=55000,(V124-40000)*10%,
IF(V124&lt;=70000,(V124-55000)*15%+1500,
IF(V124&lt;=200000,(V124-70000)*20%+1500+2250,
IF(V124&lt;=400000,(V124-200000)*22.5%+1500+2250+26000,
IF(V124&lt;=600000,(V124-400000)*25%+1500+2250+26000+45000,
IF(AND(V124&gt;600000,V124&lt;=1200000),(V124-400000)*25%+1500+2250+26000+45000
+IFERROR(LOOKUP(V124,{600001;700001;800001;900001},{4000;6750;10250;15250}),0),IF(V124&gt;1200000,((V124-1200000)*27.5%)+300000,0)
)))))))</f>
        <v>0</v>
      </c>
      <c r="X124" s="12">
        <f t="shared" si="37"/>
        <v>0</v>
      </c>
      <c r="Y124" s="12">
        <f t="shared" si="38"/>
        <v>0</v>
      </c>
      <c r="Z124" s="11"/>
      <c r="AA124" s="13">
        <f t="shared" si="39"/>
        <v>0</v>
      </c>
      <c r="AB124" s="12">
        <f t="shared" si="40"/>
        <v>0</v>
      </c>
      <c r="AC124" s="14">
        <f t="shared" si="28"/>
        <v>0</v>
      </c>
      <c r="AE124" s="19">
        <f t="shared" si="41"/>
        <v>0</v>
      </c>
      <c r="AF124" s="19"/>
      <c r="AG124" s="17"/>
      <c r="AK124" s="7"/>
      <c r="AL124" s="108">
        <f t="shared" si="29"/>
        <v>0</v>
      </c>
      <c r="AM124" s="108">
        <f t="shared" si="30"/>
        <v>0</v>
      </c>
      <c r="AN124" s="113"/>
    </row>
    <row r="125" spans="2:40" x14ac:dyDescent="0.2">
      <c r="B125" s="7"/>
      <c r="C125" s="8"/>
      <c r="D125" s="8"/>
      <c r="E125" s="9"/>
      <c r="F125" s="6"/>
      <c r="G125" s="8"/>
      <c r="H125" s="32"/>
      <c r="I125" s="10" t="str">
        <f t="shared" si="27"/>
        <v>21</v>
      </c>
      <c r="J125" s="11">
        <v>1</v>
      </c>
      <c r="K125" s="11"/>
      <c r="L125" s="11"/>
      <c r="M125" s="11">
        <f t="shared" si="31"/>
        <v>0</v>
      </c>
      <c r="N125" s="11"/>
      <c r="O125" s="11">
        <f t="shared" si="32"/>
        <v>0</v>
      </c>
      <c r="P125" s="11"/>
      <c r="Q125" s="11"/>
      <c r="R125" s="11"/>
      <c r="S125" s="11">
        <f t="shared" si="33"/>
        <v>0</v>
      </c>
      <c r="T125" s="11">
        <f t="shared" si="34"/>
        <v>1666.6666666666667</v>
      </c>
      <c r="U125" s="11">
        <f t="shared" si="35"/>
        <v>0</v>
      </c>
      <c r="V125" s="24">
        <f t="shared" si="36"/>
        <v>0</v>
      </c>
      <c r="W125" s="11">
        <f>IF(V125&lt;=40000,0,
IF(V125&lt;=55000,(V125-40000)*10%,
IF(V125&lt;=70000,(V125-55000)*15%+1500,
IF(V125&lt;=200000,(V125-70000)*20%+1500+2250,
IF(V125&lt;=400000,(V125-200000)*22.5%+1500+2250+26000,
IF(V125&lt;=600000,(V125-400000)*25%+1500+2250+26000+45000,
IF(AND(V125&gt;600000,V125&lt;=1200000),(V125-400000)*25%+1500+2250+26000+45000
+IFERROR(LOOKUP(V125,{600001;700001;800001;900001},{4000;6750;10250;15250}),0),IF(V125&gt;1200000,((V125-1200000)*27.5%)+300000,0)
)))))))</f>
        <v>0</v>
      </c>
      <c r="X125" s="12">
        <f t="shared" si="37"/>
        <v>0</v>
      </c>
      <c r="Y125" s="12">
        <f t="shared" si="38"/>
        <v>0</v>
      </c>
      <c r="Z125" s="11"/>
      <c r="AA125" s="13">
        <f t="shared" si="39"/>
        <v>0</v>
      </c>
      <c r="AB125" s="12">
        <f t="shared" si="40"/>
        <v>0</v>
      </c>
      <c r="AC125" s="14">
        <f t="shared" si="28"/>
        <v>0</v>
      </c>
      <c r="AE125" s="19">
        <f t="shared" si="41"/>
        <v>0</v>
      </c>
      <c r="AF125" s="19"/>
      <c r="AG125" s="17"/>
      <c r="AK125" s="7"/>
      <c r="AL125" s="108">
        <f t="shared" si="29"/>
        <v>0</v>
      </c>
      <c r="AM125" s="108">
        <f t="shared" si="30"/>
        <v>0</v>
      </c>
      <c r="AN125" s="113"/>
    </row>
    <row r="126" spans="2:40" x14ac:dyDescent="0.2">
      <c r="B126" s="7"/>
      <c r="C126" s="8"/>
      <c r="D126" s="8"/>
      <c r="E126" s="9"/>
      <c r="F126" s="6"/>
      <c r="G126" s="8"/>
      <c r="H126" s="32"/>
      <c r="I126" s="10" t="str">
        <f t="shared" si="27"/>
        <v>21</v>
      </c>
      <c r="J126" s="11">
        <v>1</v>
      </c>
      <c r="K126" s="11"/>
      <c r="L126" s="11"/>
      <c r="M126" s="11">
        <f t="shared" si="31"/>
        <v>0</v>
      </c>
      <c r="N126" s="11"/>
      <c r="O126" s="11">
        <f t="shared" si="32"/>
        <v>0</v>
      </c>
      <c r="P126" s="11"/>
      <c r="Q126" s="11"/>
      <c r="R126" s="11"/>
      <c r="S126" s="11">
        <f t="shared" si="33"/>
        <v>0</v>
      </c>
      <c r="T126" s="11">
        <f t="shared" si="34"/>
        <v>1666.6666666666667</v>
      </c>
      <c r="U126" s="11">
        <f t="shared" si="35"/>
        <v>0</v>
      </c>
      <c r="V126" s="24">
        <f t="shared" si="36"/>
        <v>0</v>
      </c>
      <c r="W126" s="11">
        <f>IF(V126&lt;=40000,0,
IF(V126&lt;=55000,(V126-40000)*10%,
IF(V126&lt;=70000,(V126-55000)*15%+1500,
IF(V126&lt;=200000,(V126-70000)*20%+1500+2250,
IF(V126&lt;=400000,(V126-200000)*22.5%+1500+2250+26000,
IF(V126&lt;=600000,(V126-400000)*25%+1500+2250+26000+45000,
IF(AND(V126&gt;600000,V126&lt;=1200000),(V126-400000)*25%+1500+2250+26000+45000
+IFERROR(LOOKUP(V126,{600001;700001;800001;900001},{4000;6750;10250;15250}),0),IF(V126&gt;1200000,((V126-1200000)*27.5%)+300000,0)
)))))))</f>
        <v>0</v>
      </c>
      <c r="X126" s="12">
        <f t="shared" si="37"/>
        <v>0</v>
      </c>
      <c r="Y126" s="12">
        <f t="shared" si="38"/>
        <v>0</v>
      </c>
      <c r="Z126" s="11"/>
      <c r="AA126" s="13">
        <f t="shared" si="39"/>
        <v>0</v>
      </c>
      <c r="AB126" s="12">
        <f t="shared" si="40"/>
        <v>0</v>
      </c>
      <c r="AC126" s="14">
        <f t="shared" si="28"/>
        <v>0</v>
      </c>
      <c r="AE126" s="19">
        <f t="shared" si="41"/>
        <v>0</v>
      </c>
      <c r="AF126" s="19"/>
      <c r="AG126" s="17"/>
      <c r="AK126" s="7"/>
      <c r="AL126" s="108">
        <f t="shared" si="29"/>
        <v>0</v>
      </c>
      <c r="AM126" s="108">
        <f t="shared" si="30"/>
        <v>0</v>
      </c>
      <c r="AN126" s="113"/>
    </row>
    <row r="127" spans="2:40" x14ac:dyDescent="0.2">
      <c r="B127" s="7"/>
      <c r="C127" s="8"/>
      <c r="D127" s="8"/>
      <c r="E127" s="9"/>
      <c r="F127" s="6"/>
      <c r="G127" s="8"/>
      <c r="H127" s="32"/>
      <c r="I127" s="10" t="str">
        <f t="shared" si="27"/>
        <v>21</v>
      </c>
      <c r="J127" s="11">
        <v>1</v>
      </c>
      <c r="K127" s="11"/>
      <c r="L127" s="11"/>
      <c r="M127" s="11">
        <f t="shared" si="31"/>
        <v>0</v>
      </c>
      <c r="N127" s="11"/>
      <c r="O127" s="11">
        <f t="shared" si="32"/>
        <v>0</v>
      </c>
      <c r="P127" s="11"/>
      <c r="Q127" s="11"/>
      <c r="R127" s="11"/>
      <c r="S127" s="11">
        <f t="shared" si="33"/>
        <v>0</v>
      </c>
      <c r="T127" s="11">
        <f t="shared" si="34"/>
        <v>1666.6666666666667</v>
      </c>
      <c r="U127" s="11">
        <f t="shared" si="35"/>
        <v>0</v>
      </c>
      <c r="V127" s="24">
        <f t="shared" si="36"/>
        <v>0</v>
      </c>
      <c r="W127" s="11">
        <f>IF(V127&lt;=40000,0,
IF(V127&lt;=55000,(V127-40000)*10%,
IF(V127&lt;=70000,(V127-55000)*15%+1500,
IF(V127&lt;=200000,(V127-70000)*20%+1500+2250,
IF(V127&lt;=400000,(V127-200000)*22.5%+1500+2250+26000,
IF(V127&lt;=600000,(V127-400000)*25%+1500+2250+26000+45000,
IF(AND(V127&gt;600000,V127&lt;=1200000),(V127-400000)*25%+1500+2250+26000+45000
+IFERROR(LOOKUP(V127,{600001;700001;800001;900001},{4000;6750;10250;15250}),0),IF(V127&gt;1200000,((V127-1200000)*27.5%)+300000,0)
)))))))</f>
        <v>0</v>
      </c>
      <c r="X127" s="12">
        <f t="shared" si="37"/>
        <v>0</v>
      </c>
      <c r="Y127" s="12">
        <f t="shared" si="38"/>
        <v>0</v>
      </c>
      <c r="Z127" s="11"/>
      <c r="AA127" s="13">
        <f t="shared" si="39"/>
        <v>0</v>
      </c>
      <c r="AB127" s="12">
        <f t="shared" si="40"/>
        <v>0</v>
      </c>
      <c r="AC127" s="14">
        <f t="shared" si="28"/>
        <v>0</v>
      </c>
      <c r="AE127" s="19">
        <f t="shared" si="41"/>
        <v>0</v>
      </c>
      <c r="AF127" s="19"/>
      <c r="AG127" s="17"/>
      <c r="AK127" s="7"/>
      <c r="AL127" s="108">
        <f t="shared" si="29"/>
        <v>0</v>
      </c>
      <c r="AM127" s="108">
        <f t="shared" si="30"/>
        <v>0</v>
      </c>
      <c r="AN127" s="113"/>
    </row>
    <row r="128" spans="2:40" x14ac:dyDescent="0.2">
      <c r="B128" s="7"/>
      <c r="C128" s="8"/>
      <c r="D128" s="8"/>
      <c r="E128" s="9"/>
      <c r="F128" s="6"/>
      <c r="G128" s="8"/>
      <c r="H128" s="32"/>
      <c r="I128" s="10" t="str">
        <f t="shared" si="27"/>
        <v>21</v>
      </c>
      <c r="J128" s="11">
        <v>1</v>
      </c>
      <c r="K128" s="11"/>
      <c r="L128" s="11"/>
      <c r="M128" s="11">
        <f t="shared" si="31"/>
        <v>0</v>
      </c>
      <c r="N128" s="11"/>
      <c r="O128" s="11">
        <f t="shared" si="32"/>
        <v>0</v>
      </c>
      <c r="P128" s="11"/>
      <c r="Q128" s="11"/>
      <c r="R128" s="11"/>
      <c r="S128" s="11">
        <f t="shared" si="33"/>
        <v>0</v>
      </c>
      <c r="T128" s="11">
        <f t="shared" si="34"/>
        <v>1666.6666666666667</v>
      </c>
      <c r="U128" s="11">
        <f t="shared" si="35"/>
        <v>0</v>
      </c>
      <c r="V128" s="24">
        <f t="shared" si="36"/>
        <v>0</v>
      </c>
      <c r="W128" s="11">
        <f>IF(V128&lt;=40000,0,
IF(V128&lt;=55000,(V128-40000)*10%,
IF(V128&lt;=70000,(V128-55000)*15%+1500,
IF(V128&lt;=200000,(V128-70000)*20%+1500+2250,
IF(V128&lt;=400000,(V128-200000)*22.5%+1500+2250+26000,
IF(V128&lt;=600000,(V128-400000)*25%+1500+2250+26000+45000,
IF(AND(V128&gt;600000,V128&lt;=1200000),(V128-400000)*25%+1500+2250+26000+45000
+IFERROR(LOOKUP(V128,{600001;700001;800001;900001},{4000;6750;10250;15250}),0),IF(V128&gt;1200000,((V128-1200000)*27.5%)+300000,0)
)))))))</f>
        <v>0</v>
      </c>
      <c r="X128" s="12">
        <f t="shared" si="37"/>
        <v>0</v>
      </c>
      <c r="Y128" s="12">
        <f t="shared" si="38"/>
        <v>0</v>
      </c>
      <c r="Z128" s="11"/>
      <c r="AA128" s="13">
        <f t="shared" si="39"/>
        <v>0</v>
      </c>
      <c r="AB128" s="12">
        <f t="shared" si="40"/>
        <v>0</v>
      </c>
      <c r="AC128" s="14">
        <f t="shared" si="28"/>
        <v>0</v>
      </c>
      <c r="AE128" s="19">
        <f t="shared" si="41"/>
        <v>0</v>
      </c>
      <c r="AF128" s="19"/>
      <c r="AG128" s="17"/>
      <c r="AK128" s="7"/>
      <c r="AL128" s="108">
        <f t="shared" si="29"/>
        <v>0</v>
      </c>
      <c r="AM128" s="108">
        <f t="shared" si="30"/>
        <v>0</v>
      </c>
      <c r="AN128" s="113"/>
    </row>
    <row r="129" spans="2:40" x14ac:dyDescent="0.2">
      <c r="B129" s="7"/>
      <c r="C129" s="8"/>
      <c r="D129" s="8"/>
      <c r="E129" s="9"/>
      <c r="F129" s="6"/>
      <c r="G129" s="8"/>
      <c r="H129" s="32"/>
      <c r="I129" s="10" t="str">
        <f t="shared" si="27"/>
        <v>21</v>
      </c>
      <c r="J129" s="11">
        <v>1</v>
      </c>
      <c r="K129" s="11"/>
      <c r="L129" s="11"/>
      <c r="M129" s="11">
        <f t="shared" si="31"/>
        <v>0</v>
      </c>
      <c r="N129" s="11"/>
      <c r="O129" s="11">
        <f t="shared" si="32"/>
        <v>0</v>
      </c>
      <c r="P129" s="11"/>
      <c r="Q129" s="11"/>
      <c r="R129" s="11"/>
      <c r="S129" s="11">
        <f t="shared" si="33"/>
        <v>0</v>
      </c>
      <c r="T129" s="11">
        <f t="shared" si="34"/>
        <v>1666.6666666666667</v>
      </c>
      <c r="U129" s="11">
        <f t="shared" si="35"/>
        <v>0</v>
      </c>
      <c r="V129" s="24">
        <f t="shared" si="36"/>
        <v>0</v>
      </c>
      <c r="W129" s="11">
        <f>IF(V129&lt;=40000,0,
IF(V129&lt;=55000,(V129-40000)*10%,
IF(V129&lt;=70000,(V129-55000)*15%+1500,
IF(V129&lt;=200000,(V129-70000)*20%+1500+2250,
IF(V129&lt;=400000,(V129-200000)*22.5%+1500+2250+26000,
IF(V129&lt;=600000,(V129-400000)*25%+1500+2250+26000+45000,
IF(AND(V129&gt;600000,V129&lt;=1200000),(V129-400000)*25%+1500+2250+26000+45000
+IFERROR(LOOKUP(V129,{600001;700001;800001;900001},{4000;6750;10250;15250}),0),IF(V129&gt;1200000,((V129-1200000)*27.5%)+300000,0)
)))))))</f>
        <v>0</v>
      </c>
      <c r="X129" s="12">
        <f t="shared" si="37"/>
        <v>0</v>
      </c>
      <c r="Y129" s="12">
        <f t="shared" si="38"/>
        <v>0</v>
      </c>
      <c r="Z129" s="11"/>
      <c r="AA129" s="13">
        <f t="shared" si="39"/>
        <v>0</v>
      </c>
      <c r="AB129" s="12">
        <f t="shared" si="40"/>
        <v>0</v>
      </c>
      <c r="AC129" s="14">
        <f t="shared" si="28"/>
        <v>0</v>
      </c>
      <c r="AE129" s="19">
        <f t="shared" si="41"/>
        <v>0</v>
      </c>
      <c r="AF129" s="19"/>
      <c r="AG129" s="17"/>
      <c r="AK129" s="7"/>
      <c r="AL129" s="108">
        <f t="shared" si="29"/>
        <v>0</v>
      </c>
      <c r="AM129" s="108">
        <f t="shared" si="30"/>
        <v>0</v>
      </c>
      <c r="AN129" s="113"/>
    </row>
    <row r="130" spans="2:40" x14ac:dyDescent="0.2">
      <c r="B130" s="7"/>
      <c r="C130" s="8"/>
      <c r="D130" s="8"/>
      <c r="E130" s="9"/>
      <c r="F130" s="6"/>
      <c r="G130" s="8"/>
      <c r="H130" s="32"/>
      <c r="I130" s="10" t="str">
        <f t="shared" si="27"/>
        <v>21</v>
      </c>
      <c r="J130" s="11">
        <v>1</v>
      </c>
      <c r="K130" s="11"/>
      <c r="L130" s="11"/>
      <c r="M130" s="11">
        <f t="shared" si="31"/>
        <v>0</v>
      </c>
      <c r="N130" s="11"/>
      <c r="O130" s="11">
        <f t="shared" si="32"/>
        <v>0</v>
      </c>
      <c r="P130" s="11"/>
      <c r="Q130" s="11"/>
      <c r="R130" s="11"/>
      <c r="S130" s="11">
        <f t="shared" si="33"/>
        <v>0</v>
      </c>
      <c r="T130" s="11">
        <f t="shared" si="34"/>
        <v>1666.6666666666667</v>
      </c>
      <c r="U130" s="11">
        <f t="shared" si="35"/>
        <v>0</v>
      </c>
      <c r="V130" s="24">
        <f t="shared" si="36"/>
        <v>0</v>
      </c>
      <c r="W130" s="11">
        <f>IF(V130&lt;=40000,0,
IF(V130&lt;=55000,(V130-40000)*10%,
IF(V130&lt;=70000,(V130-55000)*15%+1500,
IF(V130&lt;=200000,(V130-70000)*20%+1500+2250,
IF(V130&lt;=400000,(V130-200000)*22.5%+1500+2250+26000,
IF(V130&lt;=600000,(V130-400000)*25%+1500+2250+26000+45000,
IF(AND(V130&gt;600000,V130&lt;=1200000),(V130-400000)*25%+1500+2250+26000+45000
+IFERROR(LOOKUP(V130,{600001;700001;800001;900001},{4000;6750;10250;15250}),0),IF(V130&gt;1200000,((V130-1200000)*27.5%)+300000,0)
)))))))</f>
        <v>0</v>
      </c>
      <c r="X130" s="12">
        <f t="shared" si="37"/>
        <v>0</v>
      </c>
      <c r="Y130" s="12">
        <f t="shared" si="38"/>
        <v>0</v>
      </c>
      <c r="Z130" s="11"/>
      <c r="AA130" s="13">
        <f t="shared" si="39"/>
        <v>0</v>
      </c>
      <c r="AB130" s="12">
        <f t="shared" si="40"/>
        <v>0</v>
      </c>
      <c r="AC130" s="14">
        <f t="shared" si="28"/>
        <v>0</v>
      </c>
      <c r="AE130" s="19">
        <f t="shared" si="41"/>
        <v>0</v>
      </c>
      <c r="AF130" s="19"/>
      <c r="AG130" s="17"/>
      <c r="AK130" s="7"/>
      <c r="AL130" s="108">
        <f t="shared" si="29"/>
        <v>0</v>
      </c>
      <c r="AM130" s="108">
        <f t="shared" si="30"/>
        <v>0</v>
      </c>
      <c r="AN130" s="113"/>
    </row>
    <row r="131" spans="2:40" x14ac:dyDescent="0.2">
      <c r="B131" s="7"/>
      <c r="C131" s="8"/>
      <c r="D131" s="8"/>
      <c r="E131" s="9"/>
      <c r="F131" s="6"/>
      <c r="G131" s="8"/>
      <c r="H131" s="32"/>
      <c r="I131" s="10" t="str">
        <f t="shared" si="27"/>
        <v>21</v>
      </c>
      <c r="J131" s="11">
        <v>1</v>
      </c>
      <c r="K131" s="11"/>
      <c r="L131" s="11"/>
      <c r="M131" s="11">
        <f t="shared" si="31"/>
        <v>0</v>
      </c>
      <c r="N131" s="11"/>
      <c r="O131" s="11">
        <f t="shared" si="32"/>
        <v>0</v>
      </c>
      <c r="P131" s="11"/>
      <c r="Q131" s="11"/>
      <c r="R131" s="11"/>
      <c r="S131" s="11">
        <f t="shared" si="33"/>
        <v>0</v>
      </c>
      <c r="T131" s="11">
        <f t="shared" si="34"/>
        <v>1666.6666666666667</v>
      </c>
      <c r="U131" s="11">
        <f t="shared" si="35"/>
        <v>0</v>
      </c>
      <c r="V131" s="24">
        <f t="shared" si="36"/>
        <v>0</v>
      </c>
      <c r="W131" s="11">
        <f>IF(V131&lt;=40000,0,
IF(V131&lt;=55000,(V131-40000)*10%,
IF(V131&lt;=70000,(V131-55000)*15%+1500,
IF(V131&lt;=200000,(V131-70000)*20%+1500+2250,
IF(V131&lt;=400000,(V131-200000)*22.5%+1500+2250+26000,
IF(V131&lt;=600000,(V131-400000)*25%+1500+2250+26000+45000,
IF(AND(V131&gt;600000,V131&lt;=1200000),(V131-400000)*25%+1500+2250+26000+45000
+IFERROR(LOOKUP(V131,{600001;700001;800001;900001},{4000;6750;10250;15250}),0),IF(V131&gt;1200000,((V131-1200000)*27.5%)+300000,0)
)))))))</f>
        <v>0</v>
      </c>
      <c r="X131" s="12">
        <f t="shared" si="37"/>
        <v>0</v>
      </c>
      <c r="Y131" s="12">
        <f t="shared" si="38"/>
        <v>0</v>
      </c>
      <c r="Z131" s="11"/>
      <c r="AA131" s="13">
        <f t="shared" si="39"/>
        <v>0</v>
      </c>
      <c r="AB131" s="12">
        <f t="shared" si="40"/>
        <v>0</v>
      </c>
      <c r="AC131" s="14">
        <f t="shared" si="28"/>
        <v>0</v>
      </c>
      <c r="AE131" s="19">
        <f t="shared" si="41"/>
        <v>0</v>
      </c>
      <c r="AF131" s="19"/>
      <c r="AG131" s="17"/>
      <c r="AK131" s="7"/>
      <c r="AL131" s="108">
        <f t="shared" si="29"/>
        <v>0</v>
      </c>
      <c r="AM131" s="108">
        <f t="shared" si="30"/>
        <v>0</v>
      </c>
      <c r="AN131" s="113"/>
    </row>
    <row r="132" spans="2:40" x14ac:dyDescent="0.2">
      <c r="B132" s="7"/>
      <c r="C132" s="8"/>
      <c r="D132" s="8"/>
      <c r="E132" s="9"/>
      <c r="F132" s="6"/>
      <c r="G132" s="8"/>
      <c r="H132" s="32"/>
      <c r="I132" s="10" t="str">
        <f t="shared" si="27"/>
        <v>21</v>
      </c>
      <c r="J132" s="11">
        <v>1</v>
      </c>
      <c r="K132" s="11"/>
      <c r="L132" s="11"/>
      <c r="M132" s="11">
        <f t="shared" si="31"/>
        <v>0</v>
      </c>
      <c r="N132" s="11"/>
      <c r="O132" s="11">
        <f t="shared" si="32"/>
        <v>0</v>
      </c>
      <c r="P132" s="11"/>
      <c r="Q132" s="11"/>
      <c r="R132" s="11"/>
      <c r="S132" s="11">
        <f t="shared" si="33"/>
        <v>0</v>
      </c>
      <c r="T132" s="11">
        <f t="shared" si="34"/>
        <v>1666.6666666666667</v>
      </c>
      <c r="U132" s="11">
        <f t="shared" si="35"/>
        <v>0</v>
      </c>
      <c r="V132" s="24">
        <f t="shared" si="36"/>
        <v>0</v>
      </c>
      <c r="W132" s="11">
        <f>IF(V132&lt;=40000,0,
IF(V132&lt;=55000,(V132-40000)*10%,
IF(V132&lt;=70000,(V132-55000)*15%+1500,
IF(V132&lt;=200000,(V132-70000)*20%+1500+2250,
IF(V132&lt;=400000,(V132-200000)*22.5%+1500+2250+26000,
IF(V132&lt;=600000,(V132-400000)*25%+1500+2250+26000+45000,
IF(AND(V132&gt;600000,V132&lt;=1200000),(V132-400000)*25%+1500+2250+26000+45000
+IFERROR(LOOKUP(V132,{600001;700001;800001;900001},{4000;6750;10250;15250}),0),IF(V132&gt;1200000,((V132-1200000)*27.5%)+300000,0)
)))))))</f>
        <v>0</v>
      </c>
      <c r="X132" s="12">
        <f t="shared" si="37"/>
        <v>0</v>
      </c>
      <c r="Y132" s="12">
        <f t="shared" si="38"/>
        <v>0</v>
      </c>
      <c r="Z132" s="11"/>
      <c r="AA132" s="13">
        <f t="shared" si="39"/>
        <v>0</v>
      </c>
      <c r="AB132" s="12">
        <f t="shared" si="40"/>
        <v>0</v>
      </c>
      <c r="AC132" s="14">
        <f t="shared" si="28"/>
        <v>0</v>
      </c>
      <c r="AE132" s="19">
        <f t="shared" si="41"/>
        <v>0</v>
      </c>
      <c r="AF132" s="19"/>
      <c r="AG132" s="17"/>
      <c r="AK132" s="7"/>
      <c r="AL132" s="108">
        <f t="shared" si="29"/>
        <v>0</v>
      </c>
      <c r="AM132" s="108">
        <f t="shared" si="30"/>
        <v>0</v>
      </c>
      <c r="AN132" s="113"/>
    </row>
    <row r="133" spans="2:40" x14ac:dyDescent="0.2">
      <c r="B133" s="7"/>
      <c r="C133" s="8"/>
      <c r="D133" s="8"/>
      <c r="E133" s="9"/>
      <c r="F133" s="6"/>
      <c r="G133" s="8"/>
      <c r="H133" s="32"/>
      <c r="I133" s="10" t="str">
        <f t="shared" ref="I133:I196" si="42">IF(G133&gt;0,"1","21")</f>
        <v>21</v>
      </c>
      <c r="J133" s="11">
        <v>1</v>
      </c>
      <c r="K133" s="11"/>
      <c r="L133" s="11"/>
      <c r="M133" s="11">
        <f t="shared" si="31"/>
        <v>0</v>
      </c>
      <c r="N133" s="11"/>
      <c r="O133" s="11">
        <f t="shared" si="32"/>
        <v>0</v>
      </c>
      <c r="P133" s="11"/>
      <c r="Q133" s="11"/>
      <c r="R133" s="11"/>
      <c r="S133" s="11">
        <f t="shared" si="33"/>
        <v>0</v>
      </c>
      <c r="T133" s="11">
        <f t="shared" si="34"/>
        <v>1666.6666666666667</v>
      </c>
      <c r="U133" s="11">
        <f t="shared" si="35"/>
        <v>0</v>
      </c>
      <c r="V133" s="24">
        <f t="shared" si="36"/>
        <v>0</v>
      </c>
      <c r="W133" s="11">
        <f>IF(V133&lt;=40000,0,
IF(V133&lt;=55000,(V133-40000)*10%,
IF(V133&lt;=70000,(V133-55000)*15%+1500,
IF(V133&lt;=200000,(V133-70000)*20%+1500+2250,
IF(V133&lt;=400000,(V133-200000)*22.5%+1500+2250+26000,
IF(V133&lt;=600000,(V133-400000)*25%+1500+2250+26000+45000,
IF(AND(V133&gt;600000,V133&lt;=1200000),(V133-400000)*25%+1500+2250+26000+45000
+IFERROR(LOOKUP(V133,{600001;700001;800001;900001},{4000;6750;10250;15250}),0),IF(V133&gt;1200000,((V133-1200000)*27.5%)+300000,0)
)))))))</f>
        <v>0</v>
      </c>
      <c r="X133" s="12">
        <f t="shared" si="37"/>
        <v>0</v>
      </c>
      <c r="Y133" s="12">
        <f t="shared" si="38"/>
        <v>0</v>
      </c>
      <c r="Z133" s="11"/>
      <c r="AA133" s="13">
        <f t="shared" si="39"/>
        <v>0</v>
      </c>
      <c r="AB133" s="12">
        <f t="shared" si="40"/>
        <v>0</v>
      </c>
      <c r="AC133" s="14">
        <f t="shared" ref="AC133:AC196" si="43">+M133-P133-Y133</f>
        <v>0</v>
      </c>
      <c r="AE133" s="19">
        <f t="shared" si="41"/>
        <v>0</v>
      </c>
      <c r="AF133" s="19"/>
      <c r="AG133" s="17"/>
      <c r="AK133" s="7"/>
      <c r="AL133" s="108">
        <f t="shared" ref="AL133:AL196" si="44">+AK133+AD133</f>
        <v>0</v>
      </c>
      <c r="AM133" s="108">
        <f t="shared" ref="AM133:AM196" si="45">+AL133-AC133</f>
        <v>0</v>
      </c>
      <c r="AN133" s="113"/>
    </row>
    <row r="134" spans="2:40" x14ac:dyDescent="0.2">
      <c r="B134" s="7"/>
      <c r="C134" s="8"/>
      <c r="D134" s="8"/>
      <c r="E134" s="9"/>
      <c r="F134" s="6"/>
      <c r="G134" s="8"/>
      <c r="H134" s="32"/>
      <c r="I134" s="10" t="str">
        <f t="shared" si="42"/>
        <v>21</v>
      </c>
      <c r="J134" s="11">
        <v>1</v>
      </c>
      <c r="K134" s="11"/>
      <c r="L134" s="11"/>
      <c r="M134" s="11">
        <f t="shared" si="31"/>
        <v>0</v>
      </c>
      <c r="N134" s="11"/>
      <c r="O134" s="11">
        <f t="shared" si="32"/>
        <v>0</v>
      </c>
      <c r="P134" s="11"/>
      <c r="Q134" s="11"/>
      <c r="R134" s="11"/>
      <c r="S134" s="11">
        <f t="shared" si="33"/>
        <v>0</v>
      </c>
      <c r="T134" s="11">
        <f t="shared" si="34"/>
        <v>1666.6666666666667</v>
      </c>
      <c r="U134" s="11">
        <f t="shared" si="35"/>
        <v>0</v>
      </c>
      <c r="V134" s="24">
        <f t="shared" si="36"/>
        <v>0</v>
      </c>
      <c r="W134" s="11">
        <f>IF(V134&lt;=40000,0,
IF(V134&lt;=55000,(V134-40000)*10%,
IF(V134&lt;=70000,(V134-55000)*15%+1500,
IF(V134&lt;=200000,(V134-70000)*20%+1500+2250,
IF(V134&lt;=400000,(V134-200000)*22.5%+1500+2250+26000,
IF(V134&lt;=600000,(V134-400000)*25%+1500+2250+26000+45000,
IF(AND(V134&gt;600000,V134&lt;=1200000),(V134-400000)*25%+1500+2250+26000+45000
+IFERROR(LOOKUP(V134,{600001;700001;800001;900001},{4000;6750;10250;15250}),0),IF(V134&gt;1200000,((V134-1200000)*27.5%)+300000,0)
)))))))</f>
        <v>0</v>
      </c>
      <c r="X134" s="12">
        <f t="shared" si="37"/>
        <v>0</v>
      </c>
      <c r="Y134" s="12">
        <f t="shared" si="38"/>
        <v>0</v>
      </c>
      <c r="Z134" s="11"/>
      <c r="AA134" s="13">
        <f t="shared" si="39"/>
        <v>0</v>
      </c>
      <c r="AB134" s="12">
        <f t="shared" si="40"/>
        <v>0</v>
      </c>
      <c r="AC134" s="14">
        <f t="shared" si="43"/>
        <v>0</v>
      </c>
      <c r="AE134" s="19">
        <f t="shared" si="41"/>
        <v>0</v>
      </c>
      <c r="AF134" s="19"/>
      <c r="AG134" s="17"/>
      <c r="AK134" s="7"/>
      <c r="AL134" s="108">
        <f t="shared" si="44"/>
        <v>0</v>
      </c>
      <c r="AM134" s="108">
        <f t="shared" si="45"/>
        <v>0</v>
      </c>
      <c r="AN134" s="113"/>
    </row>
    <row r="135" spans="2:40" x14ac:dyDescent="0.2">
      <c r="B135" s="7"/>
      <c r="C135" s="8"/>
      <c r="D135" s="8"/>
      <c r="E135" s="9"/>
      <c r="F135" s="6"/>
      <c r="G135" s="8"/>
      <c r="H135" s="32"/>
      <c r="I135" s="10" t="str">
        <f t="shared" si="42"/>
        <v>21</v>
      </c>
      <c r="J135" s="11">
        <v>1</v>
      </c>
      <c r="K135" s="11"/>
      <c r="L135" s="11"/>
      <c r="M135" s="11">
        <f t="shared" si="31"/>
        <v>0</v>
      </c>
      <c r="N135" s="11"/>
      <c r="O135" s="11">
        <f t="shared" si="32"/>
        <v>0</v>
      </c>
      <c r="P135" s="11"/>
      <c r="Q135" s="11"/>
      <c r="R135" s="11"/>
      <c r="S135" s="11">
        <f t="shared" si="33"/>
        <v>0</v>
      </c>
      <c r="T135" s="11">
        <f t="shared" si="34"/>
        <v>1666.6666666666667</v>
      </c>
      <c r="U135" s="11">
        <f t="shared" si="35"/>
        <v>0</v>
      </c>
      <c r="V135" s="24">
        <f t="shared" si="36"/>
        <v>0</v>
      </c>
      <c r="W135" s="11">
        <f>IF(V135&lt;=40000,0,
IF(V135&lt;=55000,(V135-40000)*10%,
IF(V135&lt;=70000,(V135-55000)*15%+1500,
IF(V135&lt;=200000,(V135-70000)*20%+1500+2250,
IF(V135&lt;=400000,(V135-200000)*22.5%+1500+2250+26000,
IF(V135&lt;=600000,(V135-400000)*25%+1500+2250+26000+45000,
IF(AND(V135&gt;600000,V135&lt;=1200000),(V135-400000)*25%+1500+2250+26000+45000
+IFERROR(LOOKUP(V135,{600001;700001;800001;900001},{4000;6750;10250;15250}),0),IF(V135&gt;1200000,((V135-1200000)*27.5%)+300000,0)
)))))))</f>
        <v>0</v>
      </c>
      <c r="X135" s="12">
        <f t="shared" si="37"/>
        <v>0</v>
      </c>
      <c r="Y135" s="12">
        <f t="shared" si="38"/>
        <v>0</v>
      </c>
      <c r="Z135" s="11"/>
      <c r="AA135" s="13">
        <f t="shared" si="39"/>
        <v>0</v>
      </c>
      <c r="AB135" s="12">
        <f t="shared" si="40"/>
        <v>0</v>
      </c>
      <c r="AC135" s="14">
        <f t="shared" si="43"/>
        <v>0</v>
      </c>
      <c r="AE135" s="19">
        <f t="shared" si="41"/>
        <v>0</v>
      </c>
      <c r="AF135" s="19"/>
      <c r="AG135" s="17"/>
      <c r="AK135" s="7"/>
      <c r="AL135" s="108">
        <f t="shared" si="44"/>
        <v>0</v>
      </c>
      <c r="AM135" s="108">
        <f t="shared" si="45"/>
        <v>0</v>
      </c>
      <c r="AN135" s="113"/>
    </row>
    <row r="136" spans="2:40" x14ac:dyDescent="0.2">
      <c r="B136" s="7"/>
      <c r="C136" s="8"/>
      <c r="D136" s="8"/>
      <c r="E136" s="9"/>
      <c r="F136" s="6"/>
      <c r="G136" s="8"/>
      <c r="H136" s="32"/>
      <c r="I136" s="10" t="str">
        <f t="shared" si="42"/>
        <v>21</v>
      </c>
      <c r="J136" s="11">
        <v>1</v>
      </c>
      <c r="K136" s="11"/>
      <c r="L136" s="11"/>
      <c r="M136" s="11">
        <f t="shared" si="31"/>
        <v>0</v>
      </c>
      <c r="N136" s="11"/>
      <c r="O136" s="11">
        <f t="shared" si="32"/>
        <v>0</v>
      </c>
      <c r="P136" s="11"/>
      <c r="Q136" s="11"/>
      <c r="R136" s="11"/>
      <c r="S136" s="11">
        <f t="shared" si="33"/>
        <v>0</v>
      </c>
      <c r="T136" s="11">
        <f t="shared" si="34"/>
        <v>1666.6666666666667</v>
      </c>
      <c r="U136" s="11">
        <f t="shared" si="35"/>
        <v>0</v>
      </c>
      <c r="V136" s="24">
        <f t="shared" si="36"/>
        <v>0</v>
      </c>
      <c r="W136" s="11">
        <f>IF(V136&lt;=40000,0,
IF(V136&lt;=55000,(V136-40000)*10%,
IF(V136&lt;=70000,(V136-55000)*15%+1500,
IF(V136&lt;=200000,(V136-70000)*20%+1500+2250,
IF(V136&lt;=400000,(V136-200000)*22.5%+1500+2250+26000,
IF(V136&lt;=600000,(V136-400000)*25%+1500+2250+26000+45000,
IF(AND(V136&gt;600000,V136&lt;=1200000),(V136-400000)*25%+1500+2250+26000+45000
+IFERROR(LOOKUP(V136,{600001;700001;800001;900001},{4000;6750;10250;15250}),0),IF(V136&gt;1200000,((V136-1200000)*27.5%)+300000,0)
)))))))</f>
        <v>0</v>
      </c>
      <c r="X136" s="12">
        <f t="shared" si="37"/>
        <v>0</v>
      </c>
      <c r="Y136" s="12">
        <f t="shared" si="38"/>
        <v>0</v>
      </c>
      <c r="Z136" s="11"/>
      <c r="AA136" s="13">
        <f t="shared" si="39"/>
        <v>0</v>
      </c>
      <c r="AB136" s="12">
        <f t="shared" si="40"/>
        <v>0</v>
      </c>
      <c r="AC136" s="14">
        <f t="shared" si="43"/>
        <v>0</v>
      </c>
      <c r="AE136" s="19">
        <f t="shared" si="41"/>
        <v>0</v>
      </c>
      <c r="AF136" s="19"/>
      <c r="AG136" s="17"/>
      <c r="AK136" s="7"/>
      <c r="AL136" s="108">
        <f t="shared" si="44"/>
        <v>0</v>
      </c>
      <c r="AM136" s="108">
        <f t="shared" si="45"/>
        <v>0</v>
      </c>
      <c r="AN136" s="113"/>
    </row>
    <row r="137" spans="2:40" x14ac:dyDescent="0.2">
      <c r="B137" s="7"/>
      <c r="C137" s="8"/>
      <c r="D137" s="8"/>
      <c r="E137" s="9"/>
      <c r="F137" s="6"/>
      <c r="G137" s="8"/>
      <c r="H137" s="32"/>
      <c r="I137" s="10" t="str">
        <f t="shared" si="42"/>
        <v>21</v>
      </c>
      <c r="J137" s="11">
        <v>1</v>
      </c>
      <c r="K137" s="11"/>
      <c r="L137" s="11"/>
      <c r="M137" s="11">
        <f t="shared" si="31"/>
        <v>0</v>
      </c>
      <c r="N137" s="11"/>
      <c r="O137" s="11">
        <f t="shared" si="32"/>
        <v>0</v>
      </c>
      <c r="P137" s="11"/>
      <c r="Q137" s="11"/>
      <c r="R137" s="11"/>
      <c r="S137" s="11">
        <f t="shared" si="33"/>
        <v>0</v>
      </c>
      <c r="T137" s="11">
        <f t="shared" si="34"/>
        <v>1666.6666666666667</v>
      </c>
      <c r="U137" s="11">
        <f t="shared" si="35"/>
        <v>0</v>
      </c>
      <c r="V137" s="24">
        <f t="shared" si="36"/>
        <v>0</v>
      </c>
      <c r="W137" s="11">
        <f>IF(V137&lt;=40000,0,
IF(V137&lt;=55000,(V137-40000)*10%,
IF(V137&lt;=70000,(V137-55000)*15%+1500,
IF(V137&lt;=200000,(V137-70000)*20%+1500+2250,
IF(V137&lt;=400000,(V137-200000)*22.5%+1500+2250+26000,
IF(V137&lt;=600000,(V137-400000)*25%+1500+2250+26000+45000,
IF(AND(V137&gt;600000,V137&lt;=1200000),(V137-400000)*25%+1500+2250+26000+45000
+IFERROR(LOOKUP(V137,{600001;700001;800001;900001},{4000;6750;10250;15250}),0),IF(V137&gt;1200000,((V137-1200000)*27.5%)+300000,0)
)))))))</f>
        <v>0</v>
      </c>
      <c r="X137" s="12">
        <f t="shared" si="37"/>
        <v>0</v>
      </c>
      <c r="Y137" s="12">
        <f t="shared" si="38"/>
        <v>0</v>
      </c>
      <c r="Z137" s="11"/>
      <c r="AA137" s="13">
        <f t="shared" si="39"/>
        <v>0</v>
      </c>
      <c r="AB137" s="12">
        <f t="shared" si="40"/>
        <v>0</v>
      </c>
      <c r="AC137" s="14">
        <f t="shared" si="43"/>
        <v>0</v>
      </c>
      <c r="AE137" s="19">
        <f t="shared" si="41"/>
        <v>0</v>
      </c>
      <c r="AF137" s="19"/>
      <c r="AG137" s="17"/>
      <c r="AK137" s="7"/>
      <c r="AL137" s="108">
        <f t="shared" si="44"/>
        <v>0</v>
      </c>
      <c r="AM137" s="108">
        <f t="shared" si="45"/>
        <v>0</v>
      </c>
      <c r="AN137" s="113"/>
    </row>
    <row r="138" spans="2:40" x14ac:dyDescent="0.2">
      <c r="B138" s="7"/>
      <c r="C138" s="8"/>
      <c r="D138" s="8"/>
      <c r="E138" s="9"/>
      <c r="F138" s="6"/>
      <c r="G138" s="8"/>
      <c r="H138" s="32"/>
      <c r="I138" s="10" t="str">
        <f t="shared" si="42"/>
        <v>21</v>
      </c>
      <c r="J138" s="11">
        <v>1</v>
      </c>
      <c r="K138" s="11"/>
      <c r="L138" s="11"/>
      <c r="M138" s="11">
        <f t="shared" si="31"/>
        <v>0</v>
      </c>
      <c r="N138" s="11"/>
      <c r="O138" s="11">
        <f t="shared" si="32"/>
        <v>0</v>
      </c>
      <c r="P138" s="11"/>
      <c r="Q138" s="11"/>
      <c r="R138" s="11"/>
      <c r="S138" s="11">
        <f t="shared" si="33"/>
        <v>0</v>
      </c>
      <c r="T138" s="11">
        <f t="shared" si="34"/>
        <v>1666.6666666666667</v>
      </c>
      <c r="U138" s="11">
        <f t="shared" si="35"/>
        <v>0</v>
      </c>
      <c r="V138" s="24">
        <f t="shared" si="36"/>
        <v>0</v>
      </c>
      <c r="W138" s="11">
        <f>IF(V138&lt;=40000,0,
IF(V138&lt;=55000,(V138-40000)*10%,
IF(V138&lt;=70000,(V138-55000)*15%+1500,
IF(V138&lt;=200000,(V138-70000)*20%+1500+2250,
IF(V138&lt;=400000,(V138-200000)*22.5%+1500+2250+26000,
IF(V138&lt;=600000,(V138-400000)*25%+1500+2250+26000+45000,
IF(AND(V138&gt;600000,V138&lt;=1200000),(V138-400000)*25%+1500+2250+26000+45000
+IFERROR(LOOKUP(V138,{600001;700001;800001;900001},{4000;6750;10250;15250}),0),IF(V138&gt;1200000,((V138-1200000)*27.5%)+300000,0)
)))))))</f>
        <v>0</v>
      </c>
      <c r="X138" s="12">
        <f t="shared" si="37"/>
        <v>0</v>
      </c>
      <c r="Y138" s="12">
        <f t="shared" si="38"/>
        <v>0</v>
      </c>
      <c r="Z138" s="11"/>
      <c r="AA138" s="13">
        <f t="shared" si="39"/>
        <v>0</v>
      </c>
      <c r="AB138" s="12">
        <f t="shared" si="40"/>
        <v>0</v>
      </c>
      <c r="AC138" s="14">
        <f t="shared" si="43"/>
        <v>0</v>
      </c>
      <c r="AE138" s="19">
        <f t="shared" si="41"/>
        <v>0</v>
      </c>
      <c r="AF138" s="19"/>
      <c r="AG138" s="17"/>
      <c r="AK138" s="7"/>
      <c r="AL138" s="108">
        <f t="shared" si="44"/>
        <v>0</v>
      </c>
      <c r="AM138" s="108">
        <f t="shared" si="45"/>
        <v>0</v>
      </c>
      <c r="AN138" s="113"/>
    </row>
    <row r="139" spans="2:40" x14ac:dyDescent="0.2">
      <c r="B139" s="7"/>
      <c r="C139" s="8"/>
      <c r="D139" s="8"/>
      <c r="E139" s="9"/>
      <c r="F139" s="6"/>
      <c r="G139" s="8"/>
      <c r="H139" s="32"/>
      <c r="I139" s="10" t="str">
        <f t="shared" si="42"/>
        <v>21</v>
      </c>
      <c r="J139" s="11">
        <v>1</v>
      </c>
      <c r="K139" s="11"/>
      <c r="L139" s="11"/>
      <c r="M139" s="11">
        <f t="shared" si="31"/>
        <v>0</v>
      </c>
      <c r="N139" s="11"/>
      <c r="O139" s="11">
        <f t="shared" si="32"/>
        <v>0</v>
      </c>
      <c r="P139" s="11"/>
      <c r="Q139" s="11"/>
      <c r="R139" s="11"/>
      <c r="S139" s="11">
        <f t="shared" si="33"/>
        <v>0</v>
      </c>
      <c r="T139" s="11">
        <f t="shared" si="34"/>
        <v>1666.6666666666667</v>
      </c>
      <c r="U139" s="11">
        <f t="shared" si="35"/>
        <v>0</v>
      </c>
      <c r="V139" s="24">
        <f t="shared" si="36"/>
        <v>0</v>
      </c>
      <c r="W139" s="11">
        <f>IF(V139&lt;=40000,0,
IF(V139&lt;=55000,(V139-40000)*10%,
IF(V139&lt;=70000,(V139-55000)*15%+1500,
IF(V139&lt;=200000,(V139-70000)*20%+1500+2250,
IF(V139&lt;=400000,(V139-200000)*22.5%+1500+2250+26000,
IF(V139&lt;=600000,(V139-400000)*25%+1500+2250+26000+45000,
IF(AND(V139&gt;600000,V139&lt;=1200000),(V139-400000)*25%+1500+2250+26000+45000
+IFERROR(LOOKUP(V139,{600001;700001;800001;900001},{4000;6750;10250;15250}),0),IF(V139&gt;1200000,((V139-1200000)*27.5%)+300000,0)
)))))))</f>
        <v>0</v>
      </c>
      <c r="X139" s="12">
        <f t="shared" si="37"/>
        <v>0</v>
      </c>
      <c r="Y139" s="12">
        <f t="shared" si="38"/>
        <v>0</v>
      </c>
      <c r="Z139" s="11"/>
      <c r="AA139" s="13">
        <f t="shared" si="39"/>
        <v>0</v>
      </c>
      <c r="AB139" s="12">
        <f t="shared" si="40"/>
        <v>0</v>
      </c>
      <c r="AC139" s="14">
        <f t="shared" si="43"/>
        <v>0</v>
      </c>
      <c r="AE139" s="19">
        <f t="shared" si="41"/>
        <v>0</v>
      </c>
      <c r="AF139" s="19"/>
      <c r="AG139" s="17"/>
      <c r="AK139" s="7"/>
      <c r="AL139" s="108">
        <f t="shared" si="44"/>
        <v>0</v>
      </c>
      <c r="AM139" s="108">
        <f t="shared" si="45"/>
        <v>0</v>
      </c>
      <c r="AN139" s="113"/>
    </row>
    <row r="140" spans="2:40" x14ac:dyDescent="0.2">
      <c r="B140" s="7"/>
      <c r="C140" s="8"/>
      <c r="D140" s="8"/>
      <c r="E140" s="9"/>
      <c r="F140" s="6"/>
      <c r="G140" s="8"/>
      <c r="H140" s="32"/>
      <c r="I140" s="10" t="str">
        <f t="shared" si="42"/>
        <v>21</v>
      </c>
      <c r="J140" s="11">
        <v>1</v>
      </c>
      <c r="K140" s="11"/>
      <c r="L140" s="11"/>
      <c r="M140" s="11">
        <f t="shared" si="31"/>
        <v>0</v>
      </c>
      <c r="N140" s="11"/>
      <c r="O140" s="11">
        <f t="shared" si="32"/>
        <v>0</v>
      </c>
      <c r="P140" s="11"/>
      <c r="Q140" s="11"/>
      <c r="R140" s="11"/>
      <c r="S140" s="11">
        <f t="shared" si="33"/>
        <v>0</v>
      </c>
      <c r="T140" s="11">
        <f t="shared" si="34"/>
        <v>1666.6666666666667</v>
      </c>
      <c r="U140" s="11">
        <f t="shared" si="35"/>
        <v>0</v>
      </c>
      <c r="V140" s="24">
        <f t="shared" si="36"/>
        <v>0</v>
      </c>
      <c r="W140" s="11">
        <f>IF(V140&lt;=40000,0,
IF(V140&lt;=55000,(V140-40000)*10%,
IF(V140&lt;=70000,(V140-55000)*15%+1500,
IF(V140&lt;=200000,(V140-70000)*20%+1500+2250,
IF(V140&lt;=400000,(V140-200000)*22.5%+1500+2250+26000,
IF(V140&lt;=600000,(V140-400000)*25%+1500+2250+26000+45000,
IF(AND(V140&gt;600000,V140&lt;=1200000),(V140-400000)*25%+1500+2250+26000+45000
+IFERROR(LOOKUP(V140,{600001;700001;800001;900001},{4000;6750;10250;15250}),0),IF(V140&gt;1200000,((V140-1200000)*27.5%)+300000,0)
)))))))</f>
        <v>0</v>
      </c>
      <c r="X140" s="12">
        <f t="shared" si="37"/>
        <v>0</v>
      </c>
      <c r="Y140" s="12">
        <f t="shared" si="38"/>
        <v>0</v>
      </c>
      <c r="Z140" s="11"/>
      <c r="AA140" s="13">
        <f t="shared" si="39"/>
        <v>0</v>
      </c>
      <c r="AB140" s="12">
        <f t="shared" si="40"/>
        <v>0</v>
      </c>
      <c r="AC140" s="14">
        <f t="shared" si="43"/>
        <v>0</v>
      </c>
      <c r="AE140" s="19">
        <f t="shared" si="41"/>
        <v>0</v>
      </c>
      <c r="AF140" s="19"/>
      <c r="AG140" s="17"/>
      <c r="AK140" s="7"/>
      <c r="AL140" s="108">
        <f t="shared" si="44"/>
        <v>0</v>
      </c>
      <c r="AM140" s="108">
        <f t="shared" si="45"/>
        <v>0</v>
      </c>
      <c r="AN140" s="113"/>
    </row>
    <row r="141" spans="2:40" x14ac:dyDescent="0.2">
      <c r="B141" s="7"/>
      <c r="C141" s="8"/>
      <c r="D141" s="8"/>
      <c r="E141" s="9"/>
      <c r="F141" s="6"/>
      <c r="G141" s="8"/>
      <c r="H141" s="32"/>
      <c r="I141" s="10" t="str">
        <f t="shared" si="42"/>
        <v>21</v>
      </c>
      <c r="J141" s="11">
        <v>1</v>
      </c>
      <c r="K141" s="11"/>
      <c r="L141" s="11"/>
      <c r="M141" s="11">
        <f t="shared" si="31"/>
        <v>0</v>
      </c>
      <c r="N141" s="11"/>
      <c r="O141" s="11">
        <f t="shared" si="32"/>
        <v>0</v>
      </c>
      <c r="P141" s="11"/>
      <c r="Q141" s="11"/>
      <c r="R141" s="11"/>
      <c r="S141" s="11">
        <f t="shared" si="33"/>
        <v>0</v>
      </c>
      <c r="T141" s="11">
        <f t="shared" si="34"/>
        <v>1666.6666666666667</v>
      </c>
      <c r="U141" s="11">
        <f t="shared" si="35"/>
        <v>0</v>
      </c>
      <c r="V141" s="24">
        <f t="shared" si="36"/>
        <v>0</v>
      </c>
      <c r="W141" s="11">
        <f>IF(V141&lt;=40000,0,
IF(V141&lt;=55000,(V141-40000)*10%,
IF(V141&lt;=70000,(V141-55000)*15%+1500,
IF(V141&lt;=200000,(V141-70000)*20%+1500+2250,
IF(V141&lt;=400000,(V141-200000)*22.5%+1500+2250+26000,
IF(V141&lt;=600000,(V141-400000)*25%+1500+2250+26000+45000,
IF(AND(V141&gt;600000,V141&lt;=1200000),(V141-400000)*25%+1500+2250+26000+45000
+IFERROR(LOOKUP(V141,{600001;700001;800001;900001},{4000;6750;10250;15250}),0),IF(V141&gt;1200000,((V141-1200000)*27.5%)+300000,0)
)))))))</f>
        <v>0</v>
      </c>
      <c r="X141" s="12">
        <f t="shared" si="37"/>
        <v>0</v>
      </c>
      <c r="Y141" s="12">
        <f t="shared" si="38"/>
        <v>0</v>
      </c>
      <c r="Z141" s="11"/>
      <c r="AA141" s="13">
        <f t="shared" si="39"/>
        <v>0</v>
      </c>
      <c r="AB141" s="12">
        <f t="shared" si="40"/>
        <v>0</v>
      </c>
      <c r="AC141" s="14">
        <f t="shared" si="43"/>
        <v>0</v>
      </c>
      <c r="AE141" s="19">
        <f t="shared" si="41"/>
        <v>0</v>
      </c>
      <c r="AF141" s="19"/>
      <c r="AG141" s="17"/>
      <c r="AK141" s="7"/>
      <c r="AL141" s="108">
        <f t="shared" si="44"/>
        <v>0</v>
      </c>
      <c r="AM141" s="108">
        <f t="shared" si="45"/>
        <v>0</v>
      </c>
      <c r="AN141" s="113"/>
    </row>
    <row r="142" spans="2:40" x14ac:dyDescent="0.2">
      <c r="B142" s="7"/>
      <c r="C142" s="8"/>
      <c r="D142" s="8"/>
      <c r="E142" s="9"/>
      <c r="F142" s="6"/>
      <c r="G142" s="8"/>
      <c r="H142" s="32"/>
      <c r="I142" s="10" t="str">
        <f t="shared" si="42"/>
        <v>21</v>
      </c>
      <c r="J142" s="11">
        <v>1</v>
      </c>
      <c r="K142" s="11"/>
      <c r="L142" s="11"/>
      <c r="M142" s="11">
        <f t="shared" si="31"/>
        <v>0</v>
      </c>
      <c r="N142" s="11"/>
      <c r="O142" s="11">
        <f t="shared" si="32"/>
        <v>0</v>
      </c>
      <c r="P142" s="11"/>
      <c r="Q142" s="11"/>
      <c r="R142" s="11"/>
      <c r="S142" s="11">
        <f t="shared" si="33"/>
        <v>0</v>
      </c>
      <c r="T142" s="11">
        <f t="shared" si="34"/>
        <v>1666.6666666666667</v>
      </c>
      <c r="U142" s="11">
        <f t="shared" si="35"/>
        <v>0</v>
      </c>
      <c r="V142" s="24">
        <f t="shared" si="36"/>
        <v>0</v>
      </c>
      <c r="W142" s="11">
        <f>IF(V142&lt;=40000,0,
IF(V142&lt;=55000,(V142-40000)*10%,
IF(V142&lt;=70000,(V142-55000)*15%+1500,
IF(V142&lt;=200000,(V142-70000)*20%+1500+2250,
IF(V142&lt;=400000,(V142-200000)*22.5%+1500+2250+26000,
IF(V142&lt;=600000,(V142-400000)*25%+1500+2250+26000+45000,
IF(AND(V142&gt;600000,V142&lt;=1200000),(V142-400000)*25%+1500+2250+26000+45000
+IFERROR(LOOKUP(V142,{600001;700001;800001;900001},{4000;6750;10250;15250}),0),IF(V142&gt;1200000,((V142-1200000)*27.5%)+300000,0)
)))))))</f>
        <v>0</v>
      </c>
      <c r="X142" s="12">
        <f t="shared" si="37"/>
        <v>0</v>
      </c>
      <c r="Y142" s="12">
        <f t="shared" si="38"/>
        <v>0</v>
      </c>
      <c r="Z142" s="11"/>
      <c r="AA142" s="13">
        <f t="shared" si="39"/>
        <v>0</v>
      </c>
      <c r="AB142" s="12">
        <f t="shared" si="40"/>
        <v>0</v>
      </c>
      <c r="AC142" s="14">
        <f t="shared" si="43"/>
        <v>0</v>
      </c>
      <c r="AE142" s="19">
        <f t="shared" si="41"/>
        <v>0</v>
      </c>
      <c r="AF142" s="19"/>
      <c r="AG142" s="17"/>
      <c r="AK142" s="7"/>
      <c r="AL142" s="108">
        <f t="shared" si="44"/>
        <v>0</v>
      </c>
      <c r="AM142" s="108">
        <f t="shared" si="45"/>
        <v>0</v>
      </c>
      <c r="AN142" s="113"/>
    </row>
    <row r="143" spans="2:40" x14ac:dyDescent="0.2">
      <c r="B143" s="7"/>
      <c r="C143" s="8"/>
      <c r="D143" s="8"/>
      <c r="E143" s="9"/>
      <c r="F143" s="6"/>
      <c r="G143" s="8"/>
      <c r="H143" s="32"/>
      <c r="I143" s="10" t="str">
        <f t="shared" si="42"/>
        <v>21</v>
      </c>
      <c r="J143" s="11">
        <v>1</v>
      </c>
      <c r="K143" s="11"/>
      <c r="L143" s="11"/>
      <c r="M143" s="11">
        <f t="shared" si="31"/>
        <v>0</v>
      </c>
      <c r="N143" s="11"/>
      <c r="O143" s="11">
        <f t="shared" si="32"/>
        <v>0</v>
      </c>
      <c r="P143" s="11"/>
      <c r="Q143" s="11"/>
      <c r="R143" s="11"/>
      <c r="S143" s="11">
        <f t="shared" si="33"/>
        <v>0</v>
      </c>
      <c r="T143" s="11">
        <f t="shared" si="34"/>
        <v>1666.6666666666667</v>
      </c>
      <c r="U143" s="11">
        <f t="shared" si="35"/>
        <v>0</v>
      </c>
      <c r="V143" s="24">
        <f t="shared" si="36"/>
        <v>0</v>
      </c>
      <c r="W143" s="11">
        <f>IF(V143&lt;=40000,0,
IF(V143&lt;=55000,(V143-40000)*10%,
IF(V143&lt;=70000,(V143-55000)*15%+1500,
IF(V143&lt;=200000,(V143-70000)*20%+1500+2250,
IF(V143&lt;=400000,(V143-200000)*22.5%+1500+2250+26000,
IF(V143&lt;=600000,(V143-400000)*25%+1500+2250+26000+45000,
IF(AND(V143&gt;600000,V143&lt;=1200000),(V143-400000)*25%+1500+2250+26000+45000
+IFERROR(LOOKUP(V143,{600001;700001;800001;900001},{4000;6750;10250;15250}),0),IF(V143&gt;1200000,((V143-1200000)*27.5%)+300000,0)
)))))))</f>
        <v>0</v>
      </c>
      <c r="X143" s="12">
        <f t="shared" si="37"/>
        <v>0</v>
      </c>
      <c r="Y143" s="12">
        <f t="shared" si="38"/>
        <v>0</v>
      </c>
      <c r="Z143" s="11"/>
      <c r="AA143" s="13">
        <f t="shared" si="39"/>
        <v>0</v>
      </c>
      <c r="AB143" s="12">
        <f t="shared" si="40"/>
        <v>0</v>
      </c>
      <c r="AC143" s="14">
        <f t="shared" si="43"/>
        <v>0</v>
      </c>
      <c r="AE143" s="19">
        <f t="shared" si="41"/>
        <v>0</v>
      </c>
      <c r="AF143" s="19"/>
      <c r="AG143" s="17"/>
      <c r="AK143" s="7"/>
      <c r="AL143" s="108">
        <f t="shared" si="44"/>
        <v>0</v>
      </c>
      <c r="AM143" s="108">
        <f t="shared" si="45"/>
        <v>0</v>
      </c>
      <c r="AN143" s="113"/>
    </row>
    <row r="144" spans="2:40" x14ac:dyDescent="0.2">
      <c r="B144" s="7"/>
      <c r="C144" s="8"/>
      <c r="D144" s="8"/>
      <c r="E144" s="9"/>
      <c r="F144" s="6"/>
      <c r="G144" s="8"/>
      <c r="H144" s="32"/>
      <c r="I144" s="10" t="str">
        <f t="shared" si="42"/>
        <v>21</v>
      </c>
      <c r="J144" s="11">
        <v>1</v>
      </c>
      <c r="K144" s="11"/>
      <c r="L144" s="11"/>
      <c r="M144" s="11">
        <f t="shared" si="31"/>
        <v>0</v>
      </c>
      <c r="N144" s="11"/>
      <c r="O144" s="11">
        <f t="shared" si="32"/>
        <v>0</v>
      </c>
      <c r="P144" s="11"/>
      <c r="Q144" s="11"/>
      <c r="R144" s="11"/>
      <c r="S144" s="11">
        <f t="shared" si="33"/>
        <v>0</v>
      </c>
      <c r="T144" s="11">
        <f t="shared" si="34"/>
        <v>1666.6666666666667</v>
      </c>
      <c r="U144" s="11">
        <f t="shared" si="35"/>
        <v>0</v>
      </c>
      <c r="V144" s="24">
        <f t="shared" si="36"/>
        <v>0</v>
      </c>
      <c r="W144" s="11">
        <f>IF(V144&lt;=40000,0,
IF(V144&lt;=55000,(V144-40000)*10%,
IF(V144&lt;=70000,(V144-55000)*15%+1500,
IF(V144&lt;=200000,(V144-70000)*20%+1500+2250,
IF(V144&lt;=400000,(V144-200000)*22.5%+1500+2250+26000,
IF(V144&lt;=600000,(V144-400000)*25%+1500+2250+26000+45000,
IF(AND(V144&gt;600000,V144&lt;=1200000),(V144-400000)*25%+1500+2250+26000+45000
+IFERROR(LOOKUP(V144,{600001;700001;800001;900001},{4000;6750;10250;15250}),0),IF(V144&gt;1200000,((V144-1200000)*27.5%)+300000,0)
)))))))</f>
        <v>0</v>
      </c>
      <c r="X144" s="12">
        <f t="shared" si="37"/>
        <v>0</v>
      </c>
      <c r="Y144" s="12">
        <f t="shared" si="38"/>
        <v>0</v>
      </c>
      <c r="Z144" s="11"/>
      <c r="AA144" s="13">
        <f t="shared" si="39"/>
        <v>0</v>
      </c>
      <c r="AB144" s="12">
        <f t="shared" si="40"/>
        <v>0</v>
      </c>
      <c r="AC144" s="14">
        <f t="shared" si="43"/>
        <v>0</v>
      </c>
      <c r="AE144" s="19">
        <f t="shared" si="41"/>
        <v>0</v>
      </c>
      <c r="AF144" s="19"/>
      <c r="AG144" s="17"/>
      <c r="AK144" s="7"/>
      <c r="AL144" s="108">
        <f t="shared" si="44"/>
        <v>0</v>
      </c>
      <c r="AM144" s="108">
        <f t="shared" si="45"/>
        <v>0</v>
      </c>
      <c r="AN144" s="113"/>
    </row>
    <row r="145" spans="2:40" x14ac:dyDescent="0.2">
      <c r="B145" s="7"/>
      <c r="C145" s="8"/>
      <c r="D145" s="8"/>
      <c r="E145" s="9"/>
      <c r="F145" s="6"/>
      <c r="G145" s="8"/>
      <c r="H145" s="32"/>
      <c r="I145" s="10" t="str">
        <f t="shared" si="42"/>
        <v>21</v>
      </c>
      <c r="J145" s="11">
        <v>1</v>
      </c>
      <c r="K145" s="11"/>
      <c r="L145" s="11"/>
      <c r="M145" s="11">
        <f t="shared" si="31"/>
        <v>0</v>
      </c>
      <c r="N145" s="11"/>
      <c r="O145" s="11">
        <f t="shared" si="32"/>
        <v>0</v>
      </c>
      <c r="P145" s="11"/>
      <c r="Q145" s="11"/>
      <c r="R145" s="11"/>
      <c r="S145" s="11">
        <f t="shared" si="33"/>
        <v>0</v>
      </c>
      <c r="T145" s="11">
        <f t="shared" si="34"/>
        <v>1666.6666666666667</v>
      </c>
      <c r="U145" s="11">
        <f t="shared" si="35"/>
        <v>0</v>
      </c>
      <c r="V145" s="24">
        <f t="shared" si="36"/>
        <v>0</v>
      </c>
      <c r="W145" s="11">
        <f>IF(V145&lt;=40000,0,
IF(V145&lt;=55000,(V145-40000)*10%,
IF(V145&lt;=70000,(V145-55000)*15%+1500,
IF(V145&lt;=200000,(V145-70000)*20%+1500+2250,
IF(V145&lt;=400000,(V145-200000)*22.5%+1500+2250+26000,
IF(V145&lt;=600000,(V145-400000)*25%+1500+2250+26000+45000,
IF(AND(V145&gt;600000,V145&lt;=1200000),(V145-400000)*25%+1500+2250+26000+45000
+IFERROR(LOOKUP(V145,{600001;700001;800001;900001},{4000;6750;10250;15250}),0),IF(V145&gt;1200000,((V145-1200000)*27.5%)+300000,0)
)))))))</f>
        <v>0</v>
      </c>
      <c r="X145" s="12">
        <f t="shared" si="37"/>
        <v>0</v>
      </c>
      <c r="Y145" s="12">
        <f t="shared" si="38"/>
        <v>0</v>
      </c>
      <c r="Z145" s="11"/>
      <c r="AA145" s="13">
        <f t="shared" si="39"/>
        <v>0</v>
      </c>
      <c r="AB145" s="12">
        <f t="shared" si="40"/>
        <v>0</v>
      </c>
      <c r="AC145" s="14">
        <f t="shared" si="43"/>
        <v>0</v>
      </c>
      <c r="AE145" s="19">
        <f t="shared" si="41"/>
        <v>0</v>
      </c>
      <c r="AF145" s="19"/>
      <c r="AG145" s="17"/>
      <c r="AK145" s="7"/>
      <c r="AL145" s="108">
        <f t="shared" si="44"/>
        <v>0</v>
      </c>
      <c r="AM145" s="108">
        <f t="shared" si="45"/>
        <v>0</v>
      </c>
      <c r="AN145" s="113"/>
    </row>
    <row r="146" spans="2:40" x14ac:dyDescent="0.2">
      <c r="B146" s="7"/>
      <c r="C146" s="8"/>
      <c r="D146" s="8"/>
      <c r="E146" s="9"/>
      <c r="F146" s="6"/>
      <c r="G146" s="8"/>
      <c r="H146" s="32"/>
      <c r="I146" s="10" t="str">
        <f t="shared" si="42"/>
        <v>21</v>
      </c>
      <c r="J146" s="11">
        <v>1</v>
      </c>
      <c r="K146" s="11"/>
      <c r="L146" s="11"/>
      <c r="M146" s="11">
        <f t="shared" si="31"/>
        <v>0</v>
      </c>
      <c r="N146" s="11"/>
      <c r="O146" s="11">
        <f t="shared" si="32"/>
        <v>0</v>
      </c>
      <c r="P146" s="11"/>
      <c r="Q146" s="11"/>
      <c r="R146" s="11"/>
      <c r="S146" s="11">
        <f t="shared" si="33"/>
        <v>0</v>
      </c>
      <c r="T146" s="11">
        <f t="shared" si="34"/>
        <v>1666.6666666666667</v>
      </c>
      <c r="U146" s="11">
        <f t="shared" si="35"/>
        <v>0</v>
      </c>
      <c r="V146" s="24">
        <f t="shared" si="36"/>
        <v>0</v>
      </c>
      <c r="W146" s="11">
        <f>IF(V146&lt;=40000,0,
IF(V146&lt;=55000,(V146-40000)*10%,
IF(V146&lt;=70000,(V146-55000)*15%+1500,
IF(V146&lt;=200000,(V146-70000)*20%+1500+2250,
IF(V146&lt;=400000,(V146-200000)*22.5%+1500+2250+26000,
IF(V146&lt;=600000,(V146-400000)*25%+1500+2250+26000+45000,
IF(AND(V146&gt;600000,V146&lt;=1200000),(V146-400000)*25%+1500+2250+26000+45000
+IFERROR(LOOKUP(V146,{600001;700001;800001;900001},{4000;6750;10250;15250}),0),IF(V146&gt;1200000,((V146-1200000)*27.5%)+300000,0)
)))))))</f>
        <v>0</v>
      </c>
      <c r="X146" s="12">
        <f t="shared" si="37"/>
        <v>0</v>
      </c>
      <c r="Y146" s="12">
        <f t="shared" si="38"/>
        <v>0</v>
      </c>
      <c r="Z146" s="11"/>
      <c r="AA146" s="13">
        <f t="shared" si="39"/>
        <v>0</v>
      </c>
      <c r="AB146" s="12">
        <f t="shared" si="40"/>
        <v>0</v>
      </c>
      <c r="AC146" s="14">
        <f t="shared" si="43"/>
        <v>0</v>
      </c>
      <c r="AE146" s="19">
        <f t="shared" si="41"/>
        <v>0</v>
      </c>
      <c r="AF146" s="19"/>
      <c r="AG146" s="17"/>
      <c r="AK146" s="7"/>
      <c r="AL146" s="108">
        <f t="shared" si="44"/>
        <v>0</v>
      </c>
      <c r="AM146" s="108">
        <f t="shared" si="45"/>
        <v>0</v>
      </c>
      <c r="AN146" s="113"/>
    </row>
    <row r="147" spans="2:40" x14ac:dyDescent="0.2">
      <c r="B147" s="7"/>
      <c r="C147" s="8"/>
      <c r="D147" s="8"/>
      <c r="E147" s="9"/>
      <c r="F147" s="6"/>
      <c r="G147" s="8"/>
      <c r="H147" s="32"/>
      <c r="I147" s="10" t="str">
        <f t="shared" si="42"/>
        <v>21</v>
      </c>
      <c r="J147" s="11">
        <v>1</v>
      </c>
      <c r="K147" s="11"/>
      <c r="L147" s="11"/>
      <c r="M147" s="11">
        <f t="shared" si="31"/>
        <v>0</v>
      </c>
      <c r="N147" s="11"/>
      <c r="O147" s="11">
        <f t="shared" si="32"/>
        <v>0</v>
      </c>
      <c r="P147" s="11"/>
      <c r="Q147" s="11"/>
      <c r="R147" s="11"/>
      <c r="S147" s="11">
        <f t="shared" si="33"/>
        <v>0</v>
      </c>
      <c r="T147" s="11">
        <f t="shared" si="34"/>
        <v>1666.6666666666667</v>
      </c>
      <c r="U147" s="11">
        <f t="shared" si="35"/>
        <v>0</v>
      </c>
      <c r="V147" s="24">
        <f t="shared" si="36"/>
        <v>0</v>
      </c>
      <c r="W147" s="11">
        <f>IF(V147&lt;=40000,0,
IF(V147&lt;=55000,(V147-40000)*10%,
IF(V147&lt;=70000,(V147-55000)*15%+1500,
IF(V147&lt;=200000,(V147-70000)*20%+1500+2250,
IF(V147&lt;=400000,(V147-200000)*22.5%+1500+2250+26000,
IF(V147&lt;=600000,(V147-400000)*25%+1500+2250+26000+45000,
IF(AND(V147&gt;600000,V147&lt;=1200000),(V147-400000)*25%+1500+2250+26000+45000
+IFERROR(LOOKUP(V147,{600001;700001;800001;900001},{4000;6750;10250;15250}),0),IF(V147&gt;1200000,((V147-1200000)*27.5%)+300000,0)
)))))))</f>
        <v>0</v>
      </c>
      <c r="X147" s="12">
        <f t="shared" si="37"/>
        <v>0</v>
      </c>
      <c r="Y147" s="12">
        <f t="shared" si="38"/>
        <v>0</v>
      </c>
      <c r="Z147" s="11"/>
      <c r="AA147" s="13">
        <f t="shared" si="39"/>
        <v>0</v>
      </c>
      <c r="AB147" s="12">
        <f t="shared" si="40"/>
        <v>0</v>
      </c>
      <c r="AC147" s="14">
        <f t="shared" si="43"/>
        <v>0</v>
      </c>
      <c r="AE147" s="19">
        <f t="shared" si="41"/>
        <v>0</v>
      </c>
      <c r="AF147" s="19"/>
      <c r="AG147" s="17"/>
      <c r="AK147" s="7"/>
      <c r="AL147" s="108">
        <f t="shared" si="44"/>
        <v>0</v>
      </c>
      <c r="AM147" s="108">
        <f t="shared" si="45"/>
        <v>0</v>
      </c>
      <c r="AN147" s="113"/>
    </row>
    <row r="148" spans="2:40" x14ac:dyDescent="0.2">
      <c r="B148" s="7"/>
      <c r="C148" s="8"/>
      <c r="D148" s="8"/>
      <c r="E148" s="9"/>
      <c r="F148" s="6"/>
      <c r="G148" s="8"/>
      <c r="H148" s="32"/>
      <c r="I148" s="10" t="str">
        <f t="shared" si="42"/>
        <v>21</v>
      </c>
      <c r="J148" s="11">
        <v>1</v>
      </c>
      <c r="K148" s="11"/>
      <c r="L148" s="11"/>
      <c r="M148" s="11">
        <f t="shared" si="31"/>
        <v>0</v>
      </c>
      <c r="N148" s="11"/>
      <c r="O148" s="11">
        <f t="shared" si="32"/>
        <v>0</v>
      </c>
      <c r="P148" s="11"/>
      <c r="Q148" s="11"/>
      <c r="R148" s="11"/>
      <c r="S148" s="11">
        <f t="shared" si="33"/>
        <v>0</v>
      </c>
      <c r="T148" s="11">
        <f t="shared" si="34"/>
        <v>1666.6666666666667</v>
      </c>
      <c r="U148" s="11">
        <f t="shared" si="35"/>
        <v>0</v>
      </c>
      <c r="V148" s="24">
        <f t="shared" si="36"/>
        <v>0</v>
      </c>
      <c r="W148" s="11">
        <f>IF(V148&lt;=40000,0,
IF(V148&lt;=55000,(V148-40000)*10%,
IF(V148&lt;=70000,(V148-55000)*15%+1500,
IF(V148&lt;=200000,(V148-70000)*20%+1500+2250,
IF(V148&lt;=400000,(V148-200000)*22.5%+1500+2250+26000,
IF(V148&lt;=600000,(V148-400000)*25%+1500+2250+26000+45000,
IF(AND(V148&gt;600000,V148&lt;=1200000),(V148-400000)*25%+1500+2250+26000+45000
+IFERROR(LOOKUP(V148,{600001;700001;800001;900001},{4000;6750;10250;15250}),0),IF(V148&gt;1200000,((V148-1200000)*27.5%)+300000,0)
)))))))</f>
        <v>0</v>
      </c>
      <c r="X148" s="12">
        <f t="shared" si="37"/>
        <v>0</v>
      </c>
      <c r="Y148" s="12">
        <f t="shared" si="38"/>
        <v>0</v>
      </c>
      <c r="Z148" s="11"/>
      <c r="AA148" s="13">
        <f t="shared" si="39"/>
        <v>0</v>
      </c>
      <c r="AB148" s="12">
        <f t="shared" si="40"/>
        <v>0</v>
      </c>
      <c r="AC148" s="14">
        <f t="shared" si="43"/>
        <v>0</v>
      </c>
      <c r="AE148" s="19">
        <f t="shared" si="41"/>
        <v>0</v>
      </c>
      <c r="AF148" s="19"/>
      <c r="AG148" s="17"/>
      <c r="AK148" s="7"/>
      <c r="AL148" s="108">
        <f t="shared" si="44"/>
        <v>0</v>
      </c>
      <c r="AM148" s="108">
        <f t="shared" si="45"/>
        <v>0</v>
      </c>
      <c r="AN148" s="113"/>
    </row>
    <row r="149" spans="2:40" x14ac:dyDescent="0.2">
      <c r="B149" s="7"/>
      <c r="C149" s="8"/>
      <c r="D149" s="8"/>
      <c r="E149" s="9"/>
      <c r="F149" s="6"/>
      <c r="G149" s="8"/>
      <c r="H149" s="32"/>
      <c r="I149" s="10" t="str">
        <f t="shared" si="42"/>
        <v>21</v>
      </c>
      <c r="J149" s="11">
        <v>1</v>
      </c>
      <c r="K149" s="11"/>
      <c r="L149" s="11"/>
      <c r="M149" s="11">
        <f t="shared" si="31"/>
        <v>0</v>
      </c>
      <c r="N149" s="11"/>
      <c r="O149" s="11">
        <f t="shared" si="32"/>
        <v>0</v>
      </c>
      <c r="P149" s="11"/>
      <c r="Q149" s="11"/>
      <c r="R149" s="11"/>
      <c r="S149" s="11">
        <f t="shared" si="33"/>
        <v>0</v>
      </c>
      <c r="T149" s="11">
        <f t="shared" si="34"/>
        <v>1666.6666666666667</v>
      </c>
      <c r="U149" s="11">
        <f t="shared" si="35"/>
        <v>0</v>
      </c>
      <c r="V149" s="24">
        <f t="shared" si="36"/>
        <v>0</v>
      </c>
      <c r="W149" s="11">
        <f>IF(V149&lt;=40000,0,
IF(V149&lt;=55000,(V149-40000)*10%,
IF(V149&lt;=70000,(V149-55000)*15%+1500,
IF(V149&lt;=200000,(V149-70000)*20%+1500+2250,
IF(V149&lt;=400000,(V149-200000)*22.5%+1500+2250+26000,
IF(V149&lt;=600000,(V149-400000)*25%+1500+2250+26000+45000,
IF(AND(V149&gt;600000,V149&lt;=1200000),(V149-400000)*25%+1500+2250+26000+45000
+IFERROR(LOOKUP(V149,{600001;700001;800001;900001},{4000;6750;10250;15250}),0),IF(V149&gt;1200000,((V149-1200000)*27.5%)+300000,0)
)))))))</f>
        <v>0</v>
      </c>
      <c r="X149" s="12">
        <f t="shared" si="37"/>
        <v>0</v>
      </c>
      <c r="Y149" s="12">
        <f t="shared" si="38"/>
        <v>0</v>
      </c>
      <c r="Z149" s="11"/>
      <c r="AA149" s="13">
        <f t="shared" si="39"/>
        <v>0</v>
      </c>
      <c r="AB149" s="12">
        <f t="shared" si="40"/>
        <v>0</v>
      </c>
      <c r="AC149" s="14">
        <f t="shared" si="43"/>
        <v>0</v>
      </c>
      <c r="AE149" s="19">
        <f t="shared" si="41"/>
        <v>0</v>
      </c>
      <c r="AF149" s="19"/>
      <c r="AG149" s="17"/>
      <c r="AK149" s="7"/>
      <c r="AL149" s="108">
        <f t="shared" si="44"/>
        <v>0</v>
      </c>
      <c r="AM149" s="108">
        <f t="shared" si="45"/>
        <v>0</v>
      </c>
      <c r="AN149" s="113"/>
    </row>
    <row r="150" spans="2:40" x14ac:dyDescent="0.2">
      <c r="B150" s="7"/>
      <c r="C150" s="8"/>
      <c r="D150" s="8"/>
      <c r="E150" s="9"/>
      <c r="F150" s="6"/>
      <c r="G150" s="8"/>
      <c r="H150" s="32"/>
      <c r="I150" s="10" t="str">
        <f t="shared" si="42"/>
        <v>21</v>
      </c>
      <c r="J150" s="11">
        <v>1</v>
      </c>
      <c r="K150" s="11"/>
      <c r="L150" s="11"/>
      <c r="M150" s="11">
        <f t="shared" si="31"/>
        <v>0</v>
      </c>
      <c r="N150" s="11"/>
      <c r="O150" s="11">
        <f t="shared" si="32"/>
        <v>0</v>
      </c>
      <c r="P150" s="11"/>
      <c r="Q150" s="11"/>
      <c r="R150" s="11"/>
      <c r="S150" s="11">
        <f t="shared" si="33"/>
        <v>0</v>
      </c>
      <c r="T150" s="11">
        <f t="shared" si="34"/>
        <v>1666.6666666666667</v>
      </c>
      <c r="U150" s="11">
        <f t="shared" si="35"/>
        <v>0</v>
      </c>
      <c r="V150" s="24">
        <f t="shared" si="36"/>
        <v>0</v>
      </c>
      <c r="W150" s="11">
        <f>IF(V150&lt;=40000,0,
IF(V150&lt;=55000,(V150-40000)*10%,
IF(V150&lt;=70000,(V150-55000)*15%+1500,
IF(V150&lt;=200000,(V150-70000)*20%+1500+2250,
IF(V150&lt;=400000,(V150-200000)*22.5%+1500+2250+26000,
IF(V150&lt;=600000,(V150-400000)*25%+1500+2250+26000+45000,
IF(AND(V150&gt;600000,V150&lt;=1200000),(V150-400000)*25%+1500+2250+26000+45000
+IFERROR(LOOKUP(V150,{600001;700001;800001;900001},{4000;6750;10250;15250}),0),IF(V150&gt;1200000,((V150-1200000)*27.5%)+300000,0)
)))))))</f>
        <v>0</v>
      </c>
      <c r="X150" s="12">
        <f t="shared" si="37"/>
        <v>0</v>
      </c>
      <c r="Y150" s="12">
        <f t="shared" si="38"/>
        <v>0</v>
      </c>
      <c r="Z150" s="11"/>
      <c r="AA150" s="13">
        <f t="shared" si="39"/>
        <v>0</v>
      </c>
      <c r="AB150" s="12">
        <f t="shared" si="40"/>
        <v>0</v>
      </c>
      <c r="AC150" s="14">
        <f t="shared" si="43"/>
        <v>0</v>
      </c>
      <c r="AE150" s="19">
        <f t="shared" si="41"/>
        <v>0</v>
      </c>
      <c r="AF150" s="19"/>
      <c r="AG150" s="17"/>
      <c r="AK150" s="7"/>
      <c r="AL150" s="108">
        <f t="shared" si="44"/>
        <v>0</v>
      </c>
      <c r="AM150" s="108">
        <f t="shared" si="45"/>
        <v>0</v>
      </c>
      <c r="AN150" s="113"/>
    </row>
    <row r="151" spans="2:40" x14ac:dyDescent="0.2">
      <c r="B151" s="7"/>
      <c r="C151" s="8"/>
      <c r="D151" s="8"/>
      <c r="E151" s="9"/>
      <c r="F151" s="6"/>
      <c r="G151" s="8"/>
      <c r="H151" s="32"/>
      <c r="I151" s="10" t="str">
        <f t="shared" si="42"/>
        <v>21</v>
      </c>
      <c r="J151" s="11">
        <v>1</v>
      </c>
      <c r="K151" s="11"/>
      <c r="L151" s="11"/>
      <c r="M151" s="11">
        <f t="shared" si="31"/>
        <v>0</v>
      </c>
      <c r="N151" s="11"/>
      <c r="O151" s="11">
        <f t="shared" si="32"/>
        <v>0</v>
      </c>
      <c r="P151" s="11"/>
      <c r="Q151" s="11"/>
      <c r="R151" s="11"/>
      <c r="S151" s="11">
        <f t="shared" si="33"/>
        <v>0</v>
      </c>
      <c r="T151" s="11">
        <f t="shared" si="34"/>
        <v>1666.6666666666667</v>
      </c>
      <c r="U151" s="11">
        <f t="shared" si="35"/>
        <v>0</v>
      </c>
      <c r="V151" s="24">
        <f t="shared" si="36"/>
        <v>0</v>
      </c>
      <c r="W151" s="11">
        <f>IF(V151&lt;=40000,0,
IF(V151&lt;=55000,(V151-40000)*10%,
IF(V151&lt;=70000,(V151-55000)*15%+1500,
IF(V151&lt;=200000,(V151-70000)*20%+1500+2250,
IF(V151&lt;=400000,(V151-200000)*22.5%+1500+2250+26000,
IF(V151&lt;=600000,(V151-400000)*25%+1500+2250+26000+45000,
IF(AND(V151&gt;600000,V151&lt;=1200000),(V151-400000)*25%+1500+2250+26000+45000
+IFERROR(LOOKUP(V151,{600001;700001;800001;900001},{4000;6750;10250;15250}),0),IF(V151&gt;1200000,((V151-1200000)*27.5%)+300000,0)
)))))))</f>
        <v>0</v>
      </c>
      <c r="X151" s="12">
        <f t="shared" si="37"/>
        <v>0</v>
      </c>
      <c r="Y151" s="12">
        <f t="shared" si="38"/>
        <v>0</v>
      </c>
      <c r="Z151" s="11"/>
      <c r="AA151" s="13">
        <f t="shared" si="39"/>
        <v>0</v>
      </c>
      <c r="AB151" s="12">
        <f t="shared" si="40"/>
        <v>0</v>
      </c>
      <c r="AC151" s="14">
        <f t="shared" si="43"/>
        <v>0</v>
      </c>
      <c r="AE151" s="19">
        <f t="shared" si="41"/>
        <v>0</v>
      </c>
      <c r="AF151" s="19"/>
      <c r="AG151" s="17"/>
      <c r="AK151" s="7"/>
      <c r="AL151" s="108">
        <f t="shared" si="44"/>
        <v>0</v>
      </c>
      <c r="AM151" s="108">
        <f t="shared" si="45"/>
        <v>0</v>
      </c>
      <c r="AN151" s="113"/>
    </row>
    <row r="152" spans="2:40" x14ac:dyDescent="0.2">
      <c r="B152" s="7"/>
      <c r="C152" s="8"/>
      <c r="D152" s="8"/>
      <c r="E152" s="9"/>
      <c r="F152" s="6"/>
      <c r="G152" s="8"/>
      <c r="H152" s="32"/>
      <c r="I152" s="10" t="str">
        <f t="shared" si="42"/>
        <v>21</v>
      </c>
      <c r="J152" s="11">
        <v>1</v>
      </c>
      <c r="K152" s="11"/>
      <c r="L152" s="11"/>
      <c r="M152" s="11">
        <f t="shared" si="31"/>
        <v>0</v>
      </c>
      <c r="N152" s="11"/>
      <c r="O152" s="11">
        <f t="shared" si="32"/>
        <v>0</v>
      </c>
      <c r="P152" s="11"/>
      <c r="Q152" s="11"/>
      <c r="R152" s="11"/>
      <c r="S152" s="11">
        <f t="shared" si="33"/>
        <v>0</v>
      </c>
      <c r="T152" s="11">
        <f t="shared" si="34"/>
        <v>1666.6666666666667</v>
      </c>
      <c r="U152" s="11">
        <f t="shared" si="35"/>
        <v>0</v>
      </c>
      <c r="V152" s="24">
        <f t="shared" si="36"/>
        <v>0</v>
      </c>
      <c r="W152" s="11">
        <f>IF(V152&lt;=40000,0,
IF(V152&lt;=55000,(V152-40000)*10%,
IF(V152&lt;=70000,(V152-55000)*15%+1500,
IF(V152&lt;=200000,(V152-70000)*20%+1500+2250,
IF(V152&lt;=400000,(V152-200000)*22.5%+1500+2250+26000,
IF(V152&lt;=600000,(V152-400000)*25%+1500+2250+26000+45000,
IF(AND(V152&gt;600000,V152&lt;=1200000),(V152-400000)*25%+1500+2250+26000+45000
+IFERROR(LOOKUP(V152,{600001;700001;800001;900001},{4000;6750;10250;15250}),0),IF(V152&gt;1200000,((V152-1200000)*27.5%)+300000,0)
)))))))</f>
        <v>0</v>
      </c>
      <c r="X152" s="12">
        <f t="shared" si="37"/>
        <v>0</v>
      </c>
      <c r="Y152" s="12">
        <f t="shared" si="38"/>
        <v>0</v>
      </c>
      <c r="Z152" s="11"/>
      <c r="AA152" s="13">
        <f t="shared" si="39"/>
        <v>0</v>
      </c>
      <c r="AB152" s="12">
        <f t="shared" si="40"/>
        <v>0</v>
      </c>
      <c r="AC152" s="14">
        <f t="shared" si="43"/>
        <v>0</v>
      </c>
      <c r="AE152" s="19">
        <f t="shared" si="41"/>
        <v>0</v>
      </c>
      <c r="AF152" s="19"/>
      <c r="AG152" s="17"/>
      <c r="AK152" s="7"/>
      <c r="AL152" s="108">
        <f t="shared" si="44"/>
        <v>0</v>
      </c>
      <c r="AM152" s="108">
        <f t="shared" si="45"/>
        <v>0</v>
      </c>
      <c r="AN152" s="113"/>
    </row>
    <row r="153" spans="2:40" x14ac:dyDescent="0.2">
      <c r="B153" s="7"/>
      <c r="C153" s="8"/>
      <c r="D153" s="8"/>
      <c r="E153" s="9"/>
      <c r="F153" s="6"/>
      <c r="G153" s="8"/>
      <c r="H153" s="32"/>
      <c r="I153" s="10" t="str">
        <f t="shared" si="42"/>
        <v>21</v>
      </c>
      <c r="J153" s="11">
        <v>1</v>
      </c>
      <c r="K153" s="11"/>
      <c r="L153" s="11"/>
      <c r="M153" s="11">
        <f t="shared" si="31"/>
        <v>0</v>
      </c>
      <c r="N153" s="11"/>
      <c r="O153" s="11">
        <f t="shared" si="32"/>
        <v>0</v>
      </c>
      <c r="P153" s="11"/>
      <c r="Q153" s="11"/>
      <c r="R153" s="11"/>
      <c r="S153" s="11">
        <f t="shared" si="33"/>
        <v>0</v>
      </c>
      <c r="T153" s="11">
        <f t="shared" si="34"/>
        <v>1666.6666666666667</v>
      </c>
      <c r="U153" s="11">
        <f t="shared" si="35"/>
        <v>0</v>
      </c>
      <c r="V153" s="24">
        <f t="shared" si="36"/>
        <v>0</v>
      </c>
      <c r="W153" s="11">
        <f>IF(V153&lt;=40000,0,
IF(V153&lt;=55000,(V153-40000)*10%,
IF(V153&lt;=70000,(V153-55000)*15%+1500,
IF(V153&lt;=200000,(V153-70000)*20%+1500+2250,
IF(V153&lt;=400000,(V153-200000)*22.5%+1500+2250+26000,
IF(V153&lt;=600000,(V153-400000)*25%+1500+2250+26000+45000,
IF(AND(V153&gt;600000,V153&lt;=1200000),(V153-400000)*25%+1500+2250+26000+45000
+IFERROR(LOOKUP(V153,{600001;700001;800001;900001},{4000;6750;10250;15250}),0),IF(V153&gt;1200000,((V153-1200000)*27.5%)+300000,0)
)))))))</f>
        <v>0</v>
      </c>
      <c r="X153" s="12">
        <f t="shared" si="37"/>
        <v>0</v>
      </c>
      <c r="Y153" s="12">
        <f t="shared" si="38"/>
        <v>0</v>
      </c>
      <c r="Z153" s="11"/>
      <c r="AA153" s="13">
        <f t="shared" si="39"/>
        <v>0</v>
      </c>
      <c r="AB153" s="12">
        <f t="shared" si="40"/>
        <v>0</v>
      </c>
      <c r="AC153" s="14">
        <f t="shared" si="43"/>
        <v>0</v>
      </c>
      <c r="AE153" s="19">
        <f t="shared" si="41"/>
        <v>0</v>
      </c>
      <c r="AF153" s="19"/>
      <c r="AG153" s="17"/>
      <c r="AK153" s="7"/>
      <c r="AL153" s="108">
        <f t="shared" si="44"/>
        <v>0</v>
      </c>
      <c r="AM153" s="108">
        <f t="shared" si="45"/>
        <v>0</v>
      </c>
      <c r="AN153" s="113"/>
    </row>
    <row r="154" spans="2:40" x14ac:dyDescent="0.2">
      <c r="B154" s="7"/>
      <c r="C154" s="8"/>
      <c r="D154" s="8"/>
      <c r="E154" s="9"/>
      <c r="F154" s="6"/>
      <c r="G154" s="8"/>
      <c r="H154" s="32"/>
      <c r="I154" s="10" t="str">
        <f t="shared" si="42"/>
        <v>21</v>
      </c>
      <c r="J154" s="11">
        <v>1</v>
      </c>
      <c r="K154" s="11"/>
      <c r="L154" s="11"/>
      <c r="M154" s="11">
        <f t="shared" si="31"/>
        <v>0</v>
      </c>
      <c r="N154" s="11"/>
      <c r="O154" s="11">
        <f t="shared" si="32"/>
        <v>0</v>
      </c>
      <c r="P154" s="11"/>
      <c r="Q154" s="11"/>
      <c r="R154" s="11"/>
      <c r="S154" s="11">
        <f t="shared" si="33"/>
        <v>0</v>
      </c>
      <c r="T154" s="11">
        <f t="shared" si="34"/>
        <v>1666.6666666666667</v>
      </c>
      <c r="U154" s="11">
        <f t="shared" si="35"/>
        <v>0</v>
      </c>
      <c r="V154" s="24">
        <f t="shared" si="36"/>
        <v>0</v>
      </c>
      <c r="W154" s="11">
        <f>IF(V154&lt;=40000,0,
IF(V154&lt;=55000,(V154-40000)*10%,
IF(V154&lt;=70000,(V154-55000)*15%+1500,
IF(V154&lt;=200000,(V154-70000)*20%+1500+2250,
IF(V154&lt;=400000,(V154-200000)*22.5%+1500+2250+26000,
IF(V154&lt;=600000,(V154-400000)*25%+1500+2250+26000+45000,
IF(AND(V154&gt;600000,V154&lt;=1200000),(V154-400000)*25%+1500+2250+26000+45000
+IFERROR(LOOKUP(V154,{600001;700001;800001;900001},{4000;6750;10250;15250}),0),IF(V154&gt;1200000,((V154-1200000)*27.5%)+300000,0)
)))))))</f>
        <v>0</v>
      </c>
      <c r="X154" s="12">
        <f t="shared" si="37"/>
        <v>0</v>
      </c>
      <c r="Y154" s="12">
        <f t="shared" si="38"/>
        <v>0</v>
      </c>
      <c r="Z154" s="11"/>
      <c r="AA154" s="13">
        <f t="shared" si="39"/>
        <v>0</v>
      </c>
      <c r="AB154" s="12">
        <f t="shared" si="40"/>
        <v>0</v>
      </c>
      <c r="AC154" s="14">
        <f t="shared" si="43"/>
        <v>0</v>
      </c>
      <c r="AE154" s="19">
        <f t="shared" si="41"/>
        <v>0</v>
      </c>
      <c r="AF154" s="19"/>
      <c r="AG154" s="17"/>
      <c r="AK154" s="7"/>
      <c r="AL154" s="108">
        <f t="shared" si="44"/>
        <v>0</v>
      </c>
      <c r="AM154" s="108">
        <f t="shared" si="45"/>
        <v>0</v>
      </c>
      <c r="AN154" s="113"/>
    </row>
    <row r="155" spans="2:40" x14ac:dyDescent="0.2">
      <c r="B155" s="7"/>
      <c r="C155" s="8"/>
      <c r="D155" s="8"/>
      <c r="E155" s="9"/>
      <c r="F155" s="6"/>
      <c r="G155" s="8"/>
      <c r="H155" s="32"/>
      <c r="I155" s="10" t="str">
        <f t="shared" si="42"/>
        <v>21</v>
      </c>
      <c r="J155" s="11">
        <v>1</v>
      </c>
      <c r="K155" s="11"/>
      <c r="L155" s="11"/>
      <c r="M155" s="11">
        <f t="shared" si="31"/>
        <v>0</v>
      </c>
      <c r="N155" s="11"/>
      <c r="O155" s="11">
        <f t="shared" si="32"/>
        <v>0</v>
      </c>
      <c r="P155" s="11"/>
      <c r="Q155" s="11"/>
      <c r="R155" s="11"/>
      <c r="S155" s="11">
        <f t="shared" si="33"/>
        <v>0</v>
      </c>
      <c r="T155" s="11">
        <f t="shared" si="34"/>
        <v>1666.6666666666667</v>
      </c>
      <c r="U155" s="11">
        <f t="shared" si="35"/>
        <v>0</v>
      </c>
      <c r="V155" s="24">
        <f t="shared" si="36"/>
        <v>0</v>
      </c>
      <c r="W155" s="11">
        <f>IF(V155&lt;=40000,0,
IF(V155&lt;=55000,(V155-40000)*10%,
IF(V155&lt;=70000,(V155-55000)*15%+1500,
IF(V155&lt;=200000,(V155-70000)*20%+1500+2250,
IF(V155&lt;=400000,(V155-200000)*22.5%+1500+2250+26000,
IF(V155&lt;=600000,(V155-400000)*25%+1500+2250+26000+45000,
IF(AND(V155&gt;600000,V155&lt;=1200000),(V155-400000)*25%+1500+2250+26000+45000
+IFERROR(LOOKUP(V155,{600001;700001;800001;900001},{4000;6750;10250;15250}),0),IF(V155&gt;1200000,((V155-1200000)*27.5%)+300000,0)
)))))))</f>
        <v>0</v>
      </c>
      <c r="X155" s="12">
        <f t="shared" si="37"/>
        <v>0</v>
      </c>
      <c r="Y155" s="12">
        <f t="shared" si="38"/>
        <v>0</v>
      </c>
      <c r="Z155" s="11"/>
      <c r="AA155" s="13">
        <f t="shared" si="39"/>
        <v>0</v>
      </c>
      <c r="AB155" s="12">
        <f t="shared" si="40"/>
        <v>0</v>
      </c>
      <c r="AC155" s="14">
        <f t="shared" si="43"/>
        <v>0</v>
      </c>
      <c r="AE155" s="19">
        <f t="shared" si="41"/>
        <v>0</v>
      </c>
      <c r="AF155" s="19"/>
      <c r="AG155" s="17"/>
      <c r="AK155" s="7"/>
      <c r="AL155" s="108">
        <f t="shared" si="44"/>
        <v>0</v>
      </c>
      <c r="AM155" s="108">
        <f t="shared" si="45"/>
        <v>0</v>
      </c>
      <c r="AN155" s="113"/>
    </row>
    <row r="156" spans="2:40" x14ac:dyDescent="0.2">
      <c r="B156" s="7"/>
      <c r="C156" s="8"/>
      <c r="D156" s="8"/>
      <c r="E156" s="9"/>
      <c r="F156" s="6"/>
      <c r="G156" s="8"/>
      <c r="H156" s="32"/>
      <c r="I156" s="10" t="str">
        <f t="shared" si="42"/>
        <v>21</v>
      </c>
      <c r="J156" s="11">
        <v>1</v>
      </c>
      <c r="K156" s="11"/>
      <c r="L156" s="11"/>
      <c r="M156" s="11">
        <f t="shared" si="31"/>
        <v>0</v>
      </c>
      <c r="N156" s="11"/>
      <c r="O156" s="11">
        <f t="shared" si="32"/>
        <v>0</v>
      </c>
      <c r="P156" s="11"/>
      <c r="Q156" s="11"/>
      <c r="R156" s="11"/>
      <c r="S156" s="11">
        <f t="shared" si="33"/>
        <v>0</v>
      </c>
      <c r="T156" s="11">
        <f t="shared" si="34"/>
        <v>1666.6666666666667</v>
      </c>
      <c r="U156" s="11">
        <f t="shared" si="35"/>
        <v>0</v>
      </c>
      <c r="V156" s="24">
        <f t="shared" si="36"/>
        <v>0</v>
      </c>
      <c r="W156" s="11">
        <f>IF(V156&lt;=40000,0,
IF(V156&lt;=55000,(V156-40000)*10%,
IF(V156&lt;=70000,(V156-55000)*15%+1500,
IF(V156&lt;=200000,(V156-70000)*20%+1500+2250,
IF(V156&lt;=400000,(V156-200000)*22.5%+1500+2250+26000,
IF(V156&lt;=600000,(V156-400000)*25%+1500+2250+26000+45000,
IF(AND(V156&gt;600000,V156&lt;=1200000),(V156-400000)*25%+1500+2250+26000+45000
+IFERROR(LOOKUP(V156,{600001;700001;800001;900001},{4000;6750;10250;15250}),0),IF(V156&gt;1200000,((V156-1200000)*27.5%)+300000,0)
)))))))</f>
        <v>0</v>
      </c>
      <c r="X156" s="12">
        <f t="shared" si="37"/>
        <v>0</v>
      </c>
      <c r="Y156" s="12">
        <f t="shared" si="38"/>
        <v>0</v>
      </c>
      <c r="Z156" s="11"/>
      <c r="AA156" s="13">
        <f t="shared" si="39"/>
        <v>0</v>
      </c>
      <c r="AB156" s="12">
        <f t="shared" si="40"/>
        <v>0</v>
      </c>
      <c r="AC156" s="14">
        <f t="shared" si="43"/>
        <v>0</v>
      </c>
      <c r="AE156" s="19">
        <f t="shared" si="41"/>
        <v>0</v>
      </c>
      <c r="AF156" s="19"/>
      <c r="AG156" s="17"/>
      <c r="AK156" s="7"/>
      <c r="AL156" s="108">
        <f t="shared" si="44"/>
        <v>0</v>
      </c>
      <c r="AM156" s="108">
        <f t="shared" si="45"/>
        <v>0</v>
      </c>
      <c r="AN156" s="113"/>
    </row>
    <row r="157" spans="2:40" x14ac:dyDescent="0.2">
      <c r="B157" s="7"/>
      <c r="C157" s="8"/>
      <c r="D157" s="8"/>
      <c r="E157" s="9"/>
      <c r="F157" s="6"/>
      <c r="G157" s="8"/>
      <c r="H157" s="32"/>
      <c r="I157" s="10" t="str">
        <f t="shared" si="42"/>
        <v>21</v>
      </c>
      <c r="J157" s="11">
        <v>1</v>
      </c>
      <c r="K157" s="11"/>
      <c r="L157" s="11"/>
      <c r="M157" s="11">
        <f t="shared" ref="M157:M220" si="46">SUM(K157:L157)</f>
        <v>0</v>
      </c>
      <c r="N157" s="11"/>
      <c r="O157" s="11">
        <f t="shared" ref="O157:O220" si="47">+N157+M157</f>
        <v>0</v>
      </c>
      <c r="P157" s="11"/>
      <c r="Q157" s="11"/>
      <c r="R157" s="11"/>
      <c r="S157" s="11">
        <f t="shared" ref="S157:S220" si="48">O157-P157-Q157-R157</f>
        <v>0</v>
      </c>
      <c r="T157" s="11">
        <f t="shared" ref="T157:T220" si="49">IF(J157&gt;0,(20000/12*J157),0)</f>
        <v>1666.6666666666667</v>
      </c>
      <c r="U157" s="11">
        <f t="shared" ref="U157:U220" si="50">IF(AND(J157&gt;0,S157-T157&gt;0),S157-T157,0)</f>
        <v>0</v>
      </c>
      <c r="V157" s="24">
        <f t="shared" ref="V157:V220" si="51">IF(J157=0,0,(U157/J157*12))</f>
        <v>0</v>
      </c>
      <c r="W157" s="11">
        <f>IF(V157&lt;=40000,0,
IF(V157&lt;=55000,(V157-40000)*10%,
IF(V157&lt;=70000,(V157-55000)*15%+1500,
IF(V157&lt;=200000,(V157-70000)*20%+1500+2250,
IF(V157&lt;=400000,(V157-200000)*22.5%+1500+2250+26000,
IF(V157&lt;=600000,(V157-400000)*25%+1500+2250+26000+45000,
IF(AND(V157&gt;600000,V157&lt;=1200000),(V157-400000)*25%+1500+2250+26000+45000
+IFERROR(LOOKUP(V157,{600001;700001;800001;900001},{4000;6750;10250;15250}),0),IF(V157&gt;1200000,((V157-1200000)*27.5%)+300000,0)
)))))))</f>
        <v>0</v>
      </c>
      <c r="X157" s="12">
        <f t="shared" ref="X157:X220" si="52">N157*0.1</f>
        <v>0</v>
      </c>
      <c r="Y157" s="12">
        <f t="shared" ref="Y157:Y220" si="53">(W157/12*J157)-X157</f>
        <v>0</v>
      </c>
      <c r="Z157" s="11"/>
      <c r="AA157" s="13">
        <f t="shared" ref="AA157:AA220" si="54">+O157-P157-Y157-Z157</f>
        <v>0</v>
      </c>
      <c r="AB157" s="12">
        <f t="shared" ref="AB157:AB220" si="55">(P157/0.11)*18.75%</f>
        <v>0</v>
      </c>
      <c r="AC157" s="14">
        <f t="shared" si="43"/>
        <v>0</v>
      </c>
      <c r="AE157" s="19">
        <f t="shared" ref="AE157:AE220" si="56">+AD157-AC157</f>
        <v>0</v>
      </c>
      <c r="AF157" s="19"/>
      <c r="AG157" s="17"/>
      <c r="AK157" s="7"/>
      <c r="AL157" s="108">
        <f t="shared" si="44"/>
        <v>0</v>
      </c>
      <c r="AM157" s="108">
        <f t="shared" si="45"/>
        <v>0</v>
      </c>
      <c r="AN157" s="113"/>
    </row>
    <row r="158" spans="2:40" x14ac:dyDescent="0.2">
      <c r="B158" s="7"/>
      <c r="C158" s="8"/>
      <c r="D158" s="8"/>
      <c r="E158" s="9"/>
      <c r="F158" s="6"/>
      <c r="G158" s="8"/>
      <c r="H158" s="32"/>
      <c r="I158" s="10" t="str">
        <f t="shared" si="42"/>
        <v>21</v>
      </c>
      <c r="J158" s="11">
        <v>1</v>
      </c>
      <c r="K158" s="11"/>
      <c r="L158" s="11"/>
      <c r="M158" s="11">
        <f t="shared" si="46"/>
        <v>0</v>
      </c>
      <c r="N158" s="11"/>
      <c r="O158" s="11">
        <f t="shared" si="47"/>
        <v>0</v>
      </c>
      <c r="P158" s="11"/>
      <c r="Q158" s="11"/>
      <c r="R158" s="11"/>
      <c r="S158" s="11">
        <f t="shared" si="48"/>
        <v>0</v>
      </c>
      <c r="T158" s="11">
        <f t="shared" si="49"/>
        <v>1666.6666666666667</v>
      </c>
      <c r="U158" s="11">
        <f t="shared" si="50"/>
        <v>0</v>
      </c>
      <c r="V158" s="24">
        <f t="shared" si="51"/>
        <v>0</v>
      </c>
      <c r="W158" s="11">
        <f>IF(V158&lt;=40000,0,
IF(V158&lt;=55000,(V158-40000)*10%,
IF(V158&lt;=70000,(V158-55000)*15%+1500,
IF(V158&lt;=200000,(V158-70000)*20%+1500+2250,
IF(V158&lt;=400000,(V158-200000)*22.5%+1500+2250+26000,
IF(V158&lt;=600000,(V158-400000)*25%+1500+2250+26000+45000,
IF(AND(V158&gt;600000,V158&lt;=1200000),(V158-400000)*25%+1500+2250+26000+45000
+IFERROR(LOOKUP(V158,{600001;700001;800001;900001},{4000;6750;10250;15250}),0),IF(V158&gt;1200000,((V158-1200000)*27.5%)+300000,0)
)))))))</f>
        <v>0</v>
      </c>
      <c r="X158" s="12">
        <f t="shared" si="52"/>
        <v>0</v>
      </c>
      <c r="Y158" s="12">
        <f t="shared" si="53"/>
        <v>0</v>
      </c>
      <c r="Z158" s="11"/>
      <c r="AA158" s="13">
        <f t="shared" si="54"/>
        <v>0</v>
      </c>
      <c r="AB158" s="12">
        <f t="shared" si="55"/>
        <v>0</v>
      </c>
      <c r="AC158" s="14">
        <f t="shared" si="43"/>
        <v>0</v>
      </c>
      <c r="AE158" s="19">
        <f t="shared" si="56"/>
        <v>0</v>
      </c>
      <c r="AF158" s="19"/>
      <c r="AG158" s="17"/>
      <c r="AK158" s="7"/>
      <c r="AL158" s="108">
        <f t="shared" si="44"/>
        <v>0</v>
      </c>
      <c r="AM158" s="108">
        <f t="shared" si="45"/>
        <v>0</v>
      </c>
      <c r="AN158" s="113"/>
    </row>
    <row r="159" spans="2:40" x14ac:dyDescent="0.2">
      <c r="B159" s="7"/>
      <c r="C159" s="8"/>
      <c r="D159" s="8"/>
      <c r="E159" s="9"/>
      <c r="F159" s="6"/>
      <c r="G159" s="8"/>
      <c r="H159" s="32"/>
      <c r="I159" s="10" t="str">
        <f t="shared" si="42"/>
        <v>21</v>
      </c>
      <c r="J159" s="11">
        <v>1</v>
      </c>
      <c r="K159" s="11"/>
      <c r="L159" s="11"/>
      <c r="M159" s="11">
        <f t="shared" si="46"/>
        <v>0</v>
      </c>
      <c r="N159" s="11"/>
      <c r="O159" s="11">
        <f t="shared" si="47"/>
        <v>0</v>
      </c>
      <c r="P159" s="11"/>
      <c r="Q159" s="11"/>
      <c r="R159" s="11"/>
      <c r="S159" s="11">
        <f t="shared" si="48"/>
        <v>0</v>
      </c>
      <c r="T159" s="11">
        <f t="shared" si="49"/>
        <v>1666.6666666666667</v>
      </c>
      <c r="U159" s="11">
        <f t="shared" si="50"/>
        <v>0</v>
      </c>
      <c r="V159" s="24">
        <f t="shared" si="51"/>
        <v>0</v>
      </c>
      <c r="W159" s="11">
        <f>IF(V159&lt;=40000,0,
IF(V159&lt;=55000,(V159-40000)*10%,
IF(V159&lt;=70000,(V159-55000)*15%+1500,
IF(V159&lt;=200000,(V159-70000)*20%+1500+2250,
IF(V159&lt;=400000,(V159-200000)*22.5%+1500+2250+26000,
IF(V159&lt;=600000,(V159-400000)*25%+1500+2250+26000+45000,
IF(AND(V159&gt;600000,V159&lt;=1200000),(V159-400000)*25%+1500+2250+26000+45000
+IFERROR(LOOKUP(V159,{600001;700001;800001;900001},{4000;6750;10250;15250}),0),IF(V159&gt;1200000,((V159-1200000)*27.5%)+300000,0)
)))))))</f>
        <v>0</v>
      </c>
      <c r="X159" s="12">
        <f t="shared" si="52"/>
        <v>0</v>
      </c>
      <c r="Y159" s="12">
        <f t="shared" si="53"/>
        <v>0</v>
      </c>
      <c r="Z159" s="11"/>
      <c r="AA159" s="13">
        <f t="shared" si="54"/>
        <v>0</v>
      </c>
      <c r="AB159" s="12">
        <f t="shared" si="55"/>
        <v>0</v>
      </c>
      <c r="AC159" s="14">
        <f t="shared" si="43"/>
        <v>0</v>
      </c>
      <c r="AE159" s="19">
        <f t="shared" si="56"/>
        <v>0</v>
      </c>
      <c r="AF159" s="19"/>
      <c r="AG159" s="17"/>
      <c r="AK159" s="7"/>
      <c r="AL159" s="108">
        <f t="shared" si="44"/>
        <v>0</v>
      </c>
      <c r="AM159" s="108">
        <f t="shared" si="45"/>
        <v>0</v>
      </c>
      <c r="AN159" s="113"/>
    </row>
    <row r="160" spans="2:40" x14ac:dyDescent="0.2">
      <c r="B160" s="7"/>
      <c r="C160" s="8"/>
      <c r="D160" s="8"/>
      <c r="E160" s="9"/>
      <c r="F160" s="6"/>
      <c r="G160" s="8"/>
      <c r="H160" s="32"/>
      <c r="I160" s="10" t="str">
        <f t="shared" si="42"/>
        <v>21</v>
      </c>
      <c r="J160" s="11">
        <v>1</v>
      </c>
      <c r="K160" s="11"/>
      <c r="L160" s="11"/>
      <c r="M160" s="11">
        <f t="shared" si="46"/>
        <v>0</v>
      </c>
      <c r="N160" s="11"/>
      <c r="O160" s="11">
        <f t="shared" si="47"/>
        <v>0</v>
      </c>
      <c r="P160" s="11"/>
      <c r="Q160" s="11"/>
      <c r="R160" s="11"/>
      <c r="S160" s="11">
        <f t="shared" si="48"/>
        <v>0</v>
      </c>
      <c r="T160" s="11">
        <f t="shared" si="49"/>
        <v>1666.6666666666667</v>
      </c>
      <c r="U160" s="11">
        <f t="shared" si="50"/>
        <v>0</v>
      </c>
      <c r="V160" s="24">
        <f t="shared" si="51"/>
        <v>0</v>
      </c>
      <c r="W160" s="11">
        <f>IF(V160&lt;=40000,0,
IF(V160&lt;=55000,(V160-40000)*10%,
IF(V160&lt;=70000,(V160-55000)*15%+1500,
IF(V160&lt;=200000,(V160-70000)*20%+1500+2250,
IF(V160&lt;=400000,(V160-200000)*22.5%+1500+2250+26000,
IF(V160&lt;=600000,(V160-400000)*25%+1500+2250+26000+45000,
IF(AND(V160&gt;600000,V160&lt;=1200000),(V160-400000)*25%+1500+2250+26000+45000
+IFERROR(LOOKUP(V160,{600001;700001;800001;900001},{4000;6750;10250;15250}),0),IF(V160&gt;1200000,((V160-1200000)*27.5%)+300000,0)
)))))))</f>
        <v>0</v>
      </c>
      <c r="X160" s="12">
        <f t="shared" si="52"/>
        <v>0</v>
      </c>
      <c r="Y160" s="12">
        <f t="shared" si="53"/>
        <v>0</v>
      </c>
      <c r="Z160" s="11"/>
      <c r="AA160" s="13">
        <f t="shared" si="54"/>
        <v>0</v>
      </c>
      <c r="AB160" s="12">
        <f t="shared" si="55"/>
        <v>0</v>
      </c>
      <c r="AC160" s="14">
        <f t="shared" si="43"/>
        <v>0</v>
      </c>
      <c r="AE160" s="19">
        <f t="shared" si="56"/>
        <v>0</v>
      </c>
      <c r="AF160" s="19"/>
      <c r="AG160" s="17"/>
      <c r="AK160" s="7"/>
      <c r="AL160" s="108">
        <f t="shared" si="44"/>
        <v>0</v>
      </c>
      <c r="AM160" s="108">
        <f t="shared" si="45"/>
        <v>0</v>
      </c>
      <c r="AN160" s="113"/>
    </row>
    <row r="161" spans="2:40" x14ac:dyDescent="0.2">
      <c r="B161" s="7"/>
      <c r="C161" s="8"/>
      <c r="D161" s="8"/>
      <c r="E161" s="9"/>
      <c r="F161" s="6"/>
      <c r="G161" s="8"/>
      <c r="H161" s="32"/>
      <c r="I161" s="10" t="str">
        <f t="shared" si="42"/>
        <v>21</v>
      </c>
      <c r="J161" s="11">
        <v>1</v>
      </c>
      <c r="K161" s="11"/>
      <c r="L161" s="11"/>
      <c r="M161" s="11">
        <f t="shared" si="46"/>
        <v>0</v>
      </c>
      <c r="N161" s="11"/>
      <c r="O161" s="11">
        <f t="shared" si="47"/>
        <v>0</v>
      </c>
      <c r="P161" s="11"/>
      <c r="Q161" s="11"/>
      <c r="R161" s="11"/>
      <c r="S161" s="11">
        <f t="shared" si="48"/>
        <v>0</v>
      </c>
      <c r="T161" s="11">
        <f t="shared" si="49"/>
        <v>1666.6666666666667</v>
      </c>
      <c r="U161" s="11">
        <f t="shared" si="50"/>
        <v>0</v>
      </c>
      <c r="V161" s="24">
        <f t="shared" si="51"/>
        <v>0</v>
      </c>
      <c r="W161" s="11">
        <f>IF(V161&lt;=40000,0,
IF(V161&lt;=55000,(V161-40000)*10%,
IF(V161&lt;=70000,(V161-55000)*15%+1500,
IF(V161&lt;=200000,(V161-70000)*20%+1500+2250,
IF(V161&lt;=400000,(V161-200000)*22.5%+1500+2250+26000,
IF(V161&lt;=600000,(V161-400000)*25%+1500+2250+26000+45000,
IF(AND(V161&gt;600000,V161&lt;=1200000),(V161-400000)*25%+1500+2250+26000+45000
+IFERROR(LOOKUP(V161,{600001;700001;800001;900001},{4000;6750;10250;15250}),0),IF(V161&gt;1200000,((V161-1200000)*27.5%)+300000,0)
)))))))</f>
        <v>0</v>
      </c>
      <c r="X161" s="12">
        <f t="shared" si="52"/>
        <v>0</v>
      </c>
      <c r="Y161" s="12">
        <f t="shared" si="53"/>
        <v>0</v>
      </c>
      <c r="Z161" s="11"/>
      <c r="AA161" s="13">
        <f t="shared" si="54"/>
        <v>0</v>
      </c>
      <c r="AB161" s="12">
        <f t="shared" si="55"/>
        <v>0</v>
      </c>
      <c r="AC161" s="14">
        <f t="shared" si="43"/>
        <v>0</v>
      </c>
      <c r="AE161" s="19">
        <f t="shared" si="56"/>
        <v>0</v>
      </c>
      <c r="AF161" s="19"/>
      <c r="AG161" s="17"/>
      <c r="AK161" s="7"/>
      <c r="AL161" s="108">
        <f t="shared" si="44"/>
        <v>0</v>
      </c>
      <c r="AM161" s="108">
        <f t="shared" si="45"/>
        <v>0</v>
      </c>
      <c r="AN161" s="113"/>
    </row>
    <row r="162" spans="2:40" x14ac:dyDescent="0.2">
      <c r="B162" s="7"/>
      <c r="C162" s="8"/>
      <c r="D162" s="8"/>
      <c r="E162" s="9"/>
      <c r="F162" s="6"/>
      <c r="G162" s="8"/>
      <c r="H162" s="32"/>
      <c r="I162" s="10" t="str">
        <f t="shared" si="42"/>
        <v>21</v>
      </c>
      <c r="J162" s="11">
        <v>1</v>
      </c>
      <c r="K162" s="11"/>
      <c r="L162" s="11"/>
      <c r="M162" s="11">
        <f t="shared" si="46"/>
        <v>0</v>
      </c>
      <c r="N162" s="11"/>
      <c r="O162" s="11">
        <f t="shared" si="47"/>
        <v>0</v>
      </c>
      <c r="P162" s="11"/>
      <c r="Q162" s="11"/>
      <c r="R162" s="11"/>
      <c r="S162" s="11">
        <f t="shared" si="48"/>
        <v>0</v>
      </c>
      <c r="T162" s="11">
        <f t="shared" si="49"/>
        <v>1666.6666666666667</v>
      </c>
      <c r="U162" s="11">
        <f t="shared" si="50"/>
        <v>0</v>
      </c>
      <c r="V162" s="24">
        <f t="shared" si="51"/>
        <v>0</v>
      </c>
      <c r="W162" s="11">
        <f>IF(V162&lt;=40000,0,
IF(V162&lt;=55000,(V162-40000)*10%,
IF(V162&lt;=70000,(V162-55000)*15%+1500,
IF(V162&lt;=200000,(V162-70000)*20%+1500+2250,
IF(V162&lt;=400000,(V162-200000)*22.5%+1500+2250+26000,
IF(V162&lt;=600000,(V162-400000)*25%+1500+2250+26000+45000,
IF(AND(V162&gt;600000,V162&lt;=1200000),(V162-400000)*25%+1500+2250+26000+45000
+IFERROR(LOOKUP(V162,{600001;700001;800001;900001},{4000;6750;10250;15250}),0),IF(V162&gt;1200000,((V162-1200000)*27.5%)+300000,0)
)))))))</f>
        <v>0</v>
      </c>
      <c r="X162" s="12">
        <f t="shared" si="52"/>
        <v>0</v>
      </c>
      <c r="Y162" s="12">
        <f t="shared" si="53"/>
        <v>0</v>
      </c>
      <c r="Z162" s="11"/>
      <c r="AA162" s="13">
        <f t="shared" si="54"/>
        <v>0</v>
      </c>
      <c r="AB162" s="12">
        <f t="shared" si="55"/>
        <v>0</v>
      </c>
      <c r="AC162" s="14">
        <f t="shared" si="43"/>
        <v>0</v>
      </c>
      <c r="AE162" s="19">
        <f t="shared" si="56"/>
        <v>0</v>
      </c>
      <c r="AF162" s="19"/>
      <c r="AG162" s="17"/>
      <c r="AK162" s="7"/>
      <c r="AL162" s="108">
        <f t="shared" si="44"/>
        <v>0</v>
      </c>
      <c r="AM162" s="108">
        <f t="shared" si="45"/>
        <v>0</v>
      </c>
      <c r="AN162" s="113"/>
    </row>
    <row r="163" spans="2:40" x14ac:dyDescent="0.2">
      <c r="B163" s="7"/>
      <c r="C163" s="8"/>
      <c r="D163" s="8"/>
      <c r="E163" s="9"/>
      <c r="F163" s="6"/>
      <c r="G163" s="8"/>
      <c r="H163" s="32"/>
      <c r="I163" s="10" t="str">
        <f t="shared" si="42"/>
        <v>21</v>
      </c>
      <c r="J163" s="11">
        <v>1</v>
      </c>
      <c r="K163" s="11"/>
      <c r="L163" s="11"/>
      <c r="M163" s="11">
        <f t="shared" si="46"/>
        <v>0</v>
      </c>
      <c r="N163" s="11"/>
      <c r="O163" s="11">
        <f t="shared" si="47"/>
        <v>0</v>
      </c>
      <c r="P163" s="11"/>
      <c r="Q163" s="11"/>
      <c r="R163" s="11"/>
      <c r="S163" s="11">
        <f t="shared" si="48"/>
        <v>0</v>
      </c>
      <c r="T163" s="11">
        <f t="shared" si="49"/>
        <v>1666.6666666666667</v>
      </c>
      <c r="U163" s="11">
        <f t="shared" si="50"/>
        <v>0</v>
      </c>
      <c r="V163" s="24">
        <f t="shared" si="51"/>
        <v>0</v>
      </c>
      <c r="W163" s="11">
        <f>IF(V163&lt;=40000,0,
IF(V163&lt;=55000,(V163-40000)*10%,
IF(V163&lt;=70000,(V163-55000)*15%+1500,
IF(V163&lt;=200000,(V163-70000)*20%+1500+2250,
IF(V163&lt;=400000,(V163-200000)*22.5%+1500+2250+26000,
IF(V163&lt;=600000,(V163-400000)*25%+1500+2250+26000+45000,
IF(AND(V163&gt;600000,V163&lt;=1200000),(V163-400000)*25%+1500+2250+26000+45000
+IFERROR(LOOKUP(V163,{600001;700001;800001;900001},{4000;6750;10250;15250}),0),IF(V163&gt;1200000,((V163-1200000)*27.5%)+300000,0)
)))))))</f>
        <v>0</v>
      </c>
      <c r="X163" s="12">
        <f t="shared" si="52"/>
        <v>0</v>
      </c>
      <c r="Y163" s="12">
        <f t="shared" si="53"/>
        <v>0</v>
      </c>
      <c r="Z163" s="11"/>
      <c r="AA163" s="13">
        <f t="shared" si="54"/>
        <v>0</v>
      </c>
      <c r="AB163" s="12">
        <f t="shared" si="55"/>
        <v>0</v>
      </c>
      <c r="AC163" s="14">
        <f t="shared" si="43"/>
        <v>0</v>
      </c>
      <c r="AE163" s="19">
        <f t="shared" si="56"/>
        <v>0</v>
      </c>
      <c r="AF163" s="19"/>
      <c r="AG163" s="17"/>
      <c r="AK163" s="7"/>
      <c r="AL163" s="108">
        <f t="shared" si="44"/>
        <v>0</v>
      </c>
      <c r="AM163" s="108">
        <f t="shared" si="45"/>
        <v>0</v>
      </c>
      <c r="AN163" s="113"/>
    </row>
    <row r="164" spans="2:40" x14ac:dyDescent="0.2">
      <c r="B164" s="7"/>
      <c r="C164" s="8"/>
      <c r="D164" s="8"/>
      <c r="E164" s="9"/>
      <c r="F164" s="6"/>
      <c r="G164" s="8"/>
      <c r="H164" s="32"/>
      <c r="I164" s="10" t="str">
        <f t="shared" si="42"/>
        <v>21</v>
      </c>
      <c r="J164" s="11">
        <v>1</v>
      </c>
      <c r="K164" s="11"/>
      <c r="L164" s="11"/>
      <c r="M164" s="11">
        <f t="shared" si="46"/>
        <v>0</v>
      </c>
      <c r="N164" s="11"/>
      <c r="O164" s="11">
        <f t="shared" si="47"/>
        <v>0</v>
      </c>
      <c r="P164" s="11"/>
      <c r="Q164" s="11"/>
      <c r="R164" s="11"/>
      <c r="S164" s="11">
        <f t="shared" si="48"/>
        <v>0</v>
      </c>
      <c r="T164" s="11">
        <f t="shared" si="49"/>
        <v>1666.6666666666667</v>
      </c>
      <c r="U164" s="11">
        <f t="shared" si="50"/>
        <v>0</v>
      </c>
      <c r="V164" s="24">
        <f t="shared" si="51"/>
        <v>0</v>
      </c>
      <c r="W164" s="11">
        <f>IF(V164&lt;=40000,0,
IF(V164&lt;=55000,(V164-40000)*10%,
IF(V164&lt;=70000,(V164-55000)*15%+1500,
IF(V164&lt;=200000,(V164-70000)*20%+1500+2250,
IF(V164&lt;=400000,(V164-200000)*22.5%+1500+2250+26000,
IF(V164&lt;=600000,(V164-400000)*25%+1500+2250+26000+45000,
IF(AND(V164&gt;600000,V164&lt;=1200000),(V164-400000)*25%+1500+2250+26000+45000
+IFERROR(LOOKUP(V164,{600001;700001;800001;900001},{4000;6750;10250;15250}),0),IF(V164&gt;1200000,((V164-1200000)*27.5%)+300000,0)
)))))))</f>
        <v>0</v>
      </c>
      <c r="X164" s="12">
        <f t="shared" si="52"/>
        <v>0</v>
      </c>
      <c r="Y164" s="12">
        <f t="shared" si="53"/>
        <v>0</v>
      </c>
      <c r="Z164" s="11"/>
      <c r="AA164" s="13">
        <f t="shared" si="54"/>
        <v>0</v>
      </c>
      <c r="AB164" s="12">
        <f t="shared" si="55"/>
        <v>0</v>
      </c>
      <c r="AC164" s="14">
        <f t="shared" si="43"/>
        <v>0</v>
      </c>
      <c r="AE164" s="19">
        <f t="shared" si="56"/>
        <v>0</v>
      </c>
      <c r="AF164" s="19"/>
      <c r="AG164" s="17"/>
      <c r="AK164" s="7"/>
      <c r="AL164" s="108">
        <f t="shared" si="44"/>
        <v>0</v>
      </c>
      <c r="AM164" s="108">
        <f t="shared" si="45"/>
        <v>0</v>
      </c>
      <c r="AN164" s="113"/>
    </row>
    <row r="165" spans="2:40" x14ac:dyDescent="0.2">
      <c r="B165" s="7"/>
      <c r="C165" s="8"/>
      <c r="D165" s="8"/>
      <c r="E165" s="9"/>
      <c r="F165" s="6"/>
      <c r="G165" s="8"/>
      <c r="H165" s="32"/>
      <c r="I165" s="10" t="str">
        <f t="shared" si="42"/>
        <v>21</v>
      </c>
      <c r="J165" s="11">
        <v>1</v>
      </c>
      <c r="K165" s="11"/>
      <c r="L165" s="11"/>
      <c r="M165" s="11">
        <f t="shared" si="46"/>
        <v>0</v>
      </c>
      <c r="N165" s="11"/>
      <c r="O165" s="11">
        <f t="shared" si="47"/>
        <v>0</v>
      </c>
      <c r="P165" s="11"/>
      <c r="Q165" s="11"/>
      <c r="R165" s="11"/>
      <c r="S165" s="11">
        <f t="shared" si="48"/>
        <v>0</v>
      </c>
      <c r="T165" s="11">
        <f t="shared" si="49"/>
        <v>1666.6666666666667</v>
      </c>
      <c r="U165" s="11">
        <f t="shared" si="50"/>
        <v>0</v>
      </c>
      <c r="V165" s="24">
        <f t="shared" si="51"/>
        <v>0</v>
      </c>
      <c r="W165" s="11">
        <f>IF(V165&lt;=40000,0,
IF(V165&lt;=55000,(V165-40000)*10%,
IF(V165&lt;=70000,(V165-55000)*15%+1500,
IF(V165&lt;=200000,(V165-70000)*20%+1500+2250,
IF(V165&lt;=400000,(V165-200000)*22.5%+1500+2250+26000,
IF(V165&lt;=600000,(V165-400000)*25%+1500+2250+26000+45000,
IF(AND(V165&gt;600000,V165&lt;=1200000),(V165-400000)*25%+1500+2250+26000+45000
+IFERROR(LOOKUP(V165,{600001;700001;800001;900001},{4000;6750;10250;15250}),0),IF(V165&gt;1200000,((V165-1200000)*27.5%)+300000,0)
)))))))</f>
        <v>0</v>
      </c>
      <c r="X165" s="12">
        <f t="shared" si="52"/>
        <v>0</v>
      </c>
      <c r="Y165" s="12">
        <f t="shared" si="53"/>
        <v>0</v>
      </c>
      <c r="Z165" s="11"/>
      <c r="AA165" s="13">
        <f t="shared" si="54"/>
        <v>0</v>
      </c>
      <c r="AB165" s="12">
        <f t="shared" si="55"/>
        <v>0</v>
      </c>
      <c r="AC165" s="14">
        <f t="shared" si="43"/>
        <v>0</v>
      </c>
      <c r="AE165" s="19">
        <f t="shared" si="56"/>
        <v>0</v>
      </c>
      <c r="AF165" s="19"/>
      <c r="AG165" s="17"/>
      <c r="AK165" s="7"/>
      <c r="AL165" s="108">
        <f t="shared" si="44"/>
        <v>0</v>
      </c>
      <c r="AM165" s="108">
        <f t="shared" si="45"/>
        <v>0</v>
      </c>
      <c r="AN165" s="113"/>
    </row>
    <row r="166" spans="2:40" x14ac:dyDescent="0.2">
      <c r="B166" s="7"/>
      <c r="C166" s="8"/>
      <c r="D166" s="8"/>
      <c r="E166" s="9"/>
      <c r="F166" s="6"/>
      <c r="G166" s="8"/>
      <c r="H166" s="32"/>
      <c r="I166" s="10" t="str">
        <f t="shared" si="42"/>
        <v>21</v>
      </c>
      <c r="J166" s="11">
        <v>1</v>
      </c>
      <c r="K166" s="11"/>
      <c r="L166" s="11"/>
      <c r="M166" s="11">
        <f t="shared" si="46"/>
        <v>0</v>
      </c>
      <c r="N166" s="11"/>
      <c r="O166" s="11">
        <f t="shared" si="47"/>
        <v>0</v>
      </c>
      <c r="P166" s="11"/>
      <c r="Q166" s="11"/>
      <c r="R166" s="11"/>
      <c r="S166" s="11">
        <f t="shared" si="48"/>
        <v>0</v>
      </c>
      <c r="T166" s="11">
        <f t="shared" si="49"/>
        <v>1666.6666666666667</v>
      </c>
      <c r="U166" s="11">
        <f t="shared" si="50"/>
        <v>0</v>
      </c>
      <c r="V166" s="24">
        <f t="shared" si="51"/>
        <v>0</v>
      </c>
      <c r="W166" s="11">
        <f>IF(V166&lt;=40000,0,
IF(V166&lt;=55000,(V166-40000)*10%,
IF(V166&lt;=70000,(V166-55000)*15%+1500,
IF(V166&lt;=200000,(V166-70000)*20%+1500+2250,
IF(V166&lt;=400000,(V166-200000)*22.5%+1500+2250+26000,
IF(V166&lt;=600000,(V166-400000)*25%+1500+2250+26000+45000,
IF(AND(V166&gt;600000,V166&lt;=1200000),(V166-400000)*25%+1500+2250+26000+45000
+IFERROR(LOOKUP(V166,{600001;700001;800001;900001},{4000;6750;10250;15250}),0),IF(V166&gt;1200000,((V166-1200000)*27.5%)+300000,0)
)))))))</f>
        <v>0</v>
      </c>
      <c r="X166" s="12">
        <f t="shared" si="52"/>
        <v>0</v>
      </c>
      <c r="Y166" s="12">
        <f t="shared" si="53"/>
        <v>0</v>
      </c>
      <c r="Z166" s="11"/>
      <c r="AA166" s="13">
        <f t="shared" si="54"/>
        <v>0</v>
      </c>
      <c r="AB166" s="12">
        <f t="shared" si="55"/>
        <v>0</v>
      </c>
      <c r="AC166" s="14">
        <f t="shared" si="43"/>
        <v>0</v>
      </c>
      <c r="AE166" s="19">
        <f t="shared" si="56"/>
        <v>0</v>
      </c>
      <c r="AF166" s="19"/>
      <c r="AG166" s="17"/>
      <c r="AK166" s="7"/>
      <c r="AL166" s="108">
        <f t="shared" si="44"/>
        <v>0</v>
      </c>
      <c r="AM166" s="108">
        <f t="shared" si="45"/>
        <v>0</v>
      </c>
      <c r="AN166" s="113"/>
    </row>
    <row r="167" spans="2:40" x14ac:dyDescent="0.2">
      <c r="B167" s="7"/>
      <c r="C167" s="8"/>
      <c r="D167" s="8"/>
      <c r="E167" s="9"/>
      <c r="F167" s="6"/>
      <c r="G167" s="8"/>
      <c r="H167" s="32"/>
      <c r="I167" s="10" t="str">
        <f t="shared" si="42"/>
        <v>21</v>
      </c>
      <c r="J167" s="11">
        <v>1</v>
      </c>
      <c r="K167" s="11"/>
      <c r="L167" s="11"/>
      <c r="M167" s="11">
        <f t="shared" si="46"/>
        <v>0</v>
      </c>
      <c r="N167" s="11"/>
      <c r="O167" s="11">
        <f t="shared" si="47"/>
        <v>0</v>
      </c>
      <c r="P167" s="11"/>
      <c r="Q167" s="11"/>
      <c r="R167" s="11"/>
      <c r="S167" s="11">
        <f t="shared" si="48"/>
        <v>0</v>
      </c>
      <c r="T167" s="11">
        <f t="shared" si="49"/>
        <v>1666.6666666666667</v>
      </c>
      <c r="U167" s="11">
        <f t="shared" si="50"/>
        <v>0</v>
      </c>
      <c r="V167" s="24">
        <f t="shared" si="51"/>
        <v>0</v>
      </c>
      <c r="W167" s="11">
        <f>IF(V167&lt;=40000,0,
IF(V167&lt;=55000,(V167-40000)*10%,
IF(V167&lt;=70000,(V167-55000)*15%+1500,
IF(V167&lt;=200000,(V167-70000)*20%+1500+2250,
IF(V167&lt;=400000,(V167-200000)*22.5%+1500+2250+26000,
IF(V167&lt;=600000,(V167-400000)*25%+1500+2250+26000+45000,
IF(AND(V167&gt;600000,V167&lt;=1200000),(V167-400000)*25%+1500+2250+26000+45000
+IFERROR(LOOKUP(V167,{600001;700001;800001;900001},{4000;6750;10250;15250}),0),IF(V167&gt;1200000,((V167-1200000)*27.5%)+300000,0)
)))))))</f>
        <v>0</v>
      </c>
      <c r="X167" s="12">
        <f t="shared" si="52"/>
        <v>0</v>
      </c>
      <c r="Y167" s="12">
        <f t="shared" si="53"/>
        <v>0</v>
      </c>
      <c r="Z167" s="11"/>
      <c r="AA167" s="13">
        <f t="shared" si="54"/>
        <v>0</v>
      </c>
      <c r="AB167" s="12">
        <f t="shared" si="55"/>
        <v>0</v>
      </c>
      <c r="AC167" s="14">
        <f t="shared" si="43"/>
        <v>0</v>
      </c>
      <c r="AE167" s="19">
        <f t="shared" si="56"/>
        <v>0</v>
      </c>
      <c r="AF167" s="19"/>
      <c r="AG167" s="17"/>
      <c r="AK167" s="7"/>
      <c r="AL167" s="108">
        <f t="shared" si="44"/>
        <v>0</v>
      </c>
      <c r="AM167" s="108">
        <f t="shared" si="45"/>
        <v>0</v>
      </c>
      <c r="AN167" s="113"/>
    </row>
    <row r="168" spans="2:40" x14ac:dyDescent="0.2">
      <c r="B168" s="7"/>
      <c r="C168" s="8"/>
      <c r="D168" s="8"/>
      <c r="E168" s="9"/>
      <c r="F168" s="6"/>
      <c r="G168" s="8"/>
      <c r="H168" s="32"/>
      <c r="I168" s="10" t="str">
        <f t="shared" si="42"/>
        <v>21</v>
      </c>
      <c r="J168" s="11">
        <v>1</v>
      </c>
      <c r="K168" s="11"/>
      <c r="L168" s="11"/>
      <c r="M168" s="11">
        <f t="shared" si="46"/>
        <v>0</v>
      </c>
      <c r="N168" s="11"/>
      <c r="O168" s="11">
        <f t="shared" si="47"/>
        <v>0</v>
      </c>
      <c r="P168" s="11"/>
      <c r="Q168" s="11"/>
      <c r="R168" s="11"/>
      <c r="S168" s="11">
        <f t="shared" si="48"/>
        <v>0</v>
      </c>
      <c r="T168" s="11">
        <f t="shared" si="49"/>
        <v>1666.6666666666667</v>
      </c>
      <c r="U168" s="11">
        <f t="shared" si="50"/>
        <v>0</v>
      </c>
      <c r="V168" s="24">
        <f t="shared" si="51"/>
        <v>0</v>
      </c>
      <c r="W168" s="11">
        <f>IF(V168&lt;=40000,0,
IF(V168&lt;=55000,(V168-40000)*10%,
IF(V168&lt;=70000,(V168-55000)*15%+1500,
IF(V168&lt;=200000,(V168-70000)*20%+1500+2250,
IF(V168&lt;=400000,(V168-200000)*22.5%+1500+2250+26000,
IF(V168&lt;=600000,(V168-400000)*25%+1500+2250+26000+45000,
IF(AND(V168&gt;600000,V168&lt;=1200000),(V168-400000)*25%+1500+2250+26000+45000
+IFERROR(LOOKUP(V168,{600001;700001;800001;900001},{4000;6750;10250;15250}),0),IF(V168&gt;1200000,((V168-1200000)*27.5%)+300000,0)
)))))))</f>
        <v>0</v>
      </c>
      <c r="X168" s="12">
        <f t="shared" si="52"/>
        <v>0</v>
      </c>
      <c r="Y168" s="12">
        <f t="shared" si="53"/>
        <v>0</v>
      </c>
      <c r="Z168" s="11"/>
      <c r="AA168" s="13">
        <f t="shared" si="54"/>
        <v>0</v>
      </c>
      <c r="AB168" s="12">
        <f t="shared" si="55"/>
        <v>0</v>
      </c>
      <c r="AC168" s="14">
        <f t="shared" si="43"/>
        <v>0</v>
      </c>
      <c r="AE168" s="19">
        <f t="shared" si="56"/>
        <v>0</v>
      </c>
      <c r="AF168" s="19"/>
      <c r="AG168" s="17"/>
      <c r="AK168" s="7"/>
      <c r="AL168" s="108">
        <f t="shared" si="44"/>
        <v>0</v>
      </c>
      <c r="AM168" s="108">
        <f t="shared" si="45"/>
        <v>0</v>
      </c>
      <c r="AN168" s="113"/>
    </row>
    <row r="169" spans="2:40" x14ac:dyDescent="0.2">
      <c r="B169" s="7"/>
      <c r="C169" s="8"/>
      <c r="D169" s="8"/>
      <c r="E169" s="9"/>
      <c r="F169" s="6"/>
      <c r="G169" s="8"/>
      <c r="H169" s="32"/>
      <c r="I169" s="10" t="str">
        <f t="shared" si="42"/>
        <v>21</v>
      </c>
      <c r="J169" s="11">
        <v>1</v>
      </c>
      <c r="K169" s="11"/>
      <c r="L169" s="11"/>
      <c r="M169" s="11">
        <f t="shared" si="46"/>
        <v>0</v>
      </c>
      <c r="N169" s="11"/>
      <c r="O169" s="11">
        <f t="shared" si="47"/>
        <v>0</v>
      </c>
      <c r="P169" s="11"/>
      <c r="Q169" s="11"/>
      <c r="R169" s="11"/>
      <c r="S169" s="11">
        <f t="shared" si="48"/>
        <v>0</v>
      </c>
      <c r="T169" s="11">
        <f t="shared" si="49"/>
        <v>1666.6666666666667</v>
      </c>
      <c r="U169" s="11">
        <f t="shared" si="50"/>
        <v>0</v>
      </c>
      <c r="V169" s="24">
        <f t="shared" si="51"/>
        <v>0</v>
      </c>
      <c r="W169" s="11">
        <f>IF(V169&lt;=40000,0,
IF(V169&lt;=55000,(V169-40000)*10%,
IF(V169&lt;=70000,(V169-55000)*15%+1500,
IF(V169&lt;=200000,(V169-70000)*20%+1500+2250,
IF(V169&lt;=400000,(V169-200000)*22.5%+1500+2250+26000,
IF(V169&lt;=600000,(V169-400000)*25%+1500+2250+26000+45000,
IF(AND(V169&gt;600000,V169&lt;=1200000),(V169-400000)*25%+1500+2250+26000+45000
+IFERROR(LOOKUP(V169,{600001;700001;800001;900001},{4000;6750;10250;15250}),0),IF(V169&gt;1200000,((V169-1200000)*27.5%)+300000,0)
)))))))</f>
        <v>0</v>
      </c>
      <c r="X169" s="12">
        <f t="shared" si="52"/>
        <v>0</v>
      </c>
      <c r="Y169" s="12">
        <f t="shared" si="53"/>
        <v>0</v>
      </c>
      <c r="Z169" s="11"/>
      <c r="AA169" s="13">
        <f t="shared" si="54"/>
        <v>0</v>
      </c>
      <c r="AB169" s="12">
        <f t="shared" si="55"/>
        <v>0</v>
      </c>
      <c r="AC169" s="14">
        <f t="shared" si="43"/>
        <v>0</v>
      </c>
      <c r="AE169" s="19">
        <f t="shared" si="56"/>
        <v>0</v>
      </c>
      <c r="AF169" s="19"/>
      <c r="AG169" s="17"/>
      <c r="AK169" s="7"/>
      <c r="AL169" s="108">
        <f t="shared" si="44"/>
        <v>0</v>
      </c>
      <c r="AM169" s="108">
        <f t="shared" si="45"/>
        <v>0</v>
      </c>
      <c r="AN169" s="113"/>
    </row>
    <row r="170" spans="2:40" x14ac:dyDescent="0.2">
      <c r="B170" s="7"/>
      <c r="C170" s="8"/>
      <c r="D170" s="8"/>
      <c r="E170" s="9"/>
      <c r="F170" s="6"/>
      <c r="G170" s="8"/>
      <c r="H170" s="32"/>
      <c r="I170" s="10" t="str">
        <f t="shared" si="42"/>
        <v>21</v>
      </c>
      <c r="J170" s="11">
        <v>1</v>
      </c>
      <c r="K170" s="11"/>
      <c r="L170" s="11"/>
      <c r="M170" s="11">
        <f t="shared" si="46"/>
        <v>0</v>
      </c>
      <c r="N170" s="11"/>
      <c r="O170" s="11">
        <f t="shared" si="47"/>
        <v>0</v>
      </c>
      <c r="P170" s="11"/>
      <c r="Q170" s="11"/>
      <c r="R170" s="11"/>
      <c r="S170" s="11">
        <f t="shared" si="48"/>
        <v>0</v>
      </c>
      <c r="T170" s="11">
        <f t="shared" si="49"/>
        <v>1666.6666666666667</v>
      </c>
      <c r="U170" s="11">
        <f t="shared" si="50"/>
        <v>0</v>
      </c>
      <c r="V170" s="24">
        <f t="shared" si="51"/>
        <v>0</v>
      </c>
      <c r="W170" s="11">
        <f>IF(V170&lt;=40000,0,
IF(V170&lt;=55000,(V170-40000)*10%,
IF(V170&lt;=70000,(V170-55000)*15%+1500,
IF(V170&lt;=200000,(V170-70000)*20%+1500+2250,
IF(V170&lt;=400000,(V170-200000)*22.5%+1500+2250+26000,
IF(V170&lt;=600000,(V170-400000)*25%+1500+2250+26000+45000,
IF(AND(V170&gt;600000,V170&lt;=1200000),(V170-400000)*25%+1500+2250+26000+45000
+IFERROR(LOOKUP(V170,{600001;700001;800001;900001},{4000;6750;10250;15250}),0),IF(V170&gt;1200000,((V170-1200000)*27.5%)+300000,0)
)))))))</f>
        <v>0</v>
      </c>
      <c r="X170" s="12">
        <f t="shared" si="52"/>
        <v>0</v>
      </c>
      <c r="Y170" s="12">
        <f t="shared" si="53"/>
        <v>0</v>
      </c>
      <c r="Z170" s="11"/>
      <c r="AA170" s="13">
        <f t="shared" si="54"/>
        <v>0</v>
      </c>
      <c r="AB170" s="12">
        <f t="shared" si="55"/>
        <v>0</v>
      </c>
      <c r="AC170" s="14">
        <f t="shared" si="43"/>
        <v>0</v>
      </c>
      <c r="AE170" s="19">
        <f t="shared" si="56"/>
        <v>0</v>
      </c>
      <c r="AF170" s="19"/>
      <c r="AG170" s="17"/>
      <c r="AK170" s="7"/>
      <c r="AL170" s="108">
        <f t="shared" si="44"/>
        <v>0</v>
      </c>
      <c r="AM170" s="108">
        <f t="shared" si="45"/>
        <v>0</v>
      </c>
      <c r="AN170" s="113"/>
    </row>
    <row r="171" spans="2:40" x14ac:dyDescent="0.2">
      <c r="B171" s="7"/>
      <c r="C171" s="8"/>
      <c r="D171" s="8"/>
      <c r="E171" s="9"/>
      <c r="F171" s="6"/>
      <c r="G171" s="8"/>
      <c r="H171" s="32"/>
      <c r="I171" s="10" t="str">
        <f t="shared" si="42"/>
        <v>21</v>
      </c>
      <c r="J171" s="11">
        <v>1</v>
      </c>
      <c r="K171" s="11"/>
      <c r="L171" s="11"/>
      <c r="M171" s="11">
        <f t="shared" si="46"/>
        <v>0</v>
      </c>
      <c r="N171" s="11"/>
      <c r="O171" s="11">
        <f t="shared" si="47"/>
        <v>0</v>
      </c>
      <c r="P171" s="11"/>
      <c r="Q171" s="11"/>
      <c r="R171" s="11"/>
      <c r="S171" s="11">
        <f t="shared" si="48"/>
        <v>0</v>
      </c>
      <c r="T171" s="11">
        <f t="shared" si="49"/>
        <v>1666.6666666666667</v>
      </c>
      <c r="U171" s="11">
        <f t="shared" si="50"/>
        <v>0</v>
      </c>
      <c r="V171" s="24">
        <f t="shared" si="51"/>
        <v>0</v>
      </c>
      <c r="W171" s="11">
        <f>IF(V171&lt;=40000,0,
IF(V171&lt;=55000,(V171-40000)*10%,
IF(V171&lt;=70000,(V171-55000)*15%+1500,
IF(V171&lt;=200000,(V171-70000)*20%+1500+2250,
IF(V171&lt;=400000,(V171-200000)*22.5%+1500+2250+26000,
IF(V171&lt;=600000,(V171-400000)*25%+1500+2250+26000+45000,
IF(AND(V171&gt;600000,V171&lt;=1200000),(V171-400000)*25%+1500+2250+26000+45000
+IFERROR(LOOKUP(V171,{600001;700001;800001;900001},{4000;6750;10250;15250}),0),IF(V171&gt;1200000,((V171-1200000)*27.5%)+300000,0)
)))))))</f>
        <v>0</v>
      </c>
      <c r="X171" s="12">
        <f t="shared" si="52"/>
        <v>0</v>
      </c>
      <c r="Y171" s="12">
        <f t="shared" si="53"/>
        <v>0</v>
      </c>
      <c r="Z171" s="11"/>
      <c r="AA171" s="13">
        <f t="shared" si="54"/>
        <v>0</v>
      </c>
      <c r="AB171" s="12">
        <f t="shared" si="55"/>
        <v>0</v>
      </c>
      <c r="AC171" s="14">
        <f t="shared" si="43"/>
        <v>0</v>
      </c>
      <c r="AE171" s="19">
        <f t="shared" si="56"/>
        <v>0</v>
      </c>
      <c r="AF171" s="19"/>
      <c r="AG171" s="17"/>
      <c r="AK171" s="7"/>
      <c r="AL171" s="108">
        <f t="shared" si="44"/>
        <v>0</v>
      </c>
      <c r="AM171" s="108">
        <f t="shared" si="45"/>
        <v>0</v>
      </c>
      <c r="AN171" s="113"/>
    </row>
    <row r="172" spans="2:40" x14ac:dyDescent="0.2">
      <c r="B172" s="7"/>
      <c r="C172" s="8"/>
      <c r="D172" s="8"/>
      <c r="E172" s="9"/>
      <c r="F172" s="6"/>
      <c r="G172" s="8"/>
      <c r="H172" s="32"/>
      <c r="I172" s="10" t="str">
        <f t="shared" si="42"/>
        <v>21</v>
      </c>
      <c r="J172" s="11">
        <v>1</v>
      </c>
      <c r="K172" s="11"/>
      <c r="L172" s="11"/>
      <c r="M172" s="11">
        <f t="shared" si="46"/>
        <v>0</v>
      </c>
      <c r="N172" s="11"/>
      <c r="O172" s="11">
        <f t="shared" si="47"/>
        <v>0</v>
      </c>
      <c r="P172" s="11"/>
      <c r="Q172" s="11"/>
      <c r="R172" s="11"/>
      <c r="S172" s="11">
        <f t="shared" si="48"/>
        <v>0</v>
      </c>
      <c r="T172" s="11">
        <f t="shared" si="49"/>
        <v>1666.6666666666667</v>
      </c>
      <c r="U172" s="11">
        <f t="shared" si="50"/>
        <v>0</v>
      </c>
      <c r="V172" s="24">
        <f t="shared" si="51"/>
        <v>0</v>
      </c>
      <c r="W172" s="11">
        <f>IF(V172&lt;=40000,0,
IF(V172&lt;=55000,(V172-40000)*10%,
IF(V172&lt;=70000,(V172-55000)*15%+1500,
IF(V172&lt;=200000,(V172-70000)*20%+1500+2250,
IF(V172&lt;=400000,(V172-200000)*22.5%+1500+2250+26000,
IF(V172&lt;=600000,(V172-400000)*25%+1500+2250+26000+45000,
IF(AND(V172&gt;600000,V172&lt;=1200000),(V172-400000)*25%+1500+2250+26000+45000
+IFERROR(LOOKUP(V172,{600001;700001;800001;900001},{4000;6750;10250;15250}),0),IF(V172&gt;1200000,((V172-1200000)*27.5%)+300000,0)
)))))))</f>
        <v>0</v>
      </c>
      <c r="X172" s="12">
        <f t="shared" si="52"/>
        <v>0</v>
      </c>
      <c r="Y172" s="12">
        <f t="shared" si="53"/>
        <v>0</v>
      </c>
      <c r="Z172" s="11"/>
      <c r="AA172" s="13">
        <f t="shared" si="54"/>
        <v>0</v>
      </c>
      <c r="AB172" s="12">
        <f t="shared" si="55"/>
        <v>0</v>
      </c>
      <c r="AC172" s="14">
        <f t="shared" si="43"/>
        <v>0</v>
      </c>
      <c r="AE172" s="19">
        <f t="shared" si="56"/>
        <v>0</v>
      </c>
      <c r="AF172" s="19"/>
      <c r="AG172" s="17"/>
      <c r="AK172" s="7"/>
      <c r="AL172" s="108">
        <f t="shared" si="44"/>
        <v>0</v>
      </c>
      <c r="AM172" s="108">
        <f t="shared" si="45"/>
        <v>0</v>
      </c>
      <c r="AN172" s="113"/>
    </row>
    <row r="173" spans="2:40" x14ac:dyDescent="0.2">
      <c r="B173" s="7"/>
      <c r="C173" s="8"/>
      <c r="D173" s="8"/>
      <c r="E173" s="9"/>
      <c r="F173" s="6"/>
      <c r="G173" s="8"/>
      <c r="H173" s="32"/>
      <c r="I173" s="10" t="str">
        <f t="shared" si="42"/>
        <v>21</v>
      </c>
      <c r="J173" s="11">
        <v>1</v>
      </c>
      <c r="K173" s="11"/>
      <c r="L173" s="11"/>
      <c r="M173" s="11">
        <f t="shared" si="46"/>
        <v>0</v>
      </c>
      <c r="N173" s="11"/>
      <c r="O173" s="11">
        <f t="shared" si="47"/>
        <v>0</v>
      </c>
      <c r="P173" s="11"/>
      <c r="Q173" s="11"/>
      <c r="R173" s="11"/>
      <c r="S173" s="11">
        <f t="shared" si="48"/>
        <v>0</v>
      </c>
      <c r="T173" s="11">
        <f t="shared" si="49"/>
        <v>1666.6666666666667</v>
      </c>
      <c r="U173" s="11">
        <f t="shared" si="50"/>
        <v>0</v>
      </c>
      <c r="V173" s="24">
        <f t="shared" si="51"/>
        <v>0</v>
      </c>
      <c r="W173" s="11">
        <f>IF(V173&lt;=40000,0,
IF(V173&lt;=55000,(V173-40000)*10%,
IF(V173&lt;=70000,(V173-55000)*15%+1500,
IF(V173&lt;=200000,(V173-70000)*20%+1500+2250,
IF(V173&lt;=400000,(V173-200000)*22.5%+1500+2250+26000,
IF(V173&lt;=600000,(V173-400000)*25%+1500+2250+26000+45000,
IF(AND(V173&gt;600000,V173&lt;=1200000),(V173-400000)*25%+1500+2250+26000+45000
+IFERROR(LOOKUP(V173,{600001;700001;800001;900001},{4000;6750;10250;15250}),0),IF(V173&gt;1200000,((V173-1200000)*27.5%)+300000,0)
)))))))</f>
        <v>0</v>
      </c>
      <c r="X173" s="12">
        <f t="shared" si="52"/>
        <v>0</v>
      </c>
      <c r="Y173" s="12">
        <f t="shared" si="53"/>
        <v>0</v>
      </c>
      <c r="Z173" s="11"/>
      <c r="AA173" s="13">
        <f t="shared" si="54"/>
        <v>0</v>
      </c>
      <c r="AB173" s="12">
        <f t="shared" si="55"/>
        <v>0</v>
      </c>
      <c r="AC173" s="14">
        <f t="shared" si="43"/>
        <v>0</v>
      </c>
      <c r="AE173" s="19">
        <f t="shared" si="56"/>
        <v>0</v>
      </c>
      <c r="AF173" s="19"/>
      <c r="AG173" s="17"/>
      <c r="AK173" s="7"/>
      <c r="AL173" s="108">
        <f t="shared" si="44"/>
        <v>0</v>
      </c>
      <c r="AM173" s="108">
        <f t="shared" si="45"/>
        <v>0</v>
      </c>
      <c r="AN173" s="113"/>
    </row>
    <row r="174" spans="2:40" x14ac:dyDescent="0.2">
      <c r="B174" s="7"/>
      <c r="C174" s="8"/>
      <c r="D174" s="8"/>
      <c r="E174" s="9"/>
      <c r="F174" s="6"/>
      <c r="G174" s="8"/>
      <c r="H174" s="32"/>
      <c r="I174" s="10" t="str">
        <f t="shared" si="42"/>
        <v>21</v>
      </c>
      <c r="J174" s="11">
        <v>1</v>
      </c>
      <c r="K174" s="11"/>
      <c r="L174" s="11"/>
      <c r="M174" s="11">
        <f t="shared" si="46"/>
        <v>0</v>
      </c>
      <c r="N174" s="11"/>
      <c r="O174" s="11">
        <f t="shared" si="47"/>
        <v>0</v>
      </c>
      <c r="P174" s="11"/>
      <c r="Q174" s="11"/>
      <c r="R174" s="11"/>
      <c r="S174" s="11">
        <f t="shared" si="48"/>
        <v>0</v>
      </c>
      <c r="T174" s="11">
        <f t="shared" si="49"/>
        <v>1666.6666666666667</v>
      </c>
      <c r="U174" s="11">
        <f t="shared" si="50"/>
        <v>0</v>
      </c>
      <c r="V174" s="24">
        <f t="shared" si="51"/>
        <v>0</v>
      </c>
      <c r="W174" s="11">
        <f>IF(V174&lt;=40000,0,
IF(V174&lt;=55000,(V174-40000)*10%,
IF(V174&lt;=70000,(V174-55000)*15%+1500,
IF(V174&lt;=200000,(V174-70000)*20%+1500+2250,
IF(V174&lt;=400000,(V174-200000)*22.5%+1500+2250+26000,
IF(V174&lt;=600000,(V174-400000)*25%+1500+2250+26000+45000,
IF(AND(V174&gt;600000,V174&lt;=1200000),(V174-400000)*25%+1500+2250+26000+45000
+IFERROR(LOOKUP(V174,{600001;700001;800001;900001},{4000;6750;10250;15250}),0),IF(V174&gt;1200000,((V174-1200000)*27.5%)+300000,0)
)))))))</f>
        <v>0</v>
      </c>
      <c r="X174" s="12">
        <f t="shared" si="52"/>
        <v>0</v>
      </c>
      <c r="Y174" s="12">
        <f t="shared" si="53"/>
        <v>0</v>
      </c>
      <c r="Z174" s="11"/>
      <c r="AA174" s="13">
        <f t="shared" si="54"/>
        <v>0</v>
      </c>
      <c r="AB174" s="12">
        <f t="shared" si="55"/>
        <v>0</v>
      </c>
      <c r="AC174" s="14">
        <f t="shared" si="43"/>
        <v>0</v>
      </c>
      <c r="AE174" s="19">
        <f t="shared" si="56"/>
        <v>0</v>
      </c>
      <c r="AF174" s="19"/>
      <c r="AG174" s="17"/>
      <c r="AK174" s="7"/>
      <c r="AL174" s="108">
        <f t="shared" si="44"/>
        <v>0</v>
      </c>
      <c r="AM174" s="108">
        <f t="shared" si="45"/>
        <v>0</v>
      </c>
      <c r="AN174" s="113"/>
    </row>
    <row r="175" spans="2:40" x14ac:dyDescent="0.2">
      <c r="B175" s="7"/>
      <c r="C175" s="8"/>
      <c r="D175" s="8"/>
      <c r="E175" s="9"/>
      <c r="F175" s="6"/>
      <c r="G175" s="8"/>
      <c r="H175" s="32"/>
      <c r="I175" s="10" t="str">
        <f t="shared" si="42"/>
        <v>21</v>
      </c>
      <c r="J175" s="11">
        <v>1</v>
      </c>
      <c r="K175" s="11"/>
      <c r="L175" s="11"/>
      <c r="M175" s="11">
        <f t="shared" si="46"/>
        <v>0</v>
      </c>
      <c r="N175" s="11"/>
      <c r="O175" s="11">
        <f t="shared" si="47"/>
        <v>0</v>
      </c>
      <c r="P175" s="11"/>
      <c r="Q175" s="11"/>
      <c r="R175" s="11"/>
      <c r="S175" s="11">
        <f t="shared" si="48"/>
        <v>0</v>
      </c>
      <c r="T175" s="11">
        <f t="shared" si="49"/>
        <v>1666.6666666666667</v>
      </c>
      <c r="U175" s="11">
        <f t="shared" si="50"/>
        <v>0</v>
      </c>
      <c r="V175" s="24">
        <f t="shared" si="51"/>
        <v>0</v>
      </c>
      <c r="W175" s="11">
        <f>IF(V175&lt;=40000,0,
IF(V175&lt;=55000,(V175-40000)*10%,
IF(V175&lt;=70000,(V175-55000)*15%+1500,
IF(V175&lt;=200000,(V175-70000)*20%+1500+2250,
IF(V175&lt;=400000,(V175-200000)*22.5%+1500+2250+26000,
IF(V175&lt;=600000,(V175-400000)*25%+1500+2250+26000+45000,
IF(AND(V175&gt;600000,V175&lt;=1200000),(V175-400000)*25%+1500+2250+26000+45000
+IFERROR(LOOKUP(V175,{600001;700001;800001;900001},{4000;6750;10250;15250}),0),IF(V175&gt;1200000,((V175-1200000)*27.5%)+300000,0)
)))))))</f>
        <v>0</v>
      </c>
      <c r="X175" s="12">
        <f t="shared" si="52"/>
        <v>0</v>
      </c>
      <c r="Y175" s="12">
        <f t="shared" si="53"/>
        <v>0</v>
      </c>
      <c r="Z175" s="11"/>
      <c r="AA175" s="13">
        <f t="shared" si="54"/>
        <v>0</v>
      </c>
      <c r="AB175" s="12">
        <f t="shared" si="55"/>
        <v>0</v>
      </c>
      <c r="AC175" s="14">
        <f t="shared" si="43"/>
        <v>0</v>
      </c>
      <c r="AE175" s="19">
        <f t="shared" si="56"/>
        <v>0</v>
      </c>
      <c r="AF175" s="19"/>
      <c r="AG175" s="17"/>
      <c r="AK175" s="7"/>
      <c r="AL175" s="108">
        <f t="shared" si="44"/>
        <v>0</v>
      </c>
      <c r="AM175" s="108">
        <f t="shared" si="45"/>
        <v>0</v>
      </c>
      <c r="AN175" s="113"/>
    </row>
    <row r="176" spans="2:40" x14ac:dyDescent="0.2">
      <c r="B176" s="7"/>
      <c r="C176" s="8"/>
      <c r="D176" s="8"/>
      <c r="E176" s="9"/>
      <c r="F176" s="6"/>
      <c r="G176" s="8"/>
      <c r="H176" s="32"/>
      <c r="I176" s="10" t="str">
        <f t="shared" si="42"/>
        <v>21</v>
      </c>
      <c r="J176" s="11">
        <v>1</v>
      </c>
      <c r="K176" s="11"/>
      <c r="L176" s="11"/>
      <c r="M176" s="11">
        <f t="shared" si="46"/>
        <v>0</v>
      </c>
      <c r="N176" s="11"/>
      <c r="O176" s="11">
        <f t="shared" si="47"/>
        <v>0</v>
      </c>
      <c r="P176" s="11"/>
      <c r="Q176" s="11"/>
      <c r="R176" s="11"/>
      <c r="S176" s="11">
        <f t="shared" si="48"/>
        <v>0</v>
      </c>
      <c r="T176" s="11">
        <f t="shared" si="49"/>
        <v>1666.6666666666667</v>
      </c>
      <c r="U176" s="11">
        <f t="shared" si="50"/>
        <v>0</v>
      </c>
      <c r="V176" s="24">
        <f t="shared" si="51"/>
        <v>0</v>
      </c>
      <c r="W176" s="11">
        <f>IF(V176&lt;=40000,0,
IF(V176&lt;=55000,(V176-40000)*10%,
IF(V176&lt;=70000,(V176-55000)*15%+1500,
IF(V176&lt;=200000,(V176-70000)*20%+1500+2250,
IF(V176&lt;=400000,(V176-200000)*22.5%+1500+2250+26000,
IF(V176&lt;=600000,(V176-400000)*25%+1500+2250+26000+45000,
IF(AND(V176&gt;600000,V176&lt;=1200000),(V176-400000)*25%+1500+2250+26000+45000
+IFERROR(LOOKUP(V176,{600001;700001;800001;900001},{4000;6750;10250;15250}),0),IF(V176&gt;1200000,((V176-1200000)*27.5%)+300000,0)
)))))))</f>
        <v>0</v>
      </c>
      <c r="X176" s="12">
        <f t="shared" si="52"/>
        <v>0</v>
      </c>
      <c r="Y176" s="12">
        <f t="shared" si="53"/>
        <v>0</v>
      </c>
      <c r="Z176" s="11"/>
      <c r="AA176" s="13">
        <f t="shared" si="54"/>
        <v>0</v>
      </c>
      <c r="AB176" s="12">
        <f t="shared" si="55"/>
        <v>0</v>
      </c>
      <c r="AC176" s="14">
        <f t="shared" si="43"/>
        <v>0</v>
      </c>
      <c r="AE176" s="19">
        <f t="shared" si="56"/>
        <v>0</v>
      </c>
      <c r="AF176" s="19"/>
      <c r="AG176" s="17"/>
      <c r="AK176" s="7"/>
      <c r="AL176" s="108">
        <f t="shared" si="44"/>
        <v>0</v>
      </c>
      <c r="AM176" s="108">
        <f t="shared" si="45"/>
        <v>0</v>
      </c>
      <c r="AN176" s="113"/>
    </row>
    <row r="177" spans="2:40" x14ac:dyDescent="0.2">
      <c r="B177" s="7"/>
      <c r="C177" s="8"/>
      <c r="D177" s="8"/>
      <c r="E177" s="9"/>
      <c r="F177" s="6"/>
      <c r="G177" s="8"/>
      <c r="H177" s="32"/>
      <c r="I177" s="10" t="str">
        <f t="shared" si="42"/>
        <v>21</v>
      </c>
      <c r="J177" s="11">
        <v>1</v>
      </c>
      <c r="K177" s="11"/>
      <c r="L177" s="11"/>
      <c r="M177" s="11">
        <f t="shared" si="46"/>
        <v>0</v>
      </c>
      <c r="N177" s="11"/>
      <c r="O177" s="11">
        <f t="shared" si="47"/>
        <v>0</v>
      </c>
      <c r="P177" s="11"/>
      <c r="Q177" s="11"/>
      <c r="R177" s="11"/>
      <c r="S177" s="11">
        <f t="shared" si="48"/>
        <v>0</v>
      </c>
      <c r="T177" s="11">
        <f t="shared" si="49"/>
        <v>1666.6666666666667</v>
      </c>
      <c r="U177" s="11">
        <f t="shared" si="50"/>
        <v>0</v>
      </c>
      <c r="V177" s="24">
        <f t="shared" si="51"/>
        <v>0</v>
      </c>
      <c r="W177" s="11">
        <f>IF(V177&lt;=40000,0,
IF(V177&lt;=55000,(V177-40000)*10%,
IF(V177&lt;=70000,(V177-55000)*15%+1500,
IF(V177&lt;=200000,(V177-70000)*20%+1500+2250,
IF(V177&lt;=400000,(V177-200000)*22.5%+1500+2250+26000,
IF(V177&lt;=600000,(V177-400000)*25%+1500+2250+26000+45000,
IF(AND(V177&gt;600000,V177&lt;=1200000),(V177-400000)*25%+1500+2250+26000+45000
+IFERROR(LOOKUP(V177,{600001;700001;800001;900001},{4000;6750;10250;15250}),0),IF(V177&gt;1200000,((V177-1200000)*27.5%)+300000,0)
)))))))</f>
        <v>0</v>
      </c>
      <c r="X177" s="12">
        <f t="shared" si="52"/>
        <v>0</v>
      </c>
      <c r="Y177" s="12">
        <f t="shared" si="53"/>
        <v>0</v>
      </c>
      <c r="Z177" s="11"/>
      <c r="AA177" s="13">
        <f t="shared" si="54"/>
        <v>0</v>
      </c>
      <c r="AB177" s="12">
        <f t="shared" si="55"/>
        <v>0</v>
      </c>
      <c r="AC177" s="14">
        <f t="shared" si="43"/>
        <v>0</v>
      </c>
      <c r="AE177" s="19">
        <f t="shared" si="56"/>
        <v>0</v>
      </c>
      <c r="AF177" s="19"/>
      <c r="AG177" s="17"/>
      <c r="AK177" s="7"/>
      <c r="AL177" s="108">
        <f t="shared" si="44"/>
        <v>0</v>
      </c>
      <c r="AM177" s="108">
        <f t="shared" si="45"/>
        <v>0</v>
      </c>
      <c r="AN177" s="113"/>
    </row>
    <row r="178" spans="2:40" x14ac:dyDescent="0.2">
      <c r="B178" s="7"/>
      <c r="C178" s="8"/>
      <c r="D178" s="8"/>
      <c r="E178" s="9"/>
      <c r="F178" s="6"/>
      <c r="G178" s="8"/>
      <c r="H178" s="32"/>
      <c r="I178" s="10" t="str">
        <f t="shared" si="42"/>
        <v>21</v>
      </c>
      <c r="J178" s="11">
        <v>1</v>
      </c>
      <c r="K178" s="11"/>
      <c r="L178" s="11"/>
      <c r="M178" s="11">
        <f t="shared" si="46"/>
        <v>0</v>
      </c>
      <c r="N178" s="11"/>
      <c r="O178" s="11">
        <f t="shared" si="47"/>
        <v>0</v>
      </c>
      <c r="P178" s="11"/>
      <c r="Q178" s="11"/>
      <c r="R178" s="11"/>
      <c r="S178" s="11">
        <f t="shared" si="48"/>
        <v>0</v>
      </c>
      <c r="T178" s="11">
        <f t="shared" si="49"/>
        <v>1666.6666666666667</v>
      </c>
      <c r="U178" s="11">
        <f t="shared" si="50"/>
        <v>0</v>
      </c>
      <c r="V178" s="24">
        <f t="shared" si="51"/>
        <v>0</v>
      </c>
      <c r="W178" s="11">
        <f>IF(V178&lt;=40000,0,
IF(V178&lt;=55000,(V178-40000)*10%,
IF(V178&lt;=70000,(V178-55000)*15%+1500,
IF(V178&lt;=200000,(V178-70000)*20%+1500+2250,
IF(V178&lt;=400000,(V178-200000)*22.5%+1500+2250+26000,
IF(V178&lt;=600000,(V178-400000)*25%+1500+2250+26000+45000,
IF(AND(V178&gt;600000,V178&lt;=1200000),(V178-400000)*25%+1500+2250+26000+45000
+IFERROR(LOOKUP(V178,{600001;700001;800001;900001},{4000;6750;10250;15250}),0),IF(V178&gt;1200000,((V178-1200000)*27.5%)+300000,0)
)))))))</f>
        <v>0</v>
      </c>
      <c r="X178" s="12">
        <f t="shared" si="52"/>
        <v>0</v>
      </c>
      <c r="Y178" s="12">
        <f t="shared" si="53"/>
        <v>0</v>
      </c>
      <c r="Z178" s="11"/>
      <c r="AA178" s="13">
        <f t="shared" si="54"/>
        <v>0</v>
      </c>
      <c r="AB178" s="12">
        <f t="shared" si="55"/>
        <v>0</v>
      </c>
      <c r="AC178" s="14">
        <f t="shared" si="43"/>
        <v>0</v>
      </c>
      <c r="AE178" s="19">
        <f t="shared" si="56"/>
        <v>0</v>
      </c>
      <c r="AF178" s="19"/>
      <c r="AG178" s="17"/>
      <c r="AK178" s="7"/>
      <c r="AL178" s="108">
        <f t="shared" si="44"/>
        <v>0</v>
      </c>
      <c r="AM178" s="108">
        <f t="shared" si="45"/>
        <v>0</v>
      </c>
      <c r="AN178" s="113"/>
    </row>
    <row r="179" spans="2:40" x14ac:dyDescent="0.2">
      <c r="B179" s="7"/>
      <c r="C179" s="8"/>
      <c r="D179" s="8"/>
      <c r="E179" s="9"/>
      <c r="F179" s="6"/>
      <c r="G179" s="8"/>
      <c r="H179" s="32"/>
      <c r="I179" s="10" t="str">
        <f t="shared" si="42"/>
        <v>21</v>
      </c>
      <c r="J179" s="11">
        <v>1</v>
      </c>
      <c r="K179" s="11"/>
      <c r="L179" s="11"/>
      <c r="M179" s="11">
        <f t="shared" si="46"/>
        <v>0</v>
      </c>
      <c r="N179" s="11"/>
      <c r="O179" s="11">
        <f t="shared" si="47"/>
        <v>0</v>
      </c>
      <c r="P179" s="11"/>
      <c r="Q179" s="11"/>
      <c r="R179" s="11"/>
      <c r="S179" s="11">
        <f t="shared" si="48"/>
        <v>0</v>
      </c>
      <c r="T179" s="11">
        <f t="shared" si="49"/>
        <v>1666.6666666666667</v>
      </c>
      <c r="U179" s="11">
        <f t="shared" si="50"/>
        <v>0</v>
      </c>
      <c r="V179" s="24">
        <f t="shared" si="51"/>
        <v>0</v>
      </c>
      <c r="W179" s="11">
        <f>IF(V179&lt;=40000,0,
IF(V179&lt;=55000,(V179-40000)*10%,
IF(V179&lt;=70000,(V179-55000)*15%+1500,
IF(V179&lt;=200000,(V179-70000)*20%+1500+2250,
IF(V179&lt;=400000,(V179-200000)*22.5%+1500+2250+26000,
IF(V179&lt;=600000,(V179-400000)*25%+1500+2250+26000+45000,
IF(AND(V179&gt;600000,V179&lt;=1200000),(V179-400000)*25%+1500+2250+26000+45000
+IFERROR(LOOKUP(V179,{600001;700001;800001;900001},{4000;6750;10250;15250}),0),IF(V179&gt;1200000,((V179-1200000)*27.5%)+300000,0)
)))))))</f>
        <v>0</v>
      </c>
      <c r="X179" s="12">
        <f t="shared" si="52"/>
        <v>0</v>
      </c>
      <c r="Y179" s="12">
        <f t="shared" si="53"/>
        <v>0</v>
      </c>
      <c r="Z179" s="11"/>
      <c r="AA179" s="13">
        <f t="shared" si="54"/>
        <v>0</v>
      </c>
      <c r="AB179" s="12">
        <f t="shared" si="55"/>
        <v>0</v>
      </c>
      <c r="AC179" s="14">
        <f t="shared" si="43"/>
        <v>0</v>
      </c>
      <c r="AE179" s="19">
        <f t="shared" si="56"/>
        <v>0</v>
      </c>
      <c r="AF179" s="19"/>
      <c r="AG179" s="17"/>
      <c r="AK179" s="7"/>
      <c r="AL179" s="108">
        <f t="shared" si="44"/>
        <v>0</v>
      </c>
      <c r="AM179" s="108">
        <f t="shared" si="45"/>
        <v>0</v>
      </c>
      <c r="AN179" s="113"/>
    </row>
    <row r="180" spans="2:40" x14ac:dyDescent="0.2">
      <c r="B180" s="7"/>
      <c r="C180" s="8"/>
      <c r="D180" s="8"/>
      <c r="E180" s="9"/>
      <c r="F180" s="6"/>
      <c r="G180" s="8"/>
      <c r="H180" s="32"/>
      <c r="I180" s="10" t="str">
        <f t="shared" si="42"/>
        <v>21</v>
      </c>
      <c r="J180" s="11">
        <v>1</v>
      </c>
      <c r="K180" s="11"/>
      <c r="L180" s="11"/>
      <c r="M180" s="11">
        <f t="shared" si="46"/>
        <v>0</v>
      </c>
      <c r="N180" s="11"/>
      <c r="O180" s="11">
        <f t="shared" si="47"/>
        <v>0</v>
      </c>
      <c r="P180" s="11"/>
      <c r="Q180" s="11"/>
      <c r="R180" s="11"/>
      <c r="S180" s="11">
        <f t="shared" si="48"/>
        <v>0</v>
      </c>
      <c r="T180" s="11">
        <f t="shared" si="49"/>
        <v>1666.6666666666667</v>
      </c>
      <c r="U180" s="11">
        <f t="shared" si="50"/>
        <v>0</v>
      </c>
      <c r="V180" s="24">
        <f t="shared" si="51"/>
        <v>0</v>
      </c>
      <c r="W180" s="11">
        <f>IF(V180&lt;=40000,0,
IF(V180&lt;=55000,(V180-40000)*10%,
IF(V180&lt;=70000,(V180-55000)*15%+1500,
IF(V180&lt;=200000,(V180-70000)*20%+1500+2250,
IF(V180&lt;=400000,(V180-200000)*22.5%+1500+2250+26000,
IF(V180&lt;=600000,(V180-400000)*25%+1500+2250+26000+45000,
IF(AND(V180&gt;600000,V180&lt;=1200000),(V180-400000)*25%+1500+2250+26000+45000
+IFERROR(LOOKUP(V180,{600001;700001;800001;900001},{4000;6750;10250;15250}),0),IF(V180&gt;1200000,((V180-1200000)*27.5%)+300000,0)
)))))))</f>
        <v>0</v>
      </c>
      <c r="X180" s="12">
        <f t="shared" si="52"/>
        <v>0</v>
      </c>
      <c r="Y180" s="12">
        <f t="shared" si="53"/>
        <v>0</v>
      </c>
      <c r="Z180" s="11"/>
      <c r="AA180" s="13">
        <f t="shared" si="54"/>
        <v>0</v>
      </c>
      <c r="AB180" s="12">
        <f t="shared" si="55"/>
        <v>0</v>
      </c>
      <c r="AC180" s="14">
        <f t="shared" si="43"/>
        <v>0</v>
      </c>
      <c r="AE180" s="19">
        <f t="shared" si="56"/>
        <v>0</v>
      </c>
      <c r="AF180" s="19"/>
      <c r="AG180" s="17"/>
      <c r="AK180" s="7"/>
      <c r="AL180" s="108">
        <f t="shared" si="44"/>
        <v>0</v>
      </c>
      <c r="AM180" s="108">
        <f t="shared" si="45"/>
        <v>0</v>
      </c>
      <c r="AN180" s="113"/>
    </row>
    <row r="181" spans="2:40" x14ac:dyDescent="0.2">
      <c r="B181" s="7"/>
      <c r="C181" s="8"/>
      <c r="D181" s="8"/>
      <c r="E181" s="9"/>
      <c r="F181" s="6"/>
      <c r="G181" s="8"/>
      <c r="H181" s="32"/>
      <c r="I181" s="10" t="str">
        <f t="shared" si="42"/>
        <v>21</v>
      </c>
      <c r="J181" s="11">
        <v>1</v>
      </c>
      <c r="K181" s="11"/>
      <c r="L181" s="11"/>
      <c r="M181" s="11">
        <f t="shared" si="46"/>
        <v>0</v>
      </c>
      <c r="N181" s="11"/>
      <c r="O181" s="11">
        <f t="shared" si="47"/>
        <v>0</v>
      </c>
      <c r="P181" s="11"/>
      <c r="Q181" s="11"/>
      <c r="R181" s="11"/>
      <c r="S181" s="11">
        <f t="shared" si="48"/>
        <v>0</v>
      </c>
      <c r="T181" s="11">
        <f t="shared" si="49"/>
        <v>1666.6666666666667</v>
      </c>
      <c r="U181" s="11">
        <f t="shared" si="50"/>
        <v>0</v>
      </c>
      <c r="V181" s="24">
        <f t="shared" si="51"/>
        <v>0</v>
      </c>
      <c r="W181" s="11">
        <f>IF(V181&lt;=40000,0,
IF(V181&lt;=55000,(V181-40000)*10%,
IF(V181&lt;=70000,(V181-55000)*15%+1500,
IF(V181&lt;=200000,(V181-70000)*20%+1500+2250,
IF(V181&lt;=400000,(V181-200000)*22.5%+1500+2250+26000,
IF(V181&lt;=600000,(V181-400000)*25%+1500+2250+26000+45000,
IF(AND(V181&gt;600000,V181&lt;=1200000),(V181-400000)*25%+1500+2250+26000+45000
+IFERROR(LOOKUP(V181,{600001;700001;800001;900001},{4000;6750;10250;15250}),0),IF(V181&gt;1200000,((V181-1200000)*27.5%)+300000,0)
)))))))</f>
        <v>0</v>
      </c>
      <c r="X181" s="12">
        <f t="shared" si="52"/>
        <v>0</v>
      </c>
      <c r="Y181" s="12">
        <f t="shared" si="53"/>
        <v>0</v>
      </c>
      <c r="Z181" s="11"/>
      <c r="AA181" s="13">
        <f t="shared" si="54"/>
        <v>0</v>
      </c>
      <c r="AB181" s="12">
        <f t="shared" si="55"/>
        <v>0</v>
      </c>
      <c r="AC181" s="14">
        <f t="shared" si="43"/>
        <v>0</v>
      </c>
      <c r="AE181" s="19">
        <f t="shared" si="56"/>
        <v>0</v>
      </c>
      <c r="AF181" s="19"/>
      <c r="AG181" s="17"/>
      <c r="AK181" s="7"/>
      <c r="AL181" s="108">
        <f t="shared" si="44"/>
        <v>0</v>
      </c>
      <c r="AM181" s="108">
        <f t="shared" si="45"/>
        <v>0</v>
      </c>
      <c r="AN181" s="113"/>
    </row>
    <row r="182" spans="2:40" x14ac:dyDescent="0.2">
      <c r="B182" s="7"/>
      <c r="C182" s="8"/>
      <c r="D182" s="8"/>
      <c r="E182" s="9"/>
      <c r="F182" s="6"/>
      <c r="G182" s="8"/>
      <c r="H182" s="32"/>
      <c r="I182" s="10" t="str">
        <f t="shared" si="42"/>
        <v>21</v>
      </c>
      <c r="J182" s="11">
        <v>1</v>
      </c>
      <c r="K182" s="11"/>
      <c r="L182" s="11"/>
      <c r="M182" s="11">
        <f t="shared" si="46"/>
        <v>0</v>
      </c>
      <c r="N182" s="11"/>
      <c r="O182" s="11">
        <f t="shared" si="47"/>
        <v>0</v>
      </c>
      <c r="P182" s="11"/>
      <c r="Q182" s="11"/>
      <c r="R182" s="11"/>
      <c r="S182" s="11">
        <f t="shared" si="48"/>
        <v>0</v>
      </c>
      <c r="T182" s="11">
        <f t="shared" si="49"/>
        <v>1666.6666666666667</v>
      </c>
      <c r="U182" s="11">
        <f t="shared" si="50"/>
        <v>0</v>
      </c>
      <c r="V182" s="24">
        <f t="shared" si="51"/>
        <v>0</v>
      </c>
      <c r="W182" s="11">
        <f>IF(V182&lt;=40000,0,
IF(V182&lt;=55000,(V182-40000)*10%,
IF(V182&lt;=70000,(V182-55000)*15%+1500,
IF(V182&lt;=200000,(V182-70000)*20%+1500+2250,
IF(V182&lt;=400000,(V182-200000)*22.5%+1500+2250+26000,
IF(V182&lt;=600000,(V182-400000)*25%+1500+2250+26000+45000,
IF(AND(V182&gt;600000,V182&lt;=1200000),(V182-400000)*25%+1500+2250+26000+45000
+IFERROR(LOOKUP(V182,{600001;700001;800001;900001},{4000;6750;10250;15250}),0),IF(V182&gt;1200000,((V182-1200000)*27.5%)+300000,0)
)))))))</f>
        <v>0</v>
      </c>
      <c r="X182" s="12">
        <f t="shared" si="52"/>
        <v>0</v>
      </c>
      <c r="Y182" s="12">
        <f t="shared" si="53"/>
        <v>0</v>
      </c>
      <c r="Z182" s="11"/>
      <c r="AA182" s="13">
        <f t="shared" si="54"/>
        <v>0</v>
      </c>
      <c r="AB182" s="12">
        <f t="shared" si="55"/>
        <v>0</v>
      </c>
      <c r="AC182" s="14">
        <f t="shared" si="43"/>
        <v>0</v>
      </c>
      <c r="AE182" s="19">
        <f t="shared" si="56"/>
        <v>0</v>
      </c>
      <c r="AF182" s="19"/>
      <c r="AG182" s="17"/>
      <c r="AK182" s="7"/>
      <c r="AL182" s="108">
        <f t="shared" si="44"/>
        <v>0</v>
      </c>
      <c r="AM182" s="108">
        <f t="shared" si="45"/>
        <v>0</v>
      </c>
      <c r="AN182" s="113"/>
    </row>
    <row r="183" spans="2:40" x14ac:dyDescent="0.2">
      <c r="B183" s="7"/>
      <c r="C183" s="8"/>
      <c r="D183" s="8"/>
      <c r="E183" s="9"/>
      <c r="F183" s="6"/>
      <c r="G183" s="8"/>
      <c r="H183" s="32"/>
      <c r="I183" s="10" t="str">
        <f t="shared" si="42"/>
        <v>21</v>
      </c>
      <c r="J183" s="11">
        <v>1</v>
      </c>
      <c r="K183" s="11"/>
      <c r="L183" s="11"/>
      <c r="M183" s="11">
        <f t="shared" si="46"/>
        <v>0</v>
      </c>
      <c r="N183" s="11"/>
      <c r="O183" s="11">
        <f t="shared" si="47"/>
        <v>0</v>
      </c>
      <c r="P183" s="11"/>
      <c r="Q183" s="11"/>
      <c r="R183" s="11"/>
      <c r="S183" s="11">
        <f t="shared" si="48"/>
        <v>0</v>
      </c>
      <c r="T183" s="11">
        <f t="shared" si="49"/>
        <v>1666.6666666666667</v>
      </c>
      <c r="U183" s="11">
        <f t="shared" si="50"/>
        <v>0</v>
      </c>
      <c r="V183" s="24">
        <f t="shared" si="51"/>
        <v>0</v>
      </c>
      <c r="W183" s="11">
        <f>IF(V183&lt;=40000,0,
IF(V183&lt;=55000,(V183-40000)*10%,
IF(V183&lt;=70000,(V183-55000)*15%+1500,
IF(V183&lt;=200000,(V183-70000)*20%+1500+2250,
IF(V183&lt;=400000,(V183-200000)*22.5%+1500+2250+26000,
IF(V183&lt;=600000,(V183-400000)*25%+1500+2250+26000+45000,
IF(AND(V183&gt;600000,V183&lt;=1200000),(V183-400000)*25%+1500+2250+26000+45000
+IFERROR(LOOKUP(V183,{600001;700001;800001;900001},{4000;6750;10250;15250}),0),IF(V183&gt;1200000,((V183-1200000)*27.5%)+300000,0)
)))))))</f>
        <v>0</v>
      </c>
      <c r="X183" s="12">
        <f t="shared" si="52"/>
        <v>0</v>
      </c>
      <c r="Y183" s="12">
        <f t="shared" si="53"/>
        <v>0</v>
      </c>
      <c r="Z183" s="11"/>
      <c r="AA183" s="13">
        <f t="shared" si="54"/>
        <v>0</v>
      </c>
      <c r="AB183" s="12">
        <f t="shared" si="55"/>
        <v>0</v>
      </c>
      <c r="AC183" s="14">
        <f t="shared" si="43"/>
        <v>0</v>
      </c>
      <c r="AE183" s="19">
        <f t="shared" si="56"/>
        <v>0</v>
      </c>
      <c r="AF183" s="19"/>
      <c r="AG183" s="17"/>
      <c r="AK183" s="7"/>
      <c r="AL183" s="108">
        <f t="shared" si="44"/>
        <v>0</v>
      </c>
      <c r="AM183" s="108">
        <f t="shared" si="45"/>
        <v>0</v>
      </c>
      <c r="AN183" s="113"/>
    </row>
    <row r="184" spans="2:40" x14ac:dyDescent="0.2">
      <c r="B184" s="7"/>
      <c r="C184" s="8"/>
      <c r="D184" s="8"/>
      <c r="E184" s="9"/>
      <c r="F184" s="6"/>
      <c r="G184" s="8"/>
      <c r="H184" s="32"/>
      <c r="I184" s="10" t="str">
        <f t="shared" si="42"/>
        <v>21</v>
      </c>
      <c r="J184" s="11">
        <v>1</v>
      </c>
      <c r="K184" s="11"/>
      <c r="L184" s="11"/>
      <c r="M184" s="11">
        <f t="shared" si="46"/>
        <v>0</v>
      </c>
      <c r="N184" s="11"/>
      <c r="O184" s="11">
        <f t="shared" si="47"/>
        <v>0</v>
      </c>
      <c r="P184" s="11"/>
      <c r="Q184" s="11"/>
      <c r="R184" s="11"/>
      <c r="S184" s="11">
        <f t="shared" si="48"/>
        <v>0</v>
      </c>
      <c r="T184" s="11">
        <f t="shared" si="49"/>
        <v>1666.6666666666667</v>
      </c>
      <c r="U184" s="11">
        <f t="shared" si="50"/>
        <v>0</v>
      </c>
      <c r="V184" s="24">
        <f t="shared" si="51"/>
        <v>0</v>
      </c>
      <c r="W184" s="11">
        <f>IF(V184&lt;=40000,0,
IF(V184&lt;=55000,(V184-40000)*10%,
IF(V184&lt;=70000,(V184-55000)*15%+1500,
IF(V184&lt;=200000,(V184-70000)*20%+1500+2250,
IF(V184&lt;=400000,(V184-200000)*22.5%+1500+2250+26000,
IF(V184&lt;=600000,(V184-400000)*25%+1500+2250+26000+45000,
IF(AND(V184&gt;600000,V184&lt;=1200000),(V184-400000)*25%+1500+2250+26000+45000
+IFERROR(LOOKUP(V184,{600001;700001;800001;900001},{4000;6750;10250;15250}),0),IF(V184&gt;1200000,((V184-1200000)*27.5%)+300000,0)
)))))))</f>
        <v>0</v>
      </c>
      <c r="X184" s="12">
        <f t="shared" si="52"/>
        <v>0</v>
      </c>
      <c r="Y184" s="12">
        <f t="shared" si="53"/>
        <v>0</v>
      </c>
      <c r="Z184" s="11"/>
      <c r="AA184" s="13">
        <f t="shared" si="54"/>
        <v>0</v>
      </c>
      <c r="AB184" s="12">
        <f t="shared" si="55"/>
        <v>0</v>
      </c>
      <c r="AC184" s="14">
        <f t="shared" si="43"/>
        <v>0</v>
      </c>
      <c r="AE184" s="19">
        <f t="shared" si="56"/>
        <v>0</v>
      </c>
      <c r="AF184" s="19"/>
      <c r="AG184" s="17"/>
      <c r="AK184" s="7"/>
      <c r="AL184" s="108">
        <f t="shared" si="44"/>
        <v>0</v>
      </c>
      <c r="AM184" s="108">
        <f t="shared" si="45"/>
        <v>0</v>
      </c>
      <c r="AN184" s="113"/>
    </row>
    <row r="185" spans="2:40" x14ac:dyDescent="0.2">
      <c r="B185" s="7"/>
      <c r="C185" s="8"/>
      <c r="D185" s="8"/>
      <c r="E185" s="9"/>
      <c r="F185" s="6"/>
      <c r="G185" s="8"/>
      <c r="H185" s="32"/>
      <c r="I185" s="10" t="str">
        <f t="shared" si="42"/>
        <v>21</v>
      </c>
      <c r="J185" s="11">
        <v>1</v>
      </c>
      <c r="K185" s="11"/>
      <c r="L185" s="11"/>
      <c r="M185" s="11">
        <f t="shared" si="46"/>
        <v>0</v>
      </c>
      <c r="N185" s="11"/>
      <c r="O185" s="11">
        <f t="shared" si="47"/>
        <v>0</v>
      </c>
      <c r="P185" s="11"/>
      <c r="Q185" s="11"/>
      <c r="R185" s="11"/>
      <c r="S185" s="11">
        <f t="shared" si="48"/>
        <v>0</v>
      </c>
      <c r="T185" s="11">
        <f t="shared" si="49"/>
        <v>1666.6666666666667</v>
      </c>
      <c r="U185" s="11">
        <f t="shared" si="50"/>
        <v>0</v>
      </c>
      <c r="V185" s="24">
        <f t="shared" si="51"/>
        <v>0</v>
      </c>
      <c r="W185" s="11">
        <f>IF(V185&lt;=40000,0,
IF(V185&lt;=55000,(V185-40000)*10%,
IF(V185&lt;=70000,(V185-55000)*15%+1500,
IF(V185&lt;=200000,(V185-70000)*20%+1500+2250,
IF(V185&lt;=400000,(V185-200000)*22.5%+1500+2250+26000,
IF(V185&lt;=600000,(V185-400000)*25%+1500+2250+26000+45000,
IF(AND(V185&gt;600000,V185&lt;=1200000),(V185-400000)*25%+1500+2250+26000+45000
+IFERROR(LOOKUP(V185,{600001;700001;800001;900001},{4000;6750;10250;15250}),0),IF(V185&gt;1200000,((V185-1200000)*27.5%)+300000,0)
)))))))</f>
        <v>0</v>
      </c>
      <c r="X185" s="12">
        <f t="shared" si="52"/>
        <v>0</v>
      </c>
      <c r="Y185" s="12">
        <f t="shared" si="53"/>
        <v>0</v>
      </c>
      <c r="Z185" s="11"/>
      <c r="AA185" s="13">
        <f t="shared" si="54"/>
        <v>0</v>
      </c>
      <c r="AB185" s="12">
        <f t="shared" si="55"/>
        <v>0</v>
      </c>
      <c r="AC185" s="14">
        <f t="shared" si="43"/>
        <v>0</v>
      </c>
      <c r="AE185" s="19">
        <f t="shared" si="56"/>
        <v>0</v>
      </c>
      <c r="AF185" s="19"/>
      <c r="AG185" s="17"/>
      <c r="AK185" s="7"/>
      <c r="AL185" s="108">
        <f t="shared" si="44"/>
        <v>0</v>
      </c>
      <c r="AM185" s="108">
        <f t="shared" si="45"/>
        <v>0</v>
      </c>
      <c r="AN185" s="113"/>
    </row>
    <row r="186" spans="2:40" x14ac:dyDescent="0.2">
      <c r="B186" s="7"/>
      <c r="C186" s="8"/>
      <c r="D186" s="8"/>
      <c r="E186" s="9"/>
      <c r="F186" s="6"/>
      <c r="G186" s="8"/>
      <c r="H186" s="32"/>
      <c r="I186" s="10" t="str">
        <f t="shared" si="42"/>
        <v>21</v>
      </c>
      <c r="J186" s="11">
        <v>1</v>
      </c>
      <c r="K186" s="11"/>
      <c r="L186" s="11"/>
      <c r="M186" s="11">
        <f t="shared" si="46"/>
        <v>0</v>
      </c>
      <c r="N186" s="11"/>
      <c r="O186" s="11">
        <f t="shared" si="47"/>
        <v>0</v>
      </c>
      <c r="P186" s="11"/>
      <c r="Q186" s="11"/>
      <c r="R186" s="11"/>
      <c r="S186" s="11">
        <f t="shared" si="48"/>
        <v>0</v>
      </c>
      <c r="T186" s="11">
        <f t="shared" si="49"/>
        <v>1666.6666666666667</v>
      </c>
      <c r="U186" s="11">
        <f t="shared" si="50"/>
        <v>0</v>
      </c>
      <c r="V186" s="24">
        <f t="shared" si="51"/>
        <v>0</v>
      </c>
      <c r="W186" s="11">
        <f>IF(V186&lt;=40000,0,
IF(V186&lt;=55000,(V186-40000)*10%,
IF(V186&lt;=70000,(V186-55000)*15%+1500,
IF(V186&lt;=200000,(V186-70000)*20%+1500+2250,
IF(V186&lt;=400000,(V186-200000)*22.5%+1500+2250+26000,
IF(V186&lt;=600000,(V186-400000)*25%+1500+2250+26000+45000,
IF(AND(V186&gt;600000,V186&lt;=1200000),(V186-400000)*25%+1500+2250+26000+45000
+IFERROR(LOOKUP(V186,{600001;700001;800001;900001},{4000;6750;10250;15250}),0),IF(V186&gt;1200000,((V186-1200000)*27.5%)+300000,0)
)))))))</f>
        <v>0</v>
      </c>
      <c r="X186" s="12">
        <f t="shared" si="52"/>
        <v>0</v>
      </c>
      <c r="Y186" s="12">
        <f t="shared" si="53"/>
        <v>0</v>
      </c>
      <c r="Z186" s="11"/>
      <c r="AA186" s="13">
        <f t="shared" si="54"/>
        <v>0</v>
      </c>
      <c r="AB186" s="12">
        <f t="shared" si="55"/>
        <v>0</v>
      </c>
      <c r="AC186" s="14">
        <f t="shared" si="43"/>
        <v>0</v>
      </c>
      <c r="AE186" s="19">
        <f t="shared" si="56"/>
        <v>0</v>
      </c>
      <c r="AF186" s="19"/>
      <c r="AG186" s="17"/>
      <c r="AK186" s="7"/>
      <c r="AL186" s="108">
        <f t="shared" si="44"/>
        <v>0</v>
      </c>
      <c r="AM186" s="108">
        <f t="shared" si="45"/>
        <v>0</v>
      </c>
      <c r="AN186" s="113"/>
    </row>
    <row r="187" spans="2:40" x14ac:dyDescent="0.2">
      <c r="B187" s="7"/>
      <c r="C187" s="8"/>
      <c r="D187" s="8"/>
      <c r="E187" s="9"/>
      <c r="F187" s="6"/>
      <c r="G187" s="8"/>
      <c r="H187" s="32"/>
      <c r="I187" s="10" t="str">
        <f t="shared" si="42"/>
        <v>21</v>
      </c>
      <c r="J187" s="11">
        <v>1</v>
      </c>
      <c r="K187" s="11"/>
      <c r="L187" s="11"/>
      <c r="M187" s="11">
        <f t="shared" si="46"/>
        <v>0</v>
      </c>
      <c r="N187" s="11"/>
      <c r="O187" s="11">
        <f t="shared" si="47"/>
        <v>0</v>
      </c>
      <c r="P187" s="11"/>
      <c r="Q187" s="11"/>
      <c r="R187" s="11"/>
      <c r="S187" s="11">
        <f t="shared" si="48"/>
        <v>0</v>
      </c>
      <c r="T187" s="11">
        <f t="shared" si="49"/>
        <v>1666.6666666666667</v>
      </c>
      <c r="U187" s="11">
        <f t="shared" si="50"/>
        <v>0</v>
      </c>
      <c r="V187" s="24">
        <f t="shared" si="51"/>
        <v>0</v>
      </c>
      <c r="W187" s="11">
        <f>IF(V187&lt;=40000,0,
IF(V187&lt;=55000,(V187-40000)*10%,
IF(V187&lt;=70000,(V187-55000)*15%+1500,
IF(V187&lt;=200000,(V187-70000)*20%+1500+2250,
IF(V187&lt;=400000,(V187-200000)*22.5%+1500+2250+26000,
IF(V187&lt;=600000,(V187-400000)*25%+1500+2250+26000+45000,
IF(AND(V187&gt;600000,V187&lt;=1200000),(V187-400000)*25%+1500+2250+26000+45000
+IFERROR(LOOKUP(V187,{600001;700001;800001;900001},{4000;6750;10250;15250}),0),IF(V187&gt;1200000,((V187-1200000)*27.5%)+300000,0)
)))))))</f>
        <v>0</v>
      </c>
      <c r="X187" s="12">
        <f t="shared" si="52"/>
        <v>0</v>
      </c>
      <c r="Y187" s="12">
        <f t="shared" si="53"/>
        <v>0</v>
      </c>
      <c r="Z187" s="11"/>
      <c r="AA187" s="13">
        <f t="shared" si="54"/>
        <v>0</v>
      </c>
      <c r="AB187" s="12">
        <f t="shared" si="55"/>
        <v>0</v>
      </c>
      <c r="AC187" s="14">
        <f t="shared" si="43"/>
        <v>0</v>
      </c>
      <c r="AE187" s="19">
        <f t="shared" si="56"/>
        <v>0</v>
      </c>
      <c r="AF187" s="19"/>
      <c r="AG187" s="17"/>
      <c r="AK187" s="7"/>
      <c r="AL187" s="108">
        <f t="shared" si="44"/>
        <v>0</v>
      </c>
      <c r="AM187" s="108">
        <f t="shared" si="45"/>
        <v>0</v>
      </c>
      <c r="AN187" s="113"/>
    </row>
    <row r="188" spans="2:40" x14ac:dyDescent="0.2">
      <c r="B188" s="7"/>
      <c r="C188" s="8"/>
      <c r="D188" s="8"/>
      <c r="E188" s="9"/>
      <c r="F188" s="6"/>
      <c r="G188" s="8"/>
      <c r="H188" s="32"/>
      <c r="I188" s="10" t="str">
        <f t="shared" si="42"/>
        <v>21</v>
      </c>
      <c r="J188" s="11">
        <v>1</v>
      </c>
      <c r="K188" s="11"/>
      <c r="L188" s="11"/>
      <c r="M188" s="11">
        <f t="shared" si="46"/>
        <v>0</v>
      </c>
      <c r="N188" s="11"/>
      <c r="O188" s="11">
        <f t="shared" si="47"/>
        <v>0</v>
      </c>
      <c r="P188" s="11"/>
      <c r="Q188" s="11"/>
      <c r="R188" s="11"/>
      <c r="S188" s="11">
        <f t="shared" si="48"/>
        <v>0</v>
      </c>
      <c r="T188" s="11">
        <f t="shared" si="49"/>
        <v>1666.6666666666667</v>
      </c>
      <c r="U188" s="11">
        <f t="shared" si="50"/>
        <v>0</v>
      </c>
      <c r="V188" s="24">
        <f t="shared" si="51"/>
        <v>0</v>
      </c>
      <c r="W188" s="11">
        <f>IF(V188&lt;=40000,0,
IF(V188&lt;=55000,(V188-40000)*10%,
IF(V188&lt;=70000,(V188-55000)*15%+1500,
IF(V188&lt;=200000,(V188-70000)*20%+1500+2250,
IF(V188&lt;=400000,(V188-200000)*22.5%+1500+2250+26000,
IF(V188&lt;=600000,(V188-400000)*25%+1500+2250+26000+45000,
IF(AND(V188&gt;600000,V188&lt;=1200000),(V188-400000)*25%+1500+2250+26000+45000
+IFERROR(LOOKUP(V188,{600001;700001;800001;900001},{4000;6750;10250;15250}),0),IF(V188&gt;1200000,((V188-1200000)*27.5%)+300000,0)
)))))))</f>
        <v>0</v>
      </c>
      <c r="X188" s="12">
        <f t="shared" si="52"/>
        <v>0</v>
      </c>
      <c r="Y188" s="12">
        <f t="shared" si="53"/>
        <v>0</v>
      </c>
      <c r="Z188" s="11"/>
      <c r="AA188" s="13">
        <f t="shared" si="54"/>
        <v>0</v>
      </c>
      <c r="AB188" s="12">
        <f t="shared" si="55"/>
        <v>0</v>
      </c>
      <c r="AC188" s="14">
        <f t="shared" si="43"/>
        <v>0</v>
      </c>
      <c r="AE188" s="19">
        <f t="shared" si="56"/>
        <v>0</v>
      </c>
      <c r="AF188" s="19"/>
      <c r="AG188" s="17"/>
      <c r="AK188" s="7"/>
      <c r="AL188" s="108">
        <f t="shared" si="44"/>
        <v>0</v>
      </c>
      <c r="AM188" s="108">
        <f t="shared" si="45"/>
        <v>0</v>
      </c>
      <c r="AN188" s="113"/>
    </row>
    <row r="189" spans="2:40" x14ac:dyDescent="0.2">
      <c r="B189" s="7"/>
      <c r="C189" s="8"/>
      <c r="D189" s="8"/>
      <c r="E189" s="9"/>
      <c r="F189" s="6"/>
      <c r="G189" s="8"/>
      <c r="H189" s="32"/>
      <c r="I189" s="10" t="str">
        <f t="shared" si="42"/>
        <v>21</v>
      </c>
      <c r="J189" s="11">
        <v>1</v>
      </c>
      <c r="K189" s="11"/>
      <c r="L189" s="11"/>
      <c r="M189" s="11">
        <f t="shared" si="46"/>
        <v>0</v>
      </c>
      <c r="N189" s="11"/>
      <c r="O189" s="11">
        <f t="shared" si="47"/>
        <v>0</v>
      </c>
      <c r="P189" s="11"/>
      <c r="Q189" s="11"/>
      <c r="R189" s="11"/>
      <c r="S189" s="11">
        <f t="shared" si="48"/>
        <v>0</v>
      </c>
      <c r="T189" s="11">
        <f t="shared" si="49"/>
        <v>1666.6666666666667</v>
      </c>
      <c r="U189" s="11">
        <f t="shared" si="50"/>
        <v>0</v>
      </c>
      <c r="V189" s="24">
        <f t="shared" si="51"/>
        <v>0</v>
      </c>
      <c r="W189" s="11">
        <f>IF(V189&lt;=40000,0,
IF(V189&lt;=55000,(V189-40000)*10%,
IF(V189&lt;=70000,(V189-55000)*15%+1500,
IF(V189&lt;=200000,(V189-70000)*20%+1500+2250,
IF(V189&lt;=400000,(V189-200000)*22.5%+1500+2250+26000,
IF(V189&lt;=600000,(V189-400000)*25%+1500+2250+26000+45000,
IF(AND(V189&gt;600000,V189&lt;=1200000),(V189-400000)*25%+1500+2250+26000+45000
+IFERROR(LOOKUP(V189,{600001;700001;800001;900001},{4000;6750;10250;15250}),0),IF(V189&gt;1200000,((V189-1200000)*27.5%)+300000,0)
)))))))</f>
        <v>0</v>
      </c>
      <c r="X189" s="12">
        <f t="shared" si="52"/>
        <v>0</v>
      </c>
      <c r="Y189" s="12">
        <f t="shared" si="53"/>
        <v>0</v>
      </c>
      <c r="Z189" s="11"/>
      <c r="AA189" s="13">
        <f t="shared" si="54"/>
        <v>0</v>
      </c>
      <c r="AB189" s="12">
        <f t="shared" si="55"/>
        <v>0</v>
      </c>
      <c r="AC189" s="14">
        <f t="shared" si="43"/>
        <v>0</v>
      </c>
      <c r="AE189" s="19">
        <f t="shared" si="56"/>
        <v>0</v>
      </c>
      <c r="AF189" s="19"/>
      <c r="AG189" s="17"/>
      <c r="AK189" s="7"/>
      <c r="AL189" s="108">
        <f t="shared" si="44"/>
        <v>0</v>
      </c>
      <c r="AM189" s="108">
        <f t="shared" si="45"/>
        <v>0</v>
      </c>
      <c r="AN189" s="113"/>
    </row>
    <row r="190" spans="2:40" x14ac:dyDescent="0.2">
      <c r="B190" s="7"/>
      <c r="C190" s="8"/>
      <c r="D190" s="8"/>
      <c r="E190" s="9"/>
      <c r="F190" s="6"/>
      <c r="G190" s="8"/>
      <c r="H190" s="32"/>
      <c r="I190" s="10" t="str">
        <f t="shared" si="42"/>
        <v>21</v>
      </c>
      <c r="J190" s="11">
        <v>1</v>
      </c>
      <c r="K190" s="11"/>
      <c r="L190" s="11"/>
      <c r="M190" s="11">
        <f t="shared" si="46"/>
        <v>0</v>
      </c>
      <c r="N190" s="11"/>
      <c r="O190" s="11">
        <f t="shared" si="47"/>
        <v>0</v>
      </c>
      <c r="P190" s="11"/>
      <c r="Q190" s="11"/>
      <c r="R190" s="11"/>
      <c r="S190" s="11">
        <f t="shared" si="48"/>
        <v>0</v>
      </c>
      <c r="T190" s="11">
        <f t="shared" si="49"/>
        <v>1666.6666666666667</v>
      </c>
      <c r="U190" s="11">
        <f t="shared" si="50"/>
        <v>0</v>
      </c>
      <c r="V190" s="24">
        <f t="shared" si="51"/>
        <v>0</v>
      </c>
      <c r="W190" s="11">
        <f>IF(V190&lt;=40000,0,
IF(V190&lt;=55000,(V190-40000)*10%,
IF(V190&lt;=70000,(V190-55000)*15%+1500,
IF(V190&lt;=200000,(V190-70000)*20%+1500+2250,
IF(V190&lt;=400000,(V190-200000)*22.5%+1500+2250+26000,
IF(V190&lt;=600000,(V190-400000)*25%+1500+2250+26000+45000,
IF(AND(V190&gt;600000,V190&lt;=1200000),(V190-400000)*25%+1500+2250+26000+45000
+IFERROR(LOOKUP(V190,{600001;700001;800001;900001},{4000;6750;10250;15250}),0),IF(V190&gt;1200000,((V190-1200000)*27.5%)+300000,0)
)))))))</f>
        <v>0</v>
      </c>
      <c r="X190" s="12">
        <f t="shared" si="52"/>
        <v>0</v>
      </c>
      <c r="Y190" s="12">
        <f t="shared" si="53"/>
        <v>0</v>
      </c>
      <c r="Z190" s="11"/>
      <c r="AA190" s="13">
        <f t="shared" si="54"/>
        <v>0</v>
      </c>
      <c r="AB190" s="12">
        <f t="shared" si="55"/>
        <v>0</v>
      </c>
      <c r="AC190" s="14">
        <f t="shared" si="43"/>
        <v>0</v>
      </c>
      <c r="AE190" s="19">
        <f t="shared" si="56"/>
        <v>0</v>
      </c>
      <c r="AF190" s="19"/>
      <c r="AG190" s="17"/>
      <c r="AK190" s="7"/>
      <c r="AL190" s="108">
        <f t="shared" si="44"/>
        <v>0</v>
      </c>
      <c r="AM190" s="108">
        <f t="shared" si="45"/>
        <v>0</v>
      </c>
      <c r="AN190" s="113"/>
    </row>
    <row r="191" spans="2:40" x14ac:dyDescent="0.2">
      <c r="B191" s="7"/>
      <c r="C191" s="8"/>
      <c r="D191" s="8"/>
      <c r="E191" s="9"/>
      <c r="F191" s="6"/>
      <c r="G191" s="8"/>
      <c r="H191" s="32"/>
      <c r="I191" s="10" t="str">
        <f t="shared" si="42"/>
        <v>21</v>
      </c>
      <c r="J191" s="11">
        <v>1</v>
      </c>
      <c r="K191" s="11"/>
      <c r="L191" s="11"/>
      <c r="M191" s="11">
        <f t="shared" si="46"/>
        <v>0</v>
      </c>
      <c r="N191" s="11"/>
      <c r="O191" s="11">
        <f t="shared" si="47"/>
        <v>0</v>
      </c>
      <c r="P191" s="11"/>
      <c r="Q191" s="11"/>
      <c r="R191" s="11"/>
      <c r="S191" s="11">
        <f t="shared" si="48"/>
        <v>0</v>
      </c>
      <c r="T191" s="11">
        <f t="shared" si="49"/>
        <v>1666.6666666666667</v>
      </c>
      <c r="U191" s="11">
        <f t="shared" si="50"/>
        <v>0</v>
      </c>
      <c r="V191" s="24">
        <f t="shared" si="51"/>
        <v>0</v>
      </c>
      <c r="W191" s="11">
        <f>IF(V191&lt;=40000,0,
IF(V191&lt;=55000,(V191-40000)*10%,
IF(V191&lt;=70000,(V191-55000)*15%+1500,
IF(V191&lt;=200000,(V191-70000)*20%+1500+2250,
IF(V191&lt;=400000,(V191-200000)*22.5%+1500+2250+26000,
IF(V191&lt;=600000,(V191-400000)*25%+1500+2250+26000+45000,
IF(AND(V191&gt;600000,V191&lt;=1200000),(V191-400000)*25%+1500+2250+26000+45000
+IFERROR(LOOKUP(V191,{600001;700001;800001;900001},{4000;6750;10250;15250}),0),IF(V191&gt;1200000,((V191-1200000)*27.5%)+300000,0)
)))))))</f>
        <v>0</v>
      </c>
      <c r="X191" s="12">
        <f t="shared" si="52"/>
        <v>0</v>
      </c>
      <c r="Y191" s="12">
        <f t="shared" si="53"/>
        <v>0</v>
      </c>
      <c r="Z191" s="11"/>
      <c r="AA191" s="13">
        <f t="shared" si="54"/>
        <v>0</v>
      </c>
      <c r="AB191" s="12">
        <f t="shared" si="55"/>
        <v>0</v>
      </c>
      <c r="AC191" s="14">
        <f t="shared" si="43"/>
        <v>0</v>
      </c>
      <c r="AE191" s="19">
        <f t="shared" si="56"/>
        <v>0</v>
      </c>
      <c r="AF191" s="19"/>
      <c r="AG191" s="17"/>
      <c r="AK191" s="7"/>
      <c r="AL191" s="108">
        <f t="shared" si="44"/>
        <v>0</v>
      </c>
      <c r="AM191" s="108">
        <f t="shared" si="45"/>
        <v>0</v>
      </c>
      <c r="AN191" s="113"/>
    </row>
    <row r="192" spans="2:40" x14ac:dyDescent="0.2">
      <c r="B192" s="7"/>
      <c r="C192" s="8"/>
      <c r="D192" s="8"/>
      <c r="E192" s="9"/>
      <c r="F192" s="6"/>
      <c r="G192" s="8"/>
      <c r="H192" s="32"/>
      <c r="I192" s="10" t="str">
        <f t="shared" si="42"/>
        <v>21</v>
      </c>
      <c r="J192" s="11">
        <v>1</v>
      </c>
      <c r="K192" s="11"/>
      <c r="L192" s="11"/>
      <c r="M192" s="11">
        <f t="shared" si="46"/>
        <v>0</v>
      </c>
      <c r="N192" s="11"/>
      <c r="O192" s="11">
        <f t="shared" si="47"/>
        <v>0</v>
      </c>
      <c r="P192" s="11"/>
      <c r="Q192" s="11"/>
      <c r="R192" s="11"/>
      <c r="S192" s="11">
        <f t="shared" si="48"/>
        <v>0</v>
      </c>
      <c r="T192" s="11">
        <f t="shared" si="49"/>
        <v>1666.6666666666667</v>
      </c>
      <c r="U192" s="11">
        <f t="shared" si="50"/>
        <v>0</v>
      </c>
      <c r="V192" s="24">
        <f t="shared" si="51"/>
        <v>0</v>
      </c>
      <c r="W192" s="11">
        <f>IF(V192&lt;=40000,0,
IF(V192&lt;=55000,(V192-40000)*10%,
IF(V192&lt;=70000,(V192-55000)*15%+1500,
IF(V192&lt;=200000,(V192-70000)*20%+1500+2250,
IF(V192&lt;=400000,(V192-200000)*22.5%+1500+2250+26000,
IF(V192&lt;=600000,(V192-400000)*25%+1500+2250+26000+45000,
IF(AND(V192&gt;600000,V192&lt;=1200000),(V192-400000)*25%+1500+2250+26000+45000
+IFERROR(LOOKUP(V192,{600001;700001;800001;900001},{4000;6750;10250;15250}),0),IF(V192&gt;1200000,((V192-1200000)*27.5%)+300000,0)
)))))))</f>
        <v>0</v>
      </c>
      <c r="X192" s="12">
        <f t="shared" si="52"/>
        <v>0</v>
      </c>
      <c r="Y192" s="12">
        <f t="shared" si="53"/>
        <v>0</v>
      </c>
      <c r="Z192" s="11"/>
      <c r="AA192" s="13">
        <f t="shared" si="54"/>
        <v>0</v>
      </c>
      <c r="AB192" s="12">
        <f t="shared" si="55"/>
        <v>0</v>
      </c>
      <c r="AC192" s="14">
        <f t="shared" si="43"/>
        <v>0</v>
      </c>
      <c r="AE192" s="19">
        <f t="shared" si="56"/>
        <v>0</v>
      </c>
      <c r="AF192" s="19"/>
      <c r="AG192" s="17"/>
      <c r="AK192" s="7"/>
      <c r="AL192" s="108">
        <f t="shared" si="44"/>
        <v>0</v>
      </c>
      <c r="AM192" s="108">
        <f t="shared" si="45"/>
        <v>0</v>
      </c>
      <c r="AN192" s="113"/>
    </row>
    <row r="193" spans="2:40" x14ac:dyDescent="0.2">
      <c r="B193" s="7"/>
      <c r="C193" s="8"/>
      <c r="D193" s="8"/>
      <c r="E193" s="9"/>
      <c r="F193" s="6"/>
      <c r="G193" s="8"/>
      <c r="H193" s="32"/>
      <c r="I193" s="10" t="str">
        <f t="shared" si="42"/>
        <v>21</v>
      </c>
      <c r="J193" s="11">
        <v>1</v>
      </c>
      <c r="K193" s="11"/>
      <c r="L193" s="11"/>
      <c r="M193" s="11">
        <f t="shared" si="46"/>
        <v>0</v>
      </c>
      <c r="N193" s="11"/>
      <c r="O193" s="11">
        <f t="shared" si="47"/>
        <v>0</v>
      </c>
      <c r="P193" s="11"/>
      <c r="Q193" s="11"/>
      <c r="R193" s="11"/>
      <c r="S193" s="11">
        <f t="shared" si="48"/>
        <v>0</v>
      </c>
      <c r="T193" s="11">
        <f t="shared" si="49"/>
        <v>1666.6666666666667</v>
      </c>
      <c r="U193" s="11">
        <f t="shared" si="50"/>
        <v>0</v>
      </c>
      <c r="V193" s="24">
        <f t="shared" si="51"/>
        <v>0</v>
      </c>
      <c r="W193" s="11">
        <f>IF(V193&lt;=40000,0,
IF(V193&lt;=55000,(V193-40000)*10%,
IF(V193&lt;=70000,(V193-55000)*15%+1500,
IF(V193&lt;=200000,(V193-70000)*20%+1500+2250,
IF(V193&lt;=400000,(V193-200000)*22.5%+1500+2250+26000,
IF(V193&lt;=600000,(V193-400000)*25%+1500+2250+26000+45000,
IF(AND(V193&gt;600000,V193&lt;=1200000),(V193-400000)*25%+1500+2250+26000+45000
+IFERROR(LOOKUP(V193,{600001;700001;800001;900001},{4000;6750;10250;15250}),0),IF(V193&gt;1200000,((V193-1200000)*27.5%)+300000,0)
)))))))</f>
        <v>0</v>
      </c>
      <c r="X193" s="12">
        <f t="shared" si="52"/>
        <v>0</v>
      </c>
      <c r="Y193" s="12">
        <f t="shared" si="53"/>
        <v>0</v>
      </c>
      <c r="Z193" s="11"/>
      <c r="AA193" s="13">
        <f t="shared" si="54"/>
        <v>0</v>
      </c>
      <c r="AB193" s="12">
        <f t="shared" si="55"/>
        <v>0</v>
      </c>
      <c r="AC193" s="14">
        <f t="shared" si="43"/>
        <v>0</v>
      </c>
      <c r="AE193" s="19">
        <f t="shared" si="56"/>
        <v>0</v>
      </c>
      <c r="AF193" s="19"/>
      <c r="AG193" s="17"/>
      <c r="AK193" s="7"/>
      <c r="AL193" s="108">
        <f t="shared" si="44"/>
        <v>0</v>
      </c>
      <c r="AM193" s="108">
        <f t="shared" si="45"/>
        <v>0</v>
      </c>
      <c r="AN193" s="113"/>
    </row>
    <row r="194" spans="2:40" x14ac:dyDescent="0.2">
      <c r="B194" s="7"/>
      <c r="C194" s="8"/>
      <c r="D194" s="8"/>
      <c r="E194" s="9"/>
      <c r="F194" s="6"/>
      <c r="G194" s="8"/>
      <c r="H194" s="32"/>
      <c r="I194" s="10" t="str">
        <f t="shared" si="42"/>
        <v>21</v>
      </c>
      <c r="J194" s="11">
        <v>1</v>
      </c>
      <c r="K194" s="11"/>
      <c r="L194" s="11"/>
      <c r="M194" s="11">
        <f t="shared" si="46"/>
        <v>0</v>
      </c>
      <c r="N194" s="11"/>
      <c r="O194" s="11">
        <f t="shared" si="47"/>
        <v>0</v>
      </c>
      <c r="P194" s="11"/>
      <c r="Q194" s="11"/>
      <c r="R194" s="11"/>
      <c r="S194" s="11">
        <f t="shared" si="48"/>
        <v>0</v>
      </c>
      <c r="T194" s="11">
        <f t="shared" si="49"/>
        <v>1666.6666666666667</v>
      </c>
      <c r="U194" s="11">
        <f t="shared" si="50"/>
        <v>0</v>
      </c>
      <c r="V194" s="24">
        <f t="shared" si="51"/>
        <v>0</v>
      </c>
      <c r="W194" s="11">
        <f>IF(V194&lt;=40000,0,
IF(V194&lt;=55000,(V194-40000)*10%,
IF(V194&lt;=70000,(V194-55000)*15%+1500,
IF(V194&lt;=200000,(V194-70000)*20%+1500+2250,
IF(V194&lt;=400000,(V194-200000)*22.5%+1500+2250+26000,
IF(V194&lt;=600000,(V194-400000)*25%+1500+2250+26000+45000,
IF(AND(V194&gt;600000,V194&lt;=1200000),(V194-400000)*25%+1500+2250+26000+45000
+IFERROR(LOOKUP(V194,{600001;700001;800001;900001},{4000;6750;10250;15250}),0),IF(V194&gt;1200000,((V194-1200000)*27.5%)+300000,0)
)))))))</f>
        <v>0</v>
      </c>
      <c r="X194" s="12">
        <f t="shared" si="52"/>
        <v>0</v>
      </c>
      <c r="Y194" s="12">
        <f t="shared" si="53"/>
        <v>0</v>
      </c>
      <c r="Z194" s="11"/>
      <c r="AA194" s="13">
        <f t="shared" si="54"/>
        <v>0</v>
      </c>
      <c r="AB194" s="12">
        <f t="shared" si="55"/>
        <v>0</v>
      </c>
      <c r="AC194" s="14">
        <f t="shared" si="43"/>
        <v>0</v>
      </c>
      <c r="AE194" s="19">
        <f t="shared" si="56"/>
        <v>0</v>
      </c>
      <c r="AF194" s="19"/>
      <c r="AG194" s="17"/>
      <c r="AK194" s="7"/>
      <c r="AL194" s="108">
        <f t="shared" si="44"/>
        <v>0</v>
      </c>
      <c r="AM194" s="108">
        <f t="shared" si="45"/>
        <v>0</v>
      </c>
      <c r="AN194" s="113"/>
    </row>
    <row r="195" spans="2:40" x14ac:dyDescent="0.2">
      <c r="B195" s="7"/>
      <c r="C195" s="8"/>
      <c r="D195" s="8"/>
      <c r="E195" s="9"/>
      <c r="F195" s="6"/>
      <c r="G195" s="8"/>
      <c r="H195" s="32"/>
      <c r="I195" s="10" t="str">
        <f t="shared" si="42"/>
        <v>21</v>
      </c>
      <c r="J195" s="11">
        <v>1</v>
      </c>
      <c r="K195" s="11"/>
      <c r="L195" s="11"/>
      <c r="M195" s="11">
        <f t="shared" si="46"/>
        <v>0</v>
      </c>
      <c r="N195" s="11"/>
      <c r="O195" s="11">
        <f t="shared" si="47"/>
        <v>0</v>
      </c>
      <c r="P195" s="11"/>
      <c r="Q195" s="11"/>
      <c r="R195" s="11"/>
      <c r="S195" s="11">
        <f t="shared" si="48"/>
        <v>0</v>
      </c>
      <c r="T195" s="11">
        <f t="shared" si="49"/>
        <v>1666.6666666666667</v>
      </c>
      <c r="U195" s="11">
        <f t="shared" si="50"/>
        <v>0</v>
      </c>
      <c r="V195" s="24">
        <f t="shared" si="51"/>
        <v>0</v>
      </c>
      <c r="W195" s="11">
        <f>IF(V195&lt;=40000,0,
IF(V195&lt;=55000,(V195-40000)*10%,
IF(V195&lt;=70000,(V195-55000)*15%+1500,
IF(V195&lt;=200000,(V195-70000)*20%+1500+2250,
IF(V195&lt;=400000,(V195-200000)*22.5%+1500+2250+26000,
IF(V195&lt;=600000,(V195-400000)*25%+1500+2250+26000+45000,
IF(AND(V195&gt;600000,V195&lt;=1200000),(V195-400000)*25%+1500+2250+26000+45000
+IFERROR(LOOKUP(V195,{600001;700001;800001;900001},{4000;6750;10250;15250}),0),IF(V195&gt;1200000,((V195-1200000)*27.5%)+300000,0)
)))))))</f>
        <v>0</v>
      </c>
      <c r="X195" s="12">
        <f t="shared" si="52"/>
        <v>0</v>
      </c>
      <c r="Y195" s="12">
        <f t="shared" si="53"/>
        <v>0</v>
      </c>
      <c r="Z195" s="11"/>
      <c r="AA195" s="13">
        <f t="shared" si="54"/>
        <v>0</v>
      </c>
      <c r="AB195" s="12">
        <f t="shared" si="55"/>
        <v>0</v>
      </c>
      <c r="AC195" s="14">
        <f t="shared" si="43"/>
        <v>0</v>
      </c>
      <c r="AE195" s="19">
        <f t="shared" si="56"/>
        <v>0</v>
      </c>
      <c r="AF195" s="19"/>
      <c r="AG195" s="17"/>
      <c r="AK195" s="7"/>
      <c r="AL195" s="108">
        <f t="shared" si="44"/>
        <v>0</v>
      </c>
      <c r="AM195" s="108">
        <f t="shared" si="45"/>
        <v>0</v>
      </c>
      <c r="AN195" s="113"/>
    </row>
    <row r="196" spans="2:40" x14ac:dyDescent="0.2">
      <c r="B196" s="7"/>
      <c r="C196" s="8"/>
      <c r="D196" s="8"/>
      <c r="E196" s="9"/>
      <c r="F196" s="6"/>
      <c r="G196" s="8"/>
      <c r="H196" s="32"/>
      <c r="I196" s="10" t="str">
        <f t="shared" si="42"/>
        <v>21</v>
      </c>
      <c r="J196" s="11">
        <v>1</v>
      </c>
      <c r="K196" s="11"/>
      <c r="L196" s="11"/>
      <c r="M196" s="11">
        <f t="shared" si="46"/>
        <v>0</v>
      </c>
      <c r="N196" s="11"/>
      <c r="O196" s="11">
        <f t="shared" si="47"/>
        <v>0</v>
      </c>
      <c r="P196" s="11"/>
      <c r="Q196" s="11"/>
      <c r="R196" s="11"/>
      <c r="S196" s="11">
        <f t="shared" si="48"/>
        <v>0</v>
      </c>
      <c r="T196" s="11">
        <f t="shared" si="49"/>
        <v>1666.6666666666667</v>
      </c>
      <c r="U196" s="11">
        <f t="shared" si="50"/>
        <v>0</v>
      </c>
      <c r="V196" s="24">
        <f t="shared" si="51"/>
        <v>0</v>
      </c>
      <c r="W196" s="11">
        <f>IF(V196&lt;=40000,0,
IF(V196&lt;=55000,(V196-40000)*10%,
IF(V196&lt;=70000,(V196-55000)*15%+1500,
IF(V196&lt;=200000,(V196-70000)*20%+1500+2250,
IF(V196&lt;=400000,(V196-200000)*22.5%+1500+2250+26000,
IF(V196&lt;=600000,(V196-400000)*25%+1500+2250+26000+45000,
IF(AND(V196&gt;600000,V196&lt;=1200000),(V196-400000)*25%+1500+2250+26000+45000
+IFERROR(LOOKUP(V196,{600001;700001;800001;900001},{4000;6750;10250;15250}),0),IF(V196&gt;1200000,((V196-1200000)*27.5%)+300000,0)
)))))))</f>
        <v>0</v>
      </c>
      <c r="X196" s="12">
        <f t="shared" si="52"/>
        <v>0</v>
      </c>
      <c r="Y196" s="12">
        <f t="shared" si="53"/>
        <v>0</v>
      </c>
      <c r="Z196" s="11"/>
      <c r="AA196" s="13">
        <f t="shared" si="54"/>
        <v>0</v>
      </c>
      <c r="AB196" s="12">
        <f t="shared" si="55"/>
        <v>0</v>
      </c>
      <c r="AC196" s="14">
        <f t="shared" si="43"/>
        <v>0</v>
      </c>
      <c r="AE196" s="19">
        <f t="shared" si="56"/>
        <v>0</v>
      </c>
      <c r="AF196" s="19"/>
      <c r="AG196" s="17"/>
      <c r="AK196" s="7"/>
      <c r="AL196" s="108">
        <f t="shared" si="44"/>
        <v>0</v>
      </c>
      <c r="AM196" s="108">
        <f t="shared" si="45"/>
        <v>0</v>
      </c>
      <c r="AN196" s="113"/>
    </row>
    <row r="197" spans="2:40" x14ac:dyDescent="0.2">
      <c r="B197" s="7"/>
      <c r="C197" s="8"/>
      <c r="D197" s="8"/>
      <c r="E197" s="9"/>
      <c r="F197" s="6"/>
      <c r="G197" s="8"/>
      <c r="H197" s="32"/>
      <c r="I197" s="10" t="str">
        <f t="shared" ref="I197:I260" si="57">IF(G197&gt;0,"1","21")</f>
        <v>21</v>
      </c>
      <c r="J197" s="11">
        <v>1</v>
      </c>
      <c r="K197" s="11"/>
      <c r="L197" s="11"/>
      <c r="M197" s="11">
        <f t="shared" si="46"/>
        <v>0</v>
      </c>
      <c r="N197" s="11"/>
      <c r="O197" s="11">
        <f t="shared" si="47"/>
        <v>0</v>
      </c>
      <c r="P197" s="11"/>
      <c r="Q197" s="11"/>
      <c r="R197" s="11"/>
      <c r="S197" s="11">
        <f t="shared" si="48"/>
        <v>0</v>
      </c>
      <c r="T197" s="11">
        <f t="shared" si="49"/>
        <v>1666.6666666666667</v>
      </c>
      <c r="U197" s="11">
        <f t="shared" si="50"/>
        <v>0</v>
      </c>
      <c r="V197" s="24">
        <f t="shared" si="51"/>
        <v>0</v>
      </c>
      <c r="W197" s="11">
        <f>IF(V197&lt;=40000,0,
IF(V197&lt;=55000,(V197-40000)*10%,
IF(V197&lt;=70000,(V197-55000)*15%+1500,
IF(V197&lt;=200000,(V197-70000)*20%+1500+2250,
IF(V197&lt;=400000,(V197-200000)*22.5%+1500+2250+26000,
IF(V197&lt;=600000,(V197-400000)*25%+1500+2250+26000+45000,
IF(AND(V197&gt;600000,V197&lt;=1200000),(V197-400000)*25%+1500+2250+26000+45000
+IFERROR(LOOKUP(V197,{600001;700001;800001;900001},{4000;6750;10250;15250}),0),IF(V197&gt;1200000,((V197-1200000)*27.5%)+300000,0)
)))))))</f>
        <v>0</v>
      </c>
      <c r="X197" s="12">
        <f t="shared" si="52"/>
        <v>0</v>
      </c>
      <c r="Y197" s="12">
        <f t="shared" si="53"/>
        <v>0</v>
      </c>
      <c r="Z197" s="11"/>
      <c r="AA197" s="13">
        <f t="shared" si="54"/>
        <v>0</v>
      </c>
      <c r="AB197" s="12">
        <f t="shared" si="55"/>
        <v>0</v>
      </c>
      <c r="AC197" s="14">
        <f t="shared" ref="AC197:AC260" si="58">+M197-P197-Y197</f>
        <v>0</v>
      </c>
      <c r="AE197" s="19">
        <f t="shared" si="56"/>
        <v>0</v>
      </c>
      <c r="AF197" s="19"/>
      <c r="AG197" s="17"/>
      <c r="AK197" s="7"/>
      <c r="AL197" s="108">
        <f t="shared" ref="AL197:AL260" si="59">+AK197+AD197</f>
        <v>0</v>
      </c>
      <c r="AM197" s="108">
        <f t="shared" ref="AM197:AM260" si="60">+AL197-AC197</f>
        <v>0</v>
      </c>
      <c r="AN197" s="113"/>
    </row>
    <row r="198" spans="2:40" x14ac:dyDescent="0.2">
      <c r="B198" s="7"/>
      <c r="C198" s="8"/>
      <c r="D198" s="8"/>
      <c r="E198" s="9"/>
      <c r="F198" s="6"/>
      <c r="G198" s="8"/>
      <c r="H198" s="32"/>
      <c r="I198" s="10" t="str">
        <f t="shared" si="57"/>
        <v>21</v>
      </c>
      <c r="J198" s="11">
        <v>1</v>
      </c>
      <c r="K198" s="11"/>
      <c r="L198" s="11"/>
      <c r="M198" s="11">
        <f t="shared" si="46"/>
        <v>0</v>
      </c>
      <c r="N198" s="11"/>
      <c r="O198" s="11">
        <f t="shared" si="47"/>
        <v>0</v>
      </c>
      <c r="P198" s="11"/>
      <c r="Q198" s="11"/>
      <c r="R198" s="11"/>
      <c r="S198" s="11">
        <f t="shared" si="48"/>
        <v>0</v>
      </c>
      <c r="T198" s="11">
        <f t="shared" si="49"/>
        <v>1666.6666666666667</v>
      </c>
      <c r="U198" s="11">
        <f t="shared" si="50"/>
        <v>0</v>
      </c>
      <c r="V198" s="24">
        <f t="shared" si="51"/>
        <v>0</v>
      </c>
      <c r="W198" s="11">
        <f>IF(V198&lt;=40000,0,
IF(V198&lt;=55000,(V198-40000)*10%,
IF(V198&lt;=70000,(V198-55000)*15%+1500,
IF(V198&lt;=200000,(V198-70000)*20%+1500+2250,
IF(V198&lt;=400000,(V198-200000)*22.5%+1500+2250+26000,
IF(V198&lt;=600000,(V198-400000)*25%+1500+2250+26000+45000,
IF(AND(V198&gt;600000,V198&lt;=1200000),(V198-400000)*25%+1500+2250+26000+45000
+IFERROR(LOOKUP(V198,{600001;700001;800001;900001},{4000;6750;10250;15250}),0),IF(V198&gt;1200000,((V198-1200000)*27.5%)+300000,0)
)))))))</f>
        <v>0</v>
      </c>
      <c r="X198" s="12">
        <f t="shared" si="52"/>
        <v>0</v>
      </c>
      <c r="Y198" s="12">
        <f t="shared" si="53"/>
        <v>0</v>
      </c>
      <c r="Z198" s="11"/>
      <c r="AA198" s="13">
        <f t="shared" si="54"/>
        <v>0</v>
      </c>
      <c r="AB198" s="12">
        <f t="shared" si="55"/>
        <v>0</v>
      </c>
      <c r="AC198" s="14">
        <f t="shared" si="58"/>
        <v>0</v>
      </c>
      <c r="AE198" s="19">
        <f t="shared" si="56"/>
        <v>0</v>
      </c>
      <c r="AF198" s="19"/>
      <c r="AG198" s="17"/>
      <c r="AK198" s="7"/>
      <c r="AL198" s="108">
        <f t="shared" si="59"/>
        <v>0</v>
      </c>
      <c r="AM198" s="108">
        <f t="shared" si="60"/>
        <v>0</v>
      </c>
      <c r="AN198" s="113"/>
    </row>
    <row r="199" spans="2:40" x14ac:dyDescent="0.2">
      <c r="B199" s="7"/>
      <c r="C199" s="8"/>
      <c r="D199" s="8"/>
      <c r="E199" s="9"/>
      <c r="F199" s="6"/>
      <c r="G199" s="8"/>
      <c r="H199" s="32"/>
      <c r="I199" s="10" t="str">
        <f t="shared" si="57"/>
        <v>21</v>
      </c>
      <c r="J199" s="11">
        <v>1</v>
      </c>
      <c r="K199" s="11"/>
      <c r="L199" s="11"/>
      <c r="M199" s="11">
        <f t="shared" si="46"/>
        <v>0</v>
      </c>
      <c r="N199" s="11"/>
      <c r="O199" s="11">
        <f t="shared" si="47"/>
        <v>0</v>
      </c>
      <c r="P199" s="11"/>
      <c r="Q199" s="11"/>
      <c r="R199" s="11"/>
      <c r="S199" s="11">
        <f t="shared" si="48"/>
        <v>0</v>
      </c>
      <c r="T199" s="11">
        <f t="shared" si="49"/>
        <v>1666.6666666666667</v>
      </c>
      <c r="U199" s="11">
        <f t="shared" si="50"/>
        <v>0</v>
      </c>
      <c r="V199" s="24">
        <f t="shared" si="51"/>
        <v>0</v>
      </c>
      <c r="W199" s="11">
        <f>IF(V199&lt;=40000,0,
IF(V199&lt;=55000,(V199-40000)*10%,
IF(V199&lt;=70000,(V199-55000)*15%+1500,
IF(V199&lt;=200000,(V199-70000)*20%+1500+2250,
IF(V199&lt;=400000,(V199-200000)*22.5%+1500+2250+26000,
IF(V199&lt;=600000,(V199-400000)*25%+1500+2250+26000+45000,
IF(AND(V199&gt;600000,V199&lt;=1200000),(V199-400000)*25%+1500+2250+26000+45000
+IFERROR(LOOKUP(V199,{600001;700001;800001;900001},{4000;6750;10250;15250}),0),IF(V199&gt;1200000,((V199-1200000)*27.5%)+300000,0)
)))))))</f>
        <v>0</v>
      </c>
      <c r="X199" s="12">
        <f t="shared" si="52"/>
        <v>0</v>
      </c>
      <c r="Y199" s="12">
        <f t="shared" si="53"/>
        <v>0</v>
      </c>
      <c r="Z199" s="11"/>
      <c r="AA199" s="13">
        <f t="shared" si="54"/>
        <v>0</v>
      </c>
      <c r="AB199" s="12">
        <f t="shared" si="55"/>
        <v>0</v>
      </c>
      <c r="AC199" s="14">
        <f t="shared" si="58"/>
        <v>0</v>
      </c>
      <c r="AE199" s="19">
        <f t="shared" si="56"/>
        <v>0</v>
      </c>
      <c r="AF199" s="19"/>
      <c r="AG199" s="17"/>
      <c r="AK199" s="7"/>
      <c r="AL199" s="108">
        <f t="shared" si="59"/>
        <v>0</v>
      </c>
      <c r="AM199" s="108">
        <f t="shared" si="60"/>
        <v>0</v>
      </c>
      <c r="AN199" s="113"/>
    </row>
    <row r="200" spans="2:40" x14ac:dyDescent="0.2">
      <c r="B200" s="7"/>
      <c r="C200" s="8"/>
      <c r="D200" s="8"/>
      <c r="E200" s="9"/>
      <c r="F200" s="6"/>
      <c r="G200" s="8"/>
      <c r="H200" s="32"/>
      <c r="I200" s="10" t="str">
        <f t="shared" si="57"/>
        <v>21</v>
      </c>
      <c r="J200" s="11">
        <v>1</v>
      </c>
      <c r="K200" s="11"/>
      <c r="L200" s="11"/>
      <c r="M200" s="11">
        <f t="shared" si="46"/>
        <v>0</v>
      </c>
      <c r="N200" s="11"/>
      <c r="O200" s="11">
        <f t="shared" si="47"/>
        <v>0</v>
      </c>
      <c r="P200" s="11"/>
      <c r="Q200" s="11"/>
      <c r="R200" s="11"/>
      <c r="S200" s="11">
        <f t="shared" si="48"/>
        <v>0</v>
      </c>
      <c r="T200" s="11">
        <f t="shared" si="49"/>
        <v>1666.6666666666667</v>
      </c>
      <c r="U200" s="11">
        <f t="shared" si="50"/>
        <v>0</v>
      </c>
      <c r="V200" s="24">
        <f t="shared" si="51"/>
        <v>0</v>
      </c>
      <c r="W200" s="11">
        <f>IF(V200&lt;=40000,0,
IF(V200&lt;=55000,(V200-40000)*10%,
IF(V200&lt;=70000,(V200-55000)*15%+1500,
IF(V200&lt;=200000,(V200-70000)*20%+1500+2250,
IF(V200&lt;=400000,(V200-200000)*22.5%+1500+2250+26000,
IF(V200&lt;=600000,(V200-400000)*25%+1500+2250+26000+45000,
IF(AND(V200&gt;600000,V200&lt;=1200000),(V200-400000)*25%+1500+2250+26000+45000
+IFERROR(LOOKUP(V200,{600001;700001;800001;900001},{4000;6750;10250;15250}),0),IF(V200&gt;1200000,((V200-1200000)*27.5%)+300000,0)
)))))))</f>
        <v>0</v>
      </c>
      <c r="X200" s="12">
        <f t="shared" si="52"/>
        <v>0</v>
      </c>
      <c r="Y200" s="12">
        <f t="shared" si="53"/>
        <v>0</v>
      </c>
      <c r="Z200" s="11"/>
      <c r="AA200" s="13">
        <f t="shared" si="54"/>
        <v>0</v>
      </c>
      <c r="AB200" s="12">
        <f t="shared" si="55"/>
        <v>0</v>
      </c>
      <c r="AC200" s="14">
        <f t="shared" si="58"/>
        <v>0</v>
      </c>
      <c r="AE200" s="19">
        <f t="shared" si="56"/>
        <v>0</v>
      </c>
      <c r="AF200" s="19"/>
      <c r="AG200" s="17"/>
      <c r="AK200" s="7"/>
      <c r="AL200" s="108">
        <f t="shared" si="59"/>
        <v>0</v>
      </c>
      <c r="AM200" s="108">
        <f t="shared" si="60"/>
        <v>0</v>
      </c>
      <c r="AN200" s="113"/>
    </row>
    <row r="201" spans="2:40" x14ac:dyDescent="0.2">
      <c r="B201" s="7"/>
      <c r="C201" s="8"/>
      <c r="D201" s="8"/>
      <c r="E201" s="9"/>
      <c r="F201" s="6"/>
      <c r="G201" s="8"/>
      <c r="H201" s="32"/>
      <c r="I201" s="10" t="str">
        <f t="shared" si="57"/>
        <v>21</v>
      </c>
      <c r="J201" s="11">
        <v>1</v>
      </c>
      <c r="K201" s="11"/>
      <c r="L201" s="11"/>
      <c r="M201" s="11">
        <f t="shared" si="46"/>
        <v>0</v>
      </c>
      <c r="N201" s="11"/>
      <c r="O201" s="11">
        <f t="shared" si="47"/>
        <v>0</v>
      </c>
      <c r="P201" s="11"/>
      <c r="Q201" s="11"/>
      <c r="R201" s="11"/>
      <c r="S201" s="11">
        <f t="shared" si="48"/>
        <v>0</v>
      </c>
      <c r="T201" s="11">
        <f t="shared" si="49"/>
        <v>1666.6666666666667</v>
      </c>
      <c r="U201" s="11">
        <f t="shared" si="50"/>
        <v>0</v>
      </c>
      <c r="V201" s="24">
        <f t="shared" si="51"/>
        <v>0</v>
      </c>
      <c r="W201" s="11">
        <f>IF(V201&lt;=40000,0,
IF(V201&lt;=55000,(V201-40000)*10%,
IF(V201&lt;=70000,(V201-55000)*15%+1500,
IF(V201&lt;=200000,(V201-70000)*20%+1500+2250,
IF(V201&lt;=400000,(V201-200000)*22.5%+1500+2250+26000,
IF(V201&lt;=600000,(V201-400000)*25%+1500+2250+26000+45000,
IF(AND(V201&gt;600000,V201&lt;=1200000),(V201-400000)*25%+1500+2250+26000+45000
+IFERROR(LOOKUP(V201,{600001;700001;800001;900001},{4000;6750;10250;15250}),0),IF(V201&gt;1200000,((V201-1200000)*27.5%)+300000,0)
)))))))</f>
        <v>0</v>
      </c>
      <c r="X201" s="12">
        <f t="shared" si="52"/>
        <v>0</v>
      </c>
      <c r="Y201" s="12">
        <f t="shared" si="53"/>
        <v>0</v>
      </c>
      <c r="Z201" s="11"/>
      <c r="AA201" s="13">
        <f t="shared" si="54"/>
        <v>0</v>
      </c>
      <c r="AB201" s="12">
        <f t="shared" si="55"/>
        <v>0</v>
      </c>
      <c r="AC201" s="14">
        <f t="shared" si="58"/>
        <v>0</v>
      </c>
      <c r="AE201" s="19">
        <f t="shared" si="56"/>
        <v>0</v>
      </c>
      <c r="AF201" s="19"/>
      <c r="AG201" s="17"/>
      <c r="AK201" s="7"/>
      <c r="AL201" s="108">
        <f t="shared" si="59"/>
        <v>0</v>
      </c>
      <c r="AM201" s="108">
        <f t="shared" si="60"/>
        <v>0</v>
      </c>
      <c r="AN201" s="113"/>
    </row>
    <row r="202" spans="2:40" x14ac:dyDescent="0.2">
      <c r="B202" s="7"/>
      <c r="C202" s="8"/>
      <c r="D202" s="8"/>
      <c r="E202" s="9"/>
      <c r="F202" s="6"/>
      <c r="G202" s="8"/>
      <c r="H202" s="32"/>
      <c r="I202" s="10" t="str">
        <f t="shared" si="57"/>
        <v>21</v>
      </c>
      <c r="J202" s="11">
        <v>1</v>
      </c>
      <c r="K202" s="11"/>
      <c r="L202" s="11"/>
      <c r="M202" s="11">
        <f t="shared" si="46"/>
        <v>0</v>
      </c>
      <c r="N202" s="11"/>
      <c r="O202" s="11">
        <f t="shared" si="47"/>
        <v>0</v>
      </c>
      <c r="P202" s="11"/>
      <c r="Q202" s="11"/>
      <c r="R202" s="11"/>
      <c r="S202" s="11">
        <f t="shared" si="48"/>
        <v>0</v>
      </c>
      <c r="T202" s="11">
        <f t="shared" si="49"/>
        <v>1666.6666666666667</v>
      </c>
      <c r="U202" s="11">
        <f t="shared" si="50"/>
        <v>0</v>
      </c>
      <c r="V202" s="24">
        <f t="shared" si="51"/>
        <v>0</v>
      </c>
      <c r="W202" s="11">
        <f>IF(V202&lt;=40000,0,
IF(V202&lt;=55000,(V202-40000)*10%,
IF(V202&lt;=70000,(V202-55000)*15%+1500,
IF(V202&lt;=200000,(V202-70000)*20%+1500+2250,
IF(V202&lt;=400000,(V202-200000)*22.5%+1500+2250+26000,
IF(V202&lt;=600000,(V202-400000)*25%+1500+2250+26000+45000,
IF(AND(V202&gt;600000,V202&lt;=1200000),(V202-400000)*25%+1500+2250+26000+45000
+IFERROR(LOOKUP(V202,{600001;700001;800001;900001},{4000;6750;10250;15250}),0),IF(V202&gt;1200000,((V202-1200000)*27.5%)+300000,0)
)))))))</f>
        <v>0</v>
      </c>
      <c r="X202" s="12">
        <f t="shared" si="52"/>
        <v>0</v>
      </c>
      <c r="Y202" s="12">
        <f t="shared" si="53"/>
        <v>0</v>
      </c>
      <c r="Z202" s="11"/>
      <c r="AA202" s="13">
        <f t="shared" si="54"/>
        <v>0</v>
      </c>
      <c r="AB202" s="12">
        <f t="shared" si="55"/>
        <v>0</v>
      </c>
      <c r="AC202" s="14">
        <f t="shared" si="58"/>
        <v>0</v>
      </c>
      <c r="AE202" s="19">
        <f t="shared" si="56"/>
        <v>0</v>
      </c>
      <c r="AF202" s="19"/>
      <c r="AG202" s="17"/>
      <c r="AK202" s="7"/>
      <c r="AL202" s="108">
        <f t="shared" si="59"/>
        <v>0</v>
      </c>
      <c r="AM202" s="108">
        <f t="shared" si="60"/>
        <v>0</v>
      </c>
      <c r="AN202" s="113"/>
    </row>
    <row r="203" spans="2:40" x14ac:dyDescent="0.2">
      <c r="B203" s="7"/>
      <c r="C203" s="8"/>
      <c r="D203" s="8"/>
      <c r="E203" s="9"/>
      <c r="F203" s="6"/>
      <c r="G203" s="8"/>
      <c r="H203" s="32"/>
      <c r="I203" s="10" t="str">
        <f t="shared" si="57"/>
        <v>21</v>
      </c>
      <c r="J203" s="11">
        <v>1</v>
      </c>
      <c r="K203" s="11"/>
      <c r="L203" s="11"/>
      <c r="M203" s="11">
        <f t="shared" si="46"/>
        <v>0</v>
      </c>
      <c r="N203" s="11"/>
      <c r="O203" s="11">
        <f t="shared" si="47"/>
        <v>0</v>
      </c>
      <c r="P203" s="11"/>
      <c r="Q203" s="11"/>
      <c r="R203" s="11"/>
      <c r="S203" s="11">
        <f t="shared" si="48"/>
        <v>0</v>
      </c>
      <c r="T203" s="11">
        <f t="shared" si="49"/>
        <v>1666.6666666666667</v>
      </c>
      <c r="U203" s="11">
        <f t="shared" si="50"/>
        <v>0</v>
      </c>
      <c r="V203" s="24">
        <f t="shared" si="51"/>
        <v>0</v>
      </c>
      <c r="W203" s="11">
        <f>IF(V203&lt;=40000,0,
IF(V203&lt;=55000,(V203-40000)*10%,
IF(V203&lt;=70000,(V203-55000)*15%+1500,
IF(V203&lt;=200000,(V203-70000)*20%+1500+2250,
IF(V203&lt;=400000,(V203-200000)*22.5%+1500+2250+26000,
IF(V203&lt;=600000,(V203-400000)*25%+1500+2250+26000+45000,
IF(AND(V203&gt;600000,V203&lt;=1200000),(V203-400000)*25%+1500+2250+26000+45000
+IFERROR(LOOKUP(V203,{600001;700001;800001;900001},{4000;6750;10250;15250}),0),IF(V203&gt;1200000,((V203-1200000)*27.5%)+300000,0)
)))))))</f>
        <v>0</v>
      </c>
      <c r="X203" s="12">
        <f t="shared" si="52"/>
        <v>0</v>
      </c>
      <c r="Y203" s="12">
        <f t="shared" si="53"/>
        <v>0</v>
      </c>
      <c r="Z203" s="11"/>
      <c r="AA203" s="13">
        <f t="shared" si="54"/>
        <v>0</v>
      </c>
      <c r="AB203" s="12">
        <f t="shared" si="55"/>
        <v>0</v>
      </c>
      <c r="AC203" s="14">
        <f t="shared" si="58"/>
        <v>0</v>
      </c>
      <c r="AE203" s="19">
        <f t="shared" si="56"/>
        <v>0</v>
      </c>
      <c r="AF203" s="19"/>
      <c r="AG203" s="17"/>
      <c r="AK203" s="7"/>
      <c r="AL203" s="108">
        <f t="shared" si="59"/>
        <v>0</v>
      </c>
      <c r="AM203" s="108">
        <f t="shared" si="60"/>
        <v>0</v>
      </c>
      <c r="AN203" s="113"/>
    </row>
    <row r="204" spans="2:40" x14ac:dyDescent="0.2">
      <c r="B204" s="7"/>
      <c r="C204" s="8"/>
      <c r="D204" s="8"/>
      <c r="E204" s="9"/>
      <c r="F204" s="6"/>
      <c r="G204" s="8"/>
      <c r="H204" s="32"/>
      <c r="I204" s="10" t="str">
        <f t="shared" si="57"/>
        <v>21</v>
      </c>
      <c r="J204" s="11">
        <v>1</v>
      </c>
      <c r="K204" s="11"/>
      <c r="L204" s="11"/>
      <c r="M204" s="11">
        <f t="shared" si="46"/>
        <v>0</v>
      </c>
      <c r="N204" s="11"/>
      <c r="O204" s="11">
        <f t="shared" si="47"/>
        <v>0</v>
      </c>
      <c r="P204" s="11"/>
      <c r="Q204" s="11"/>
      <c r="R204" s="11"/>
      <c r="S204" s="11">
        <f t="shared" si="48"/>
        <v>0</v>
      </c>
      <c r="T204" s="11">
        <f t="shared" si="49"/>
        <v>1666.6666666666667</v>
      </c>
      <c r="U204" s="11">
        <f t="shared" si="50"/>
        <v>0</v>
      </c>
      <c r="V204" s="24">
        <f t="shared" si="51"/>
        <v>0</v>
      </c>
      <c r="W204" s="11">
        <f>IF(V204&lt;=40000,0,
IF(V204&lt;=55000,(V204-40000)*10%,
IF(V204&lt;=70000,(V204-55000)*15%+1500,
IF(V204&lt;=200000,(V204-70000)*20%+1500+2250,
IF(V204&lt;=400000,(V204-200000)*22.5%+1500+2250+26000,
IF(V204&lt;=600000,(V204-400000)*25%+1500+2250+26000+45000,
IF(AND(V204&gt;600000,V204&lt;=1200000),(V204-400000)*25%+1500+2250+26000+45000
+IFERROR(LOOKUP(V204,{600001;700001;800001;900001},{4000;6750;10250;15250}),0),IF(V204&gt;1200000,((V204-1200000)*27.5%)+300000,0)
)))))))</f>
        <v>0</v>
      </c>
      <c r="X204" s="12">
        <f t="shared" si="52"/>
        <v>0</v>
      </c>
      <c r="Y204" s="12">
        <f t="shared" si="53"/>
        <v>0</v>
      </c>
      <c r="Z204" s="11"/>
      <c r="AA204" s="13">
        <f t="shared" si="54"/>
        <v>0</v>
      </c>
      <c r="AB204" s="12">
        <f t="shared" si="55"/>
        <v>0</v>
      </c>
      <c r="AC204" s="14">
        <f t="shared" si="58"/>
        <v>0</v>
      </c>
      <c r="AE204" s="19">
        <f t="shared" si="56"/>
        <v>0</v>
      </c>
      <c r="AF204" s="19"/>
      <c r="AG204" s="17"/>
      <c r="AK204" s="7"/>
      <c r="AL204" s="108">
        <f t="shared" si="59"/>
        <v>0</v>
      </c>
      <c r="AM204" s="108">
        <f t="shared" si="60"/>
        <v>0</v>
      </c>
      <c r="AN204" s="113"/>
    </row>
    <row r="205" spans="2:40" x14ac:dyDescent="0.2">
      <c r="B205" s="7"/>
      <c r="C205" s="8"/>
      <c r="D205" s="8"/>
      <c r="E205" s="9"/>
      <c r="F205" s="6"/>
      <c r="G205" s="8"/>
      <c r="H205" s="32"/>
      <c r="I205" s="10" t="str">
        <f t="shared" si="57"/>
        <v>21</v>
      </c>
      <c r="J205" s="11">
        <v>1</v>
      </c>
      <c r="K205" s="11"/>
      <c r="L205" s="11"/>
      <c r="M205" s="11">
        <f t="shared" si="46"/>
        <v>0</v>
      </c>
      <c r="N205" s="11"/>
      <c r="O205" s="11">
        <f t="shared" si="47"/>
        <v>0</v>
      </c>
      <c r="P205" s="11"/>
      <c r="Q205" s="11"/>
      <c r="R205" s="11"/>
      <c r="S205" s="11">
        <f t="shared" si="48"/>
        <v>0</v>
      </c>
      <c r="T205" s="11">
        <f t="shared" si="49"/>
        <v>1666.6666666666667</v>
      </c>
      <c r="U205" s="11">
        <f t="shared" si="50"/>
        <v>0</v>
      </c>
      <c r="V205" s="24">
        <f t="shared" si="51"/>
        <v>0</v>
      </c>
      <c r="W205" s="11">
        <f>IF(V205&lt;=40000,0,
IF(V205&lt;=55000,(V205-40000)*10%,
IF(V205&lt;=70000,(V205-55000)*15%+1500,
IF(V205&lt;=200000,(V205-70000)*20%+1500+2250,
IF(V205&lt;=400000,(V205-200000)*22.5%+1500+2250+26000,
IF(V205&lt;=600000,(V205-400000)*25%+1500+2250+26000+45000,
IF(AND(V205&gt;600000,V205&lt;=1200000),(V205-400000)*25%+1500+2250+26000+45000
+IFERROR(LOOKUP(V205,{600001;700001;800001;900001},{4000;6750;10250;15250}),0),IF(V205&gt;1200000,((V205-1200000)*27.5%)+300000,0)
)))))))</f>
        <v>0</v>
      </c>
      <c r="X205" s="12">
        <f t="shared" si="52"/>
        <v>0</v>
      </c>
      <c r="Y205" s="12">
        <f t="shared" si="53"/>
        <v>0</v>
      </c>
      <c r="Z205" s="11"/>
      <c r="AA205" s="13">
        <f t="shared" si="54"/>
        <v>0</v>
      </c>
      <c r="AB205" s="12">
        <f t="shared" si="55"/>
        <v>0</v>
      </c>
      <c r="AC205" s="14">
        <f t="shared" si="58"/>
        <v>0</v>
      </c>
      <c r="AE205" s="19">
        <f t="shared" si="56"/>
        <v>0</v>
      </c>
      <c r="AF205" s="19"/>
      <c r="AG205" s="17"/>
      <c r="AK205" s="7"/>
      <c r="AL205" s="108">
        <f t="shared" si="59"/>
        <v>0</v>
      </c>
      <c r="AM205" s="108">
        <f t="shared" si="60"/>
        <v>0</v>
      </c>
      <c r="AN205" s="113"/>
    </row>
    <row r="206" spans="2:40" x14ac:dyDescent="0.2">
      <c r="B206" s="7"/>
      <c r="C206" s="8"/>
      <c r="D206" s="8"/>
      <c r="E206" s="9"/>
      <c r="F206" s="6"/>
      <c r="G206" s="8"/>
      <c r="H206" s="32"/>
      <c r="I206" s="10" t="str">
        <f t="shared" si="57"/>
        <v>21</v>
      </c>
      <c r="J206" s="11">
        <v>1</v>
      </c>
      <c r="K206" s="11"/>
      <c r="L206" s="11"/>
      <c r="M206" s="11">
        <f t="shared" si="46"/>
        <v>0</v>
      </c>
      <c r="N206" s="11"/>
      <c r="O206" s="11">
        <f t="shared" si="47"/>
        <v>0</v>
      </c>
      <c r="P206" s="11"/>
      <c r="Q206" s="11"/>
      <c r="R206" s="11"/>
      <c r="S206" s="11">
        <f t="shared" si="48"/>
        <v>0</v>
      </c>
      <c r="T206" s="11">
        <f t="shared" si="49"/>
        <v>1666.6666666666667</v>
      </c>
      <c r="U206" s="11">
        <f t="shared" si="50"/>
        <v>0</v>
      </c>
      <c r="V206" s="24">
        <f t="shared" si="51"/>
        <v>0</v>
      </c>
      <c r="W206" s="11">
        <f>IF(V206&lt;=40000,0,
IF(V206&lt;=55000,(V206-40000)*10%,
IF(V206&lt;=70000,(V206-55000)*15%+1500,
IF(V206&lt;=200000,(V206-70000)*20%+1500+2250,
IF(V206&lt;=400000,(V206-200000)*22.5%+1500+2250+26000,
IF(V206&lt;=600000,(V206-400000)*25%+1500+2250+26000+45000,
IF(AND(V206&gt;600000,V206&lt;=1200000),(V206-400000)*25%+1500+2250+26000+45000
+IFERROR(LOOKUP(V206,{600001;700001;800001;900001},{4000;6750;10250;15250}),0),IF(V206&gt;1200000,((V206-1200000)*27.5%)+300000,0)
)))))))</f>
        <v>0</v>
      </c>
      <c r="X206" s="12">
        <f t="shared" si="52"/>
        <v>0</v>
      </c>
      <c r="Y206" s="12">
        <f t="shared" si="53"/>
        <v>0</v>
      </c>
      <c r="Z206" s="11"/>
      <c r="AA206" s="13">
        <f t="shared" si="54"/>
        <v>0</v>
      </c>
      <c r="AB206" s="12">
        <f t="shared" si="55"/>
        <v>0</v>
      </c>
      <c r="AC206" s="14">
        <f t="shared" si="58"/>
        <v>0</v>
      </c>
      <c r="AE206" s="19">
        <f t="shared" si="56"/>
        <v>0</v>
      </c>
      <c r="AF206" s="19"/>
      <c r="AG206" s="17"/>
      <c r="AK206" s="7"/>
      <c r="AL206" s="108">
        <f t="shared" si="59"/>
        <v>0</v>
      </c>
      <c r="AM206" s="108">
        <f t="shared" si="60"/>
        <v>0</v>
      </c>
      <c r="AN206" s="113"/>
    </row>
    <row r="207" spans="2:40" x14ac:dyDescent="0.2">
      <c r="B207" s="7"/>
      <c r="C207" s="8"/>
      <c r="D207" s="8"/>
      <c r="E207" s="9"/>
      <c r="F207" s="6"/>
      <c r="G207" s="8"/>
      <c r="H207" s="32"/>
      <c r="I207" s="10" t="str">
        <f t="shared" si="57"/>
        <v>21</v>
      </c>
      <c r="J207" s="11">
        <v>1</v>
      </c>
      <c r="K207" s="11"/>
      <c r="L207" s="11"/>
      <c r="M207" s="11">
        <f t="shared" si="46"/>
        <v>0</v>
      </c>
      <c r="N207" s="11"/>
      <c r="O207" s="11">
        <f t="shared" si="47"/>
        <v>0</v>
      </c>
      <c r="P207" s="11"/>
      <c r="Q207" s="11"/>
      <c r="R207" s="11"/>
      <c r="S207" s="11">
        <f t="shared" si="48"/>
        <v>0</v>
      </c>
      <c r="T207" s="11">
        <f t="shared" si="49"/>
        <v>1666.6666666666667</v>
      </c>
      <c r="U207" s="11">
        <f t="shared" si="50"/>
        <v>0</v>
      </c>
      <c r="V207" s="24">
        <f t="shared" si="51"/>
        <v>0</v>
      </c>
      <c r="W207" s="11">
        <f>IF(V207&lt;=40000,0,
IF(V207&lt;=55000,(V207-40000)*10%,
IF(V207&lt;=70000,(V207-55000)*15%+1500,
IF(V207&lt;=200000,(V207-70000)*20%+1500+2250,
IF(V207&lt;=400000,(V207-200000)*22.5%+1500+2250+26000,
IF(V207&lt;=600000,(V207-400000)*25%+1500+2250+26000+45000,
IF(AND(V207&gt;600000,V207&lt;=1200000),(V207-400000)*25%+1500+2250+26000+45000
+IFERROR(LOOKUP(V207,{600001;700001;800001;900001},{4000;6750;10250;15250}),0),IF(V207&gt;1200000,((V207-1200000)*27.5%)+300000,0)
)))))))</f>
        <v>0</v>
      </c>
      <c r="X207" s="12">
        <f t="shared" si="52"/>
        <v>0</v>
      </c>
      <c r="Y207" s="12">
        <f t="shared" si="53"/>
        <v>0</v>
      </c>
      <c r="Z207" s="11"/>
      <c r="AA207" s="13">
        <f t="shared" si="54"/>
        <v>0</v>
      </c>
      <c r="AB207" s="12">
        <f t="shared" si="55"/>
        <v>0</v>
      </c>
      <c r="AC207" s="14">
        <f t="shared" si="58"/>
        <v>0</v>
      </c>
      <c r="AE207" s="19">
        <f t="shared" si="56"/>
        <v>0</v>
      </c>
      <c r="AF207" s="19"/>
      <c r="AG207" s="17"/>
      <c r="AK207" s="7"/>
      <c r="AL207" s="108">
        <f t="shared" si="59"/>
        <v>0</v>
      </c>
      <c r="AM207" s="108">
        <f t="shared" si="60"/>
        <v>0</v>
      </c>
      <c r="AN207" s="113"/>
    </row>
    <row r="208" spans="2:40" x14ac:dyDescent="0.2">
      <c r="B208" s="7"/>
      <c r="C208" s="8"/>
      <c r="D208" s="8"/>
      <c r="E208" s="9"/>
      <c r="F208" s="6"/>
      <c r="G208" s="8"/>
      <c r="H208" s="32"/>
      <c r="I208" s="10" t="str">
        <f t="shared" si="57"/>
        <v>21</v>
      </c>
      <c r="J208" s="11">
        <v>1</v>
      </c>
      <c r="K208" s="11"/>
      <c r="L208" s="11"/>
      <c r="M208" s="11">
        <f t="shared" si="46"/>
        <v>0</v>
      </c>
      <c r="N208" s="11"/>
      <c r="O208" s="11">
        <f t="shared" si="47"/>
        <v>0</v>
      </c>
      <c r="P208" s="11"/>
      <c r="Q208" s="11"/>
      <c r="R208" s="11"/>
      <c r="S208" s="11">
        <f t="shared" si="48"/>
        <v>0</v>
      </c>
      <c r="T208" s="11">
        <f t="shared" si="49"/>
        <v>1666.6666666666667</v>
      </c>
      <c r="U208" s="11">
        <f t="shared" si="50"/>
        <v>0</v>
      </c>
      <c r="V208" s="24">
        <f t="shared" si="51"/>
        <v>0</v>
      </c>
      <c r="W208" s="11">
        <f>IF(V208&lt;=40000,0,
IF(V208&lt;=55000,(V208-40000)*10%,
IF(V208&lt;=70000,(V208-55000)*15%+1500,
IF(V208&lt;=200000,(V208-70000)*20%+1500+2250,
IF(V208&lt;=400000,(V208-200000)*22.5%+1500+2250+26000,
IF(V208&lt;=600000,(V208-400000)*25%+1500+2250+26000+45000,
IF(AND(V208&gt;600000,V208&lt;=1200000),(V208-400000)*25%+1500+2250+26000+45000
+IFERROR(LOOKUP(V208,{600001;700001;800001;900001},{4000;6750;10250;15250}),0),IF(V208&gt;1200000,((V208-1200000)*27.5%)+300000,0)
)))))))</f>
        <v>0</v>
      </c>
      <c r="X208" s="12">
        <f t="shared" si="52"/>
        <v>0</v>
      </c>
      <c r="Y208" s="12">
        <f t="shared" si="53"/>
        <v>0</v>
      </c>
      <c r="Z208" s="11"/>
      <c r="AA208" s="13">
        <f t="shared" si="54"/>
        <v>0</v>
      </c>
      <c r="AB208" s="12">
        <f t="shared" si="55"/>
        <v>0</v>
      </c>
      <c r="AC208" s="14">
        <f t="shared" si="58"/>
        <v>0</v>
      </c>
      <c r="AE208" s="19">
        <f t="shared" si="56"/>
        <v>0</v>
      </c>
      <c r="AF208" s="19"/>
      <c r="AG208" s="17"/>
      <c r="AK208" s="7"/>
      <c r="AL208" s="108">
        <f t="shared" si="59"/>
        <v>0</v>
      </c>
      <c r="AM208" s="108">
        <f t="shared" si="60"/>
        <v>0</v>
      </c>
      <c r="AN208" s="113"/>
    </row>
    <row r="209" spans="2:40" x14ac:dyDescent="0.2">
      <c r="B209" s="7"/>
      <c r="C209" s="8"/>
      <c r="D209" s="8"/>
      <c r="E209" s="9"/>
      <c r="F209" s="6"/>
      <c r="G209" s="8"/>
      <c r="H209" s="32"/>
      <c r="I209" s="10" t="str">
        <f t="shared" si="57"/>
        <v>21</v>
      </c>
      <c r="J209" s="11">
        <v>1</v>
      </c>
      <c r="K209" s="11"/>
      <c r="L209" s="11"/>
      <c r="M209" s="11">
        <f t="shared" si="46"/>
        <v>0</v>
      </c>
      <c r="N209" s="11"/>
      <c r="O209" s="11">
        <f t="shared" si="47"/>
        <v>0</v>
      </c>
      <c r="P209" s="11"/>
      <c r="Q209" s="11"/>
      <c r="R209" s="11"/>
      <c r="S209" s="11">
        <f t="shared" si="48"/>
        <v>0</v>
      </c>
      <c r="T209" s="11">
        <f t="shared" si="49"/>
        <v>1666.6666666666667</v>
      </c>
      <c r="U209" s="11">
        <f t="shared" si="50"/>
        <v>0</v>
      </c>
      <c r="V209" s="24">
        <f t="shared" si="51"/>
        <v>0</v>
      </c>
      <c r="W209" s="11">
        <f>IF(V209&lt;=40000,0,
IF(V209&lt;=55000,(V209-40000)*10%,
IF(V209&lt;=70000,(V209-55000)*15%+1500,
IF(V209&lt;=200000,(V209-70000)*20%+1500+2250,
IF(V209&lt;=400000,(V209-200000)*22.5%+1500+2250+26000,
IF(V209&lt;=600000,(V209-400000)*25%+1500+2250+26000+45000,
IF(AND(V209&gt;600000,V209&lt;=1200000),(V209-400000)*25%+1500+2250+26000+45000
+IFERROR(LOOKUP(V209,{600001;700001;800001;900001},{4000;6750;10250;15250}),0),IF(V209&gt;1200000,((V209-1200000)*27.5%)+300000,0)
)))))))</f>
        <v>0</v>
      </c>
      <c r="X209" s="12">
        <f t="shared" si="52"/>
        <v>0</v>
      </c>
      <c r="Y209" s="12">
        <f t="shared" si="53"/>
        <v>0</v>
      </c>
      <c r="Z209" s="11"/>
      <c r="AA209" s="13">
        <f t="shared" si="54"/>
        <v>0</v>
      </c>
      <c r="AB209" s="12">
        <f t="shared" si="55"/>
        <v>0</v>
      </c>
      <c r="AC209" s="14">
        <f t="shared" si="58"/>
        <v>0</v>
      </c>
      <c r="AE209" s="19">
        <f t="shared" si="56"/>
        <v>0</v>
      </c>
      <c r="AF209" s="19"/>
      <c r="AG209" s="17"/>
      <c r="AK209" s="7"/>
      <c r="AL209" s="108">
        <f t="shared" si="59"/>
        <v>0</v>
      </c>
      <c r="AM209" s="108">
        <f t="shared" si="60"/>
        <v>0</v>
      </c>
      <c r="AN209" s="113"/>
    </row>
    <row r="210" spans="2:40" x14ac:dyDescent="0.2">
      <c r="B210" s="7"/>
      <c r="C210" s="8"/>
      <c r="D210" s="8"/>
      <c r="E210" s="9"/>
      <c r="F210" s="6"/>
      <c r="G210" s="8"/>
      <c r="H210" s="32"/>
      <c r="I210" s="10" t="str">
        <f t="shared" si="57"/>
        <v>21</v>
      </c>
      <c r="J210" s="11">
        <v>1</v>
      </c>
      <c r="K210" s="11"/>
      <c r="L210" s="11"/>
      <c r="M210" s="11">
        <f t="shared" si="46"/>
        <v>0</v>
      </c>
      <c r="N210" s="11"/>
      <c r="O210" s="11">
        <f t="shared" si="47"/>
        <v>0</v>
      </c>
      <c r="P210" s="11"/>
      <c r="Q210" s="11"/>
      <c r="R210" s="11"/>
      <c r="S210" s="11">
        <f t="shared" si="48"/>
        <v>0</v>
      </c>
      <c r="T210" s="11">
        <f t="shared" si="49"/>
        <v>1666.6666666666667</v>
      </c>
      <c r="U210" s="11">
        <f t="shared" si="50"/>
        <v>0</v>
      </c>
      <c r="V210" s="24">
        <f t="shared" si="51"/>
        <v>0</v>
      </c>
      <c r="W210" s="11">
        <f>IF(V210&lt;=40000,0,
IF(V210&lt;=55000,(V210-40000)*10%,
IF(V210&lt;=70000,(V210-55000)*15%+1500,
IF(V210&lt;=200000,(V210-70000)*20%+1500+2250,
IF(V210&lt;=400000,(V210-200000)*22.5%+1500+2250+26000,
IF(V210&lt;=600000,(V210-400000)*25%+1500+2250+26000+45000,
IF(AND(V210&gt;600000,V210&lt;=1200000),(V210-400000)*25%+1500+2250+26000+45000
+IFERROR(LOOKUP(V210,{600001;700001;800001;900001},{4000;6750;10250;15250}),0),IF(V210&gt;1200000,((V210-1200000)*27.5%)+300000,0)
)))))))</f>
        <v>0</v>
      </c>
      <c r="X210" s="12">
        <f t="shared" si="52"/>
        <v>0</v>
      </c>
      <c r="Y210" s="12">
        <f t="shared" si="53"/>
        <v>0</v>
      </c>
      <c r="Z210" s="11"/>
      <c r="AA210" s="13">
        <f t="shared" si="54"/>
        <v>0</v>
      </c>
      <c r="AB210" s="12">
        <f t="shared" si="55"/>
        <v>0</v>
      </c>
      <c r="AC210" s="14">
        <f t="shared" si="58"/>
        <v>0</v>
      </c>
      <c r="AE210" s="19">
        <f t="shared" si="56"/>
        <v>0</v>
      </c>
      <c r="AF210" s="19"/>
      <c r="AG210" s="17"/>
      <c r="AK210" s="7"/>
      <c r="AL210" s="108">
        <f t="shared" si="59"/>
        <v>0</v>
      </c>
      <c r="AM210" s="108">
        <f t="shared" si="60"/>
        <v>0</v>
      </c>
      <c r="AN210" s="113"/>
    </row>
    <row r="211" spans="2:40" x14ac:dyDescent="0.2">
      <c r="B211" s="7"/>
      <c r="C211" s="8"/>
      <c r="D211" s="8"/>
      <c r="E211" s="9"/>
      <c r="F211" s="6"/>
      <c r="G211" s="8"/>
      <c r="H211" s="32"/>
      <c r="I211" s="10" t="str">
        <f t="shared" si="57"/>
        <v>21</v>
      </c>
      <c r="J211" s="11">
        <v>1</v>
      </c>
      <c r="K211" s="11"/>
      <c r="L211" s="11"/>
      <c r="M211" s="11">
        <f t="shared" si="46"/>
        <v>0</v>
      </c>
      <c r="N211" s="11"/>
      <c r="O211" s="11">
        <f t="shared" si="47"/>
        <v>0</v>
      </c>
      <c r="P211" s="11"/>
      <c r="Q211" s="11"/>
      <c r="R211" s="11"/>
      <c r="S211" s="11">
        <f t="shared" si="48"/>
        <v>0</v>
      </c>
      <c r="T211" s="11">
        <f t="shared" si="49"/>
        <v>1666.6666666666667</v>
      </c>
      <c r="U211" s="11">
        <f t="shared" si="50"/>
        <v>0</v>
      </c>
      <c r="V211" s="24">
        <f t="shared" si="51"/>
        <v>0</v>
      </c>
      <c r="W211" s="11">
        <f>IF(V211&lt;=40000,0,
IF(V211&lt;=55000,(V211-40000)*10%,
IF(V211&lt;=70000,(V211-55000)*15%+1500,
IF(V211&lt;=200000,(V211-70000)*20%+1500+2250,
IF(V211&lt;=400000,(V211-200000)*22.5%+1500+2250+26000,
IF(V211&lt;=600000,(V211-400000)*25%+1500+2250+26000+45000,
IF(AND(V211&gt;600000,V211&lt;=1200000),(V211-400000)*25%+1500+2250+26000+45000
+IFERROR(LOOKUP(V211,{600001;700001;800001;900001},{4000;6750;10250;15250}),0),IF(V211&gt;1200000,((V211-1200000)*27.5%)+300000,0)
)))))))</f>
        <v>0</v>
      </c>
      <c r="X211" s="12">
        <f t="shared" si="52"/>
        <v>0</v>
      </c>
      <c r="Y211" s="12">
        <f t="shared" si="53"/>
        <v>0</v>
      </c>
      <c r="Z211" s="11"/>
      <c r="AA211" s="13">
        <f t="shared" si="54"/>
        <v>0</v>
      </c>
      <c r="AB211" s="12">
        <f t="shared" si="55"/>
        <v>0</v>
      </c>
      <c r="AC211" s="14">
        <f t="shared" si="58"/>
        <v>0</v>
      </c>
      <c r="AE211" s="19">
        <f t="shared" si="56"/>
        <v>0</v>
      </c>
      <c r="AF211" s="19"/>
      <c r="AG211" s="17"/>
      <c r="AK211" s="7"/>
      <c r="AL211" s="108">
        <f t="shared" si="59"/>
        <v>0</v>
      </c>
      <c r="AM211" s="108">
        <f t="shared" si="60"/>
        <v>0</v>
      </c>
      <c r="AN211" s="113"/>
    </row>
    <row r="212" spans="2:40" x14ac:dyDescent="0.2">
      <c r="B212" s="7"/>
      <c r="C212" s="8"/>
      <c r="D212" s="8"/>
      <c r="E212" s="9"/>
      <c r="F212" s="6"/>
      <c r="G212" s="8"/>
      <c r="H212" s="32"/>
      <c r="I212" s="10" t="str">
        <f t="shared" si="57"/>
        <v>21</v>
      </c>
      <c r="J212" s="11">
        <v>1</v>
      </c>
      <c r="K212" s="11"/>
      <c r="L212" s="11"/>
      <c r="M212" s="11">
        <f t="shared" si="46"/>
        <v>0</v>
      </c>
      <c r="N212" s="11"/>
      <c r="O212" s="11">
        <f t="shared" si="47"/>
        <v>0</v>
      </c>
      <c r="P212" s="11"/>
      <c r="Q212" s="11"/>
      <c r="R212" s="11"/>
      <c r="S212" s="11">
        <f t="shared" si="48"/>
        <v>0</v>
      </c>
      <c r="T212" s="11">
        <f t="shared" si="49"/>
        <v>1666.6666666666667</v>
      </c>
      <c r="U212" s="11">
        <f t="shared" si="50"/>
        <v>0</v>
      </c>
      <c r="V212" s="24">
        <f t="shared" si="51"/>
        <v>0</v>
      </c>
      <c r="W212" s="11">
        <f>IF(V212&lt;=40000,0,
IF(V212&lt;=55000,(V212-40000)*10%,
IF(V212&lt;=70000,(V212-55000)*15%+1500,
IF(V212&lt;=200000,(V212-70000)*20%+1500+2250,
IF(V212&lt;=400000,(V212-200000)*22.5%+1500+2250+26000,
IF(V212&lt;=600000,(V212-400000)*25%+1500+2250+26000+45000,
IF(AND(V212&gt;600000,V212&lt;=1200000),(V212-400000)*25%+1500+2250+26000+45000
+IFERROR(LOOKUP(V212,{600001;700001;800001;900001},{4000;6750;10250;15250}),0),IF(V212&gt;1200000,((V212-1200000)*27.5%)+300000,0)
)))))))</f>
        <v>0</v>
      </c>
      <c r="X212" s="12">
        <f t="shared" si="52"/>
        <v>0</v>
      </c>
      <c r="Y212" s="12">
        <f t="shared" si="53"/>
        <v>0</v>
      </c>
      <c r="Z212" s="11"/>
      <c r="AA212" s="13">
        <f t="shared" si="54"/>
        <v>0</v>
      </c>
      <c r="AB212" s="12">
        <f t="shared" si="55"/>
        <v>0</v>
      </c>
      <c r="AC212" s="14">
        <f t="shared" si="58"/>
        <v>0</v>
      </c>
      <c r="AE212" s="19">
        <f t="shared" si="56"/>
        <v>0</v>
      </c>
      <c r="AF212" s="19"/>
      <c r="AG212" s="17"/>
      <c r="AK212" s="7"/>
      <c r="AL212" s="108">
        <f t="shared" si="59"/>
        <v>0</v>
      </c>
      <c r="AM212" s="108">
        <f t="shared" si="60"/>
        <v>0</v>
      </c>
      <c r="AN212" s="113"/>
    </row>
    <row r="213" spans="2:40" x14ac:dyDescent="0.2">
      <c r="B213" s="7"/>
      <c r="C213" s="8"/>
      <c r="D213" s="8"/>
      <c r="E213" s="9"/>
      <c r="F213" s="6"/>
      <c r="G213" s="8"/>
      <c r="H213" s="32"/>
      <c r="I213" s="10" t="str">
        <f t="shared" si="57"/>
        <v>21</v>
      </c>
      <c r="J213" s="11">
        <v>1</v>
      </c>
      <c r="K213" s="11"/>
      <c r="L213" s="11"/>
      <c r="M213" s="11">
        <f t="shared" si="46"/>
        <v>0</v>
      </c>
      <c r="N213" s="11"/>
      <c r="O213" s="11">
        <f t="shared" si="47"/>
        <v>0</v>
      </c>
      <c r="P213" s="11"/>
      <c r="Q213" s="11"/>
      <c r="R213" s="11"/>
      <c r="S213" s="11">
        <f t="shared" si="48"/>
        <v>0</v>
      </c>
      <c r="T213" s="11">
        <f t="shared" si="49"/>
        <v>1666.6666666666667</v>
      </c>
      <c r="U213" s="11">
        <f t="shared" si="50"/>
        <v>0</v>
      </c>
      <c r="V213" s="24">
        <f t="shared" si="51"/>
        <v>0</v>
      </c>
      <c r="W213" s="11">
        <f>IF(V213&lt;=40000,0,
IF(V213&lt;=55000,(V213-40000)*10%,
IF(V213&lt;=70000,(V213-55000)*15%+1500,
IF(V213&lt;=200000,(V213-70000)*20%+1500+2250,
IF(V213&lt;=400000,(V213-200000)*22.5%+1500+2250+26000,
IF(V213&lt;=600000,(V213-400000)*25%+1500+2250+26000+45000,
IF(AND(V213&gt;600000,V213&lt;=1200000),(V213-400000)*25%+1500+2250+26000+45000
+IFERROR(LOOKUP(V213,{600001;700001;800001;900001},{4000;6750;10250;15250}),0),IF(V213&gt;1200000,((V213-1200000)*27.5%)+300000,0)
)))))))</f>
        <v>0</v>
      </c>
      <c r="X213" s="12">
        <f t="shared" si="52"/>
        <v>0</v>
      </c>
      <c r="Y213" s="12">
        <f t="shared" si="53"/>
        <v>0</v>
      </c>
      <c r="Z213" s="11"/>
      <c r="AA213" s="13">
        <f t="shared" si="54"/>
        <v>0</v>
      </c>
      <c r="AB213" s="12">
        <f t="shared" si="55"/>
        <v>0</v>
      </c>
      <c r="AC213" s="14">
        <f t="shared" si="58"/>
        <v>0</v>
      </c>
      <c r="AE213" s="19">
        <f t="shared" si="56"/>
        <v>0</v>
      </c>
      <c r="AF213" s="19"/>
      <c r="AG213" s="17"/>
      <c r="AK213" s="7"/>
      <c r="AL213" s="108">
        <f t="shared" si="59"/>
        <v>0</v>
      </c>
      <c r="AM213" s="108">
        <f t="shared" si="60"/>
        <v>0</v>
      </c>
      <c r="AN213" s="113"/>
    </row>
    <row r="214" spans="2:40" x14ac:dyDescent="0.2">
      <c r="B214" s="7"/>
      <c r="C214" s="8"/>
      <c r="D214" s="8"/>
      <c r="E214" s="9"/>
      <c r="F214" s="6"/>
      <c r="G214" s="8"/>
      <c r="H214" s="32"/>
      <c r="I214" s="10" t="str">
        <f t="shared" si="57"/>
        <v>21</v>
      </c>
      <c r="J214" s="11">
        <v>1</v>
      </c>
      <c r="K214" s="11"/>
      <c r="L214" s="11"/>
      <c r="M214" s="11">
        <f t="shared" si="46"/>
        <v>0</v>
      </c>
      <c r="N214" s="11"/>
      <c r="O214" s="11">
        <f t="shared" si="47"/>
        <v>0</v>
      </c>
      <c r="P214" s="11"/>
      <c r="Q214" s="11"/>
      <c r="R214" s="11"/>
      <c r="S214" s="11">
        <f t="shared" si="48"/>
        <v>0</v>
      </c>
      <c r="T214" s="11">
        <f t="shared" si="49"/>
        <v>1666.6666666666667</v>
      </c>
      <c r="U214" s="11">
        <f t="shared" si="50"/>
        <v>0</v>
      </c>
      <c r="V214" s="24">
        <f t="shared" si="51"/>
        <v>0</v>
      </c>
      <c r="W214" s="11">
        <f>IF(V214&lt;=40000,0,
IF(V214&lt;=55000,(V214-40000)*10%,
IF(V214&lt;=70000,(V214-55000)*15%+1500,
IF(V214&lt;=200000,(V214-70000)*20%+1500+2250,
IF(V214&lt;=400000,(V214-200000)*22.5%+1500+2250+26000,
IF(V214&lt;=600000,(V214-400000)*25%+1500+2250+26000+45000,
IF(AND(V214&gt;600000,V214&lt;=1200000),(V214-400000)*25%+1500+2250+26000+45000
+IFERROR(LOOKUP(V214,{600001;700001;800001;900001},{4000;6750;10250;15250}),0),IF(V214&gt;1200000,((V214-1200000)*27.5%)+300000,0)
)))))))</f>
        <v>0</v>
      </c>
      <c r="X214" s="12">
        <f t="shared" si="52"/>
        <v>0</v>
      </c>
      <c r="Y214" s="12">
        <f t="shared" si="53"/>
        <v>0</v>
      </c>
      <c r="Z214" s="11"/>
      <c r="AA214" s="13">
        <f t="shared" si="54"/>
        <v>0</v>
      </c>
      <c r="AB214" s="12">
        <f t="shared" si="55"/>
        <v>0</v>
      </c>
      <c r="AC214" s="14">
        <f t="shared" si="58"/>
        <v>0</v>
      </c>
      <c r="AE214" s="19">
        <f t="shared" si="56"/>
        <v>0</v>
      </c>
      <c r="AF214" s="19"/>
      <c r="AG214" s="17"/>
      <c r="AK214" s="7"/>
      <c r="AL214" s="108">
        <f t="shared" si="59"/>
        <v>0</v>
      </c>
      <c r="AM214" s="108">
        <f t="shared" si="60"/>
        <v>0</v>
      </c>
      <c r="AN214" s="113"/>
    </row>
    <row r="215" spans="2:40" x14ac:dyDescent="0.2">
      <c r="B215" s="7"/>
      <c r="C215" s="8"/>
      <c r="D215" s="8"/>
      <c r="E215" s="9"/>
      <c r="F215" s="6"/>
      <c r="G215" s="8"/>
      <c r="H215" s="32"/>
      <c r="I215" s="10" t="str">
        <f t="shared" si="57"/>
        <v>21</v>
      </c>
      <c r="J215" s="11">
        <v>1</v>
      </c>
      <c r="K215" s="11"/>
      <c r="L215" s="11"/>
      <c r="M215" s="11">
        <f t="shared" si="46"/>
        <v>0</v>
      </c>
      <c r="N215" s="11"/>
      <c r="O215" s="11">
        <f t="shared" si="47"/>
        <v>0</v>
      </c>
      <c r="P215" s="11"/>
      <c r="Q215" s="11"/>
      <c r="R215" s="11"/>
      <c r="S215" s="11">
        <f t="shared" si="48"/>
        <v>0</v>
      </c>
      <c r="T215" s="11">
        <f t="shared" si="49"/>
        <v>1666.6666666666667</v>
      </c>
      <c r="U215" s="11">
        <f t="shared" si="50"/>
        <v>0</v>
      </c>
      <c r="V215" s="24">
        <f t="shared" si="51"/>
        <v>0</v>
      </c>
      <c r="W215" s="11">
        <f>IF(V215&lt;=40000,0,
IF(V215&lt;=55000,(V215-40000)*10%,
IF(V215&lt;=70000,(V215-55000)*15%+1500,
IF(V215&lt;=200000,(V215-70000)*20%+1500+2250,
IF(V215&lt;=400000,(V215-200000)*22.5%+1500+2250+26000,
IF(V215&lt;=600000,(V215-400000)*25%+1500+2250+26000+45000,
IF(AND(V215&gt;600000,V215&lt;=1200000),(V215-400000)*25%+1500+2250+26000+45000
+IFERROR(LOOKUP(V215,{600001;700001;800001;900001},{4000;6750;10250;15250}),0),IF(V215&gt;1200000,((V215-1200000)*27.5%)+300000,0)
)))))))</f>
        <v>0</v>
      </c>
      <c r="X215" s="12">
        <f t="shared" si="52"/>
        <v>0</v>
      </c>
      <c r="Y215" s="12">
        <f t="shared" si="53"/>
        <v>0</v>
      </c>
      <c r="Z215" s="11"/>
      <c r="AA215" s="13">
        <f t="shared" si="54"/>
        <v>0</v>
      </c>
      <c r="AB215" s="12">
        <f t="shared" si="55"/>
        <v>0</v>
      </c>
      <c r="AC215" s="14">
        <f t="shared" si="58"/>
        <v>0</v>
      </c>
      <c r="AE215" s="19">
        <f t="shared" si="56"/>
        <v>0</v>
      </c>
      <c r="AF215" s="19"/>
      <c r="AG215" s="17"/>
      <c r="AK215" s="7"/>
      <c r="AL215" s="108">
        <f t="shared" si="59"/>
        <v>0</v>
      </c>
      <c r="AM215" s="108">
        <f t="shared" si="60"/>
        <v>0</v>
      </c>
      <c r="AN215" s="113"/>
    </row>
    <row r="216" spans="2:40" x14ac:dyDescent="0.2">
      <c r="B216" s="7"/>
      <c r="C216" s="8"/>
      <c r="D216" s="8"/>
      <c r="E216" s="9"/>
      <c r="F216" s="6"/>
      <c r="G216" s="8"/>
      <c r="H216" s="32"/>
      <c r="I216" s="10" t="str">
        <f t="shared" si="57"/>
        <v>21</v>
      </c>
      <c r="J216" s="11">
        <v>1</v>
      </c>
      <c r="K216" s="11"/>
      <c r="L216" s="11"/>
      <c r="M216" s="11">
        <f t="shared" si="46"/>
        <v>0</v>
      </c>
      <c r="N216" s="11"/>
      <c r="O216" s="11">
        <f t="shared" si="47"/>
        <v>0</v>
      </c>
      <c r="P216" s="11"/>
      <c r="Q216" s="11"/>
      <c r="R216" s="11"/>
      <c r="S216" s="11">
        <f t="shared" si="48"/>
        <v>0</v>
      </c>
      <c r="T216" s="11">
        <f t="shared" si="49"/>
        <v>1666.6666666666667</v>
      </c>
      <c r="U216" s="11">
        <f t="shared" si="50"/>
        <v>0</v>
      </c>
      <c r="V216" s="24">
        <f t="shared" si="51"/>
        <v>0</v>
      </c>
      <c r="W216" s="11">
        <f>IF(V216&lt;=40000,0,
IF(V216&lt;=55000,(V216-40000)*10%,
IF(V216&lt;=70000,(V216-55000)*15%+1500,
IF(V216&lt;=200000,(V216-70000)*20%+1500+2250,
IF(V216&lt;=400000,(V216-200000)*22.5%+1500+2250+26000,
IF(V216&lt;=600000,(V216-400000)*25%+1500+2250+26000+45000,
IF(AND(V216&gt;600000,V216&lt;=1200000),(V216-400000)*25%+1500+2250+26000+45000
+IFERROR(LOOKUP(V216,{600001;700001;800001;900001},{4000;6750;10250;15250}),0),IF(V216&gt;1200000,((V216-1200000)*27.5%)+300000,0)
)))))))</f>
        <v>0</v>
      </c>
      <c r="X216" s="12">
        <f t="shared" si="52"/>
        <v>0</v>
      </c>
      <c r="Y216" s="12">
        <f t="shared" si="53"/>
        <v>0</v>
      </c>
      <c r="Z216" s="11"/>
      <c r="AA216" s="13">
        <f t="shared" si="54"/>
        <v>0</v>
      </c>
      <c r="AB216" s="12">
        <f t="shared" si="55"/>
        <v>0</v>
      </c>
      <c r="AC216" s="14">
        <f t="shared" si="58"/>
        <v>0</v>
      </c>
      <c r="AE216" s="19">
        <f t="shared" si="56"/>
        <v>0</v>
      </c>
      <c r="AF216" s="19"/>
      <c r="AG216" s="17"/>
      <c r="AK216" s="7"/>
      <c r="AL216" s="108">
        <f t="shared" si="59"/>
        <v>0</v>
      </c>
      <c r="AM216" s="108">
        <f t="shared" si="60"/>
        <v>0</v>
      </c>
      <c r="AN216" s="113"/>
    </row>
    <row r="217" spans="2:40" x14ac:dyDescent="0.2">
      <c r="B217" s="7"/>
      <c r="C217" s="8"/>
      <c r="D217" s="8"/>
      <c r="E217" s="9"/>
      <c r="F217" s="6"/>
      <c r="G217" s="8"/>
      <c r="H217" s="32"/>
      <c r="I217" s="10" t="str">
        <f t="shared" si="57"/>
        <v>21</v>
      </c>
      <c r="J217" s="11">
        <v>1</v>
      </c>
      <c r="K217" s="11"/>
      <c r="L217" s="11"/>
      <c r="M217" s="11">
        <f t="shared" si="46"/>
        <v>0</v>
      </c>
      <c r="N217" s="11"/>
      <c r="O217" s="11">
        <f t="shared" si="47"/>
        <v>0</v>
      </c>
      <c r="P217" s="11"/>
      <c r="Q217" s="11"/>
      <c r="R217" s="11"/>
      <c r="S217" s="11">
        <f t="shared" si="48"/>
        <v>0</v>
      </c>
      <c r="T217" s="11">
        <f t="shared" si="49"/>
        <v>1666.6666666666667</v>
      </c>
      <c r="U217" s="11">
        <f t="shared" si="50"/>
        <v>0</v>
      </c>
      <c r="V217" s="24">
        <f t="shared" si="51"/>
        <v>0</v>
      </c>
      <c r="W217" s="11">
        <f>IF(V217&lt;=40000,0,
IF(V217&lt;=55000,(V217-40000)*10%,
IF(V217&lt;=70000,(V217-55000)*15%+1500,
IF(V217&lt;=200000,(V217-70000)*20%+1500+2250,
IF(V217&lt;=400000,(V217-200000)*22.5%+1500+2250+26000,
IF(V217&lt;=600000,(V217-400000)*25%+1500+2250+26000+45000,
IF(AND(V217&gt;600000,V217&lt;=1200000),(V217-400000)*25%+1500+2250+26000+45000
+IFERROR(LOOKUP(V217,{600001;700001;800001;900001},{4000;6750;10250;15250}),0),IF(V217&gt;1200000,((V217-1200000)*27.5%)+300000,0)
)))))))</f>
        <v>0</v>
      </c>
      <c r="X217" s="12">
        <f t="shared" si="52"/>
        <v>0</v>
      </c>
      <c r="Y217" s="12">
        <f t="shared" si="53"/>
        <v>0</v>
      </c>
      <c r="Z217" s="11"/>
      <c r="AA217" s="13">
        <f t="shared" si="54"/>
        <v>0</v>
      </c>
      <c r="AB217" s="12">
        <f t="shared" si="55"/>
        <v>0</v>
      </c>
      <c r="AC217" s="14">
        <f t="shared" si="58"/>
        <v>0</v>
      </c>
      <c r="AE217" s="19">
        <f t="shared" si="56"/>
        <v>0</v>
      </c>
      <c r="AF217" s="19"/>
      <c r="AG217" s="17"/>
      <c r="AK217" s="7"/>
      <c r="AL217" s="108">
        <f t="shared" si="59"/>
        <v>0</v>
      </c>
      <c r="AM217" s="108">
        <f t="shared" si="60"/>
        <v>0</v>
      </c>
      <c r="AN217" s="113"/>
    </row>
    <row r="218" spans="2:40" x14ac:dyDescent="0.2">
      <c r="B218" s="7"/>
      <c r="C218" s="8"/>
      <c r="D218" s="8"/>
      <c r="E218" s="9"/>
      <c r="F218" s="6"/>
      <c r="G218" s="8"/>
      <c r="H218" s="32"/>
      <c r="I218" s="10" t="str">
        <f t="shared" si="57"/>
        <v>21</v>
      </c>
      <c r="J218" s="11">
        <v>1</v>
      </c>
      <c r="K218" s="11"/>
      <c r="L218" s="11"/>
      <c r="M218" s="11">
        <f t="shared" si="46"/>
        <v>0</v>
      </c>
      <c r="N218" s="11"/>
      <c r="O218" s="11">
        <f t="shared" si="47"/>
        <v>0</v>
      </c>
      <c r="P218" s="11"/>
      <c r="Q218" s="11"/>
      <c r="R218" s="11"/>
      <c r="S218" s="11">
        <f t="shared" si="48"/>
        <v>0</v>
      </c>
      <c r="T218" s="11">
        <f t="shared" si="49"/>
        <v>1666.6666666666667</v>
      </c>
      <c r="U218" s="11">
        <f t="shared" si="50"/>
        <v>0</v>
      </c>
      <c r="V218" s="24">
        <f t="shared" si="51"/>
        <v>0</v>
      </c>
      <c r="W218" s="11">
        <f>IF(V218&lt;=40000,0,
IF(V218&lt;=55000,(V218-40000)*10%,
IF(V218&lt;=70000,(V218-55000)*15%+1500,
IF(V218&lt;=200000,(V218-70000)*20%+1500+2250,
IF(V218&lt;=400000,(V218-200000)*22.5%+1500+2250+26000,
IF(V218&lt;=600000,(V218-400000)*25%+1500+2250+26000+45000,
IF(AND(V218&gt;600000,V218&lt;=1200000),(V218-400000)*25%+1500+2250+26000+45000
+IFERROR(LOOKUP(V218,{600001;700001;800001;900001},{4000;6750;10250;15250}),0),IF(V218&gt;1200000,((V218-1200000)*27.5%)+300000,0)
)))))))</f>
        <v>0</v>
      </c>
      <c r="X218" s="12">
        <f t="shared" si="52"/>
        <v>0</v>
      </c>
      <c r="Y218" s="12">
        <f t="shared" si="53"/>
        <v>0</v>
      </c>
      <c r="Z218" s="11"/>
      <c r="AA218" s="13">
        <f t="shared" si="54"/>
        <v>0</v>
      </c>
      <c r="AB218" s="12">
        <f t="shared" si="55"/>
        <v>0</v>
      </c>
      <c r="AC218" s="14">
        <f t="shared" si="58"/>
        <v>0</v>
      </c>
      <c r="AE218" s="19">
        <f t="shared" si="56"/>
        <v>0</v>
      </c>
      <c r="AF218" s="19"/>
      <c r="AG218" s="17"/>
      <c r="AK218" s="7"/>
      <c r="AL218" s="108">
        <f t="shared" si="59"/>
        <v>0</v>
      </c>
      <c r="AM218" s="108">
        <f t="shared" si="60"/>
        <v>0</v>
      </c>
      <c r="AN218" s="113"/>
    </row>
    <row r="219" spans="2:40" x14ac:dyDescent="0.2">
      <c r="B219" s="7"/>
      <c r="C219" s="8"/>
      <c r="D219" s="8"/>
      <c r="E219" s="9"/>
      <c r="F219" s="6"/>
      <c r="G219" s="8"/>
      <c r="H219" s="32"/>
      <c r="I219" s="10" t="str">
        <f t="shared" si="57"/>
        <v>21</v>
      </c>
      <c r="J219" s="11">
        <v>1</v>
      </c>
      <c r="K219" s="11"/>
      <c r="L219" s="11"/>
      <c r="M219" s="11">
        <f t="shared" si="46"/>
        <v>0</v>
      </c>
      <c r="N219" s="11"/>
      <c r="O219" s="11">
        <f t="shared" si="47"/>
        <v>0</v>
      </c>
      <c r="P219" s="11"/>
      <c r="Q219" s="11"/>
      <c r="R219" s="11"/>
      <c r="S219" s="11">
        <f t="shared" si="48"/>
        <v>0</v>
      </c>
      <c r="T219" s="11">
        <f t="shared" si="49"/>
        <v>1666.6666666666667</v>
      </c>
      <c r="U219" s="11">
        <f t="shared" si="50"/>
        <v>0</v>
      </c>
      <c r="V219" s="24">
        <f t="shared" si="51"/>
        <v>0</v>
      </c>
      <c r="W219" s="11">
        <f>IF(V219&lt;=40000,0,
IF(V219&lt;=55000,(V219-40000)*10%,
IF(V219&lt;=70000,(V219-55000)*15%+1500,
IF(V219&lt;=200000,(V219-70000)*20%+1500+2250,
IF(V219&lt;=400000,(V219-200000)*22.5%+1500+2250+26000,
IF(V219&lt;=600000,(V219-400000)*25%+1500+2250+26000+45000,
IF(AND(V219&gt;600000,V219&lt;=1200000),(V219-400000)*25%+1500+2250+26000+45000
+IFERROR(LOOKUP(V219,{600001;700001;800001;900001},{4000;6750;10250;15250}),0),IF(V219&gt;1200000,((V219-1200000)*27.5%)+300000,0)
)))))))</f>
        <v>0</v>
      </c>
      <c r="X219" s="12">
        <f t="shared" si="52"/>
        <v>0</v>
      </c>
      <c r="Y219" s="12">
        <f t="shared" si="53"/>
        <v>0</v>
      </c>
      <c r="Z219" s="11"/>
      <c r="AA219" s="13">
        <f t="shared" si="54"/>
        <v>0</v>
      </c>
      <c r="AB219" s="12">
        <f t="shared" si="55"/>
        <v>0</v>
      </c>
      <c r="AC219" s="14">
        <f t="shared" si="58"/>
        <v>0</v>
      </c>
      <c r="AE219" s="19">
        <f t="shared" si="56"/>
        <v>0</v>
      </c>
      <c r="AF219" s="19"/>
      <c r="AG219" s="17"/>
      <c r="AK219" s="7"/>
      <c r="AL219" s="108">
        <f t="shared" si="59"/>
        <v>0</v>
      </c>
      <c r="AM219" s="108">
        <f t="shared" si="60"/>
        <v>0</v>
      </c>
      <c r="AN219" s="113"/>
    </row>
    <row r="220" spans="2:40" x14ac:dyDescent="0.2">
      <c r="B220" s="7"/>
      <c r="C220" s="8"/>
      <c r="D220" s="8"/>
      <c r="E220" s="9"/>
      <c r="F220" s="6"/>
      <c r="G220" s="8"/>
      <c r="H220" s="32"/>
      <c r="I220" s="10" t="str">
        <f t="shared" si="57"/>
        <v>21</v>
      </c>
      <c r="J220" s="11">
        <v>1</v>
      </c>
      <c r="K220" s="11"/>
      <c r="L220" s="11"/>
      <c r="M220" s="11">
        <f t="shared" si="46"/>
        <v>0</v>
      </c>
      <c r="N220" s="11"/>
      <c r="O220" s="11">
        <f t="shared" si="47"/>
        <v>0</v>
      </c>
      <c r="P220" s="11"/>
      <c r="Q220" s="11"/>
      <c r="R220" s="11"/>
      <c r="S220" s="11">
        <f t="shared" si="48"/>
        <v>0</v>
      </c>
      <c r="T220" s="11">
        <f t="shared" si="49"/>
        <v>1666.6666666666667</v>
      </c>
      <c r="U220" s="11">
        <f t="shared" si="50"/>
        <v>0</v>
      </c>
      <c r="V220" s="24">
        <f t="shared" si="51"/>
        <v>0</v>
      </c>
      <c r="W220" s="11">
        <f>IF(V220&lt;=40000,0,
IF(V220&lt;=55000,(V220-40000)*10%,
IF(V220&lt;=70000,(V220-55000)*15%+1500,
IF(V220&lt;=200000,(V220-70000)*20%+1500+2250,
IF(V220&lt;=400000,(V220-200000)*22.5%+1500+2250+26000,
IF(V220&lt;=600000,(V220-400000)*25%+1500+2250+26000+45000,
IF(AND(V220&gt;600000,V220&lt;=1200000),(V220-400000)*25%+1500+2250+26000+45000
+IFERROR(LOOKUP(V220,{600001;700001;800001;900001},{4000;6750;10250;15250}),0),IF(V220&gt;1200000,((V220-1200000)*27.5%)+300000,0)
)))))))</f>
        <v>0</v>
      </c>
      <c r="X220" s="12">
        <f t="shared" si="52"/>
        <v>0</v>
      </c>
      <c r="Y220" s="12">
        <f t="shared" si="53"/>
        <v>0</v>
      </c>
      <c r="Z220" s="11"/>
      <c r="AA220" s="13">
        <f t="shared" si="54"/>
        <v>0</v>
      </c>
      <c r="AB220" s="12">
        <f t="shared" si="55"/>
        <v>0</v>
      </c>
      <c r="AC220" s="14">
        <f t="shared" si="58"/>
        <v>0</v>
      </c>
      <c r="AE220" s="19">
        <f t="shared" si="56"/>
        <v>0</v>
      </c>
      <c r="AF220" s="19"/>
      <c r="AG220" s="17"/>
      <c r="AK220" s="7"/>
      <c r="AL220" s="108">
        <f t="shared" si="59"/>
        <v>0</v>
      </c>
      <c r="AM220" s="108">
        <f t="shared" si="60"/>
        <v>0</v>
      </c>
      <c r="AN220" s="113"/>
    </row>
    <row r="221" spans="2:40" x14ac:dyDescent="0.2">
      <c r="B221" s="7"/>
      <c r="C221" s="8"/>
      <c r="D221" s="8"/>
      <c r="E221" s="9"/>
      <c r="F221" s="6"/>
      <c r="G221" s="8"/>
      <c r="H221" s="32"/>
      <c r="I221" s="10" t="str">
        <f t="shared" si="57"/>
        <v>21</v>
      </c>
      <c r="J221" s="11">
        <v>1</v>
      </c>
      <c r="K221" s="11"/>
      <c r="L221" s="11"/>
      <c r="M221" s="11">
        <f t="shared" ref="M221:M284" si="61">SUM(K221:L221)</f>
        <v>0</v>
      </c>
      <c r="N221" s="11"/>
      <c r="O221" s="11">
        <f t="shared" ref="O221:O284" si="62">+N221+M221</f>
        <v>0</v>
      </c>
      <c r="P221" s="11"/>
      <c r="Q221" s="11"/>
      <c r="R221" s="11"/>
      <c r="S221" s="11">
        <f t="shared" ref="S221:S284" si="63">O221-P221-Q221-R221</f>
        <v>0</v>
      </c>
      <c r="T221" s="11">
        <f t="shared" ref="T221:T284" si="64">IF(J221&gt;0,(20000/12*J221),0)</f>
        <v>1666.6666666666667</v>
      </c>
      <c r="U221" s="11">
        <f t="shared" ref="U221:U284" si="65">IF(AND(J221&gt;0,S221-T221&gt;0),S221-T221,0)</f>
        <v>0</v>
      </c>
      <c r="V221" s="24">
        <f t="shared" ref="V221:V284" si="66">IF(J221=0,0,(U221/J221*12))</f>
        <v>0</v>
      </c>
      <c r="W221" s="11">
        <f>IF(V221&lt;=40000,0,
IF(V221&lt;=55000,(V221-40000)*10%,
IF(V221&lt;=70000,(V221-55000)*15%+1500,
IF(V221&lt;=200000,(V221-70000)*20%+1500+2250,
IF(V221&lt;=400000,(V221-200000)*22.5%+1500+2250+26000,
IF(V221&lt;=600000,(V221-400000)*25%+1500+2250+26000+45000,
IF(AND(V221&gt;600000,V221&lt;=1200000),(V221-400000)*25%+1500+2250+26000+45000
+IFERROR(LOOKUP(V221,{600001;700001;800001;900001},{4000;6750;10250;15250}),0),IF(V221&gt;1200000,((V221-1200000)*27.5%)+300000,0)
)))))))</f>
        <v>0</v>
      </c>
      <c r="X221" s="12">
        <f t="shared" ref="X221:X284" si="67">N221*0.1</f>
        <v>0</v>
      </c>
      <c r="Y221" s="12">
        <f t="shared" ref="Y221:Y284" si="68">(W221/12*J221)-X221</f>
        <v>0</v>
      </c>
      <c r="Z221" s="11"/>
      <c r="AA221" s="13">
        <f t="shared" ref="AA221:AA284" si="69">+O221-P221-Y221-Z221</f>
        <v>0</v>
      </c>
      <c r="AB221" s="12">
        <f t="shared" ref="AB221:AB284" si="70">(P221/0.11)*18.75%</f>
        <v>0</v>
      </c>
      <c r="AC221" s="14">
        <f t="shared" si="58"/>
        <v>0</v>
      </c>
      <c r="AE221" s="19">
        <f t="shared" ref="AE221:AE284" si="71">+AD221-AC221</f>
        <v>0</v>
      </c>
      <c r="AF221" s="19"/>
      <c r="AG221" s="17"/>
      <c r="AK221" s="7"/>
      <c r="AL221" s="108">
        <f t="shared" si="59"/>
        <v>0</v>
      </c>
      <c r="AM221" s="108">
        <f t="shared" si="60"/>
        <v>0</v>
      </c>
      <c r="AN221" s="113"/>
    </row>
    <row r="222" spans="2:40" x14ac:dyDescent="0.2">
      <c r="B222" s="7"/>
      <c r="C222" s="8"/>
      <c r="D222" s="8"/>
      <c r="E222" s="9"/>
      <c r="F222" s="6"/>
      <c r="G222" s="8"/>
      <c r="H222" s="32"/>
      <c r="I222" s="10" t="str">
        <f t="shared" si="57"/>
        <v>21</v>
      </c>
      <c r="J222" s="11">
        <v>1</v>
      </c>
      <c r="K222" s="11"/>
      <c r="L222" s="11"/>
      <c r="M222" s="11">
        <f t="shared" si="61"/>
        <v>0</v>
      </c>
      <c r="N222" s="11"/>
      <c r="O222" s="11">
        <f t="shared" si="62"/>
        <v>0</v>
      </c>
      <c r="P222" s="11"/>
      <c r="Q222" s="11"/>
      <c r="R222" s="11"/>
      <c r="S222" s="11">
        <f t="shared" si="63"/>
        <v>0</v>
      </c>
      <c r="T222" s="11">
        <f t="shared" si="64"/>
        <v>1666.6666666666667</v>
      </c>
      <c r="U222" s="11">
        <f t="shared" si="65"/>
        <v>0</v>
      </c>
      <c r="V222" s="24">
        <f t="shared" si="66"/>
        <v>0</v>
      </c>
      <c r="W222" s="11">
        <f>IF(V222&lt;=40000,0,
IF(V222&lt;=55000,(V222-40000)*10%,
IF(V222&lt;=70000,(V222-55000)*15%+1500,
IF(V222&lt;=200000,(V222-70000)*20%+1500+2250,
IF(V222&lt;=400000,(V222-200000)*22.5%+1500+2250+26000,
IF(V222&lt;=600000,(V222-400000)*25%+1500+2250+26000+45000,
IF(AND(V222&gt;600000,V222&lt;=1200000),(V222-400000)*25%+1500+2250+26000+45000
+IFERROR(LOOKUP(V222,{600001;700001;800001;900001},{4000;6750;10250;15250}),0),IF(V222&gt;1200000,((V222-1200000)*27.5%)+300000,0)
)))))))</f>
        <v>0</v>
      </c>
      <c r="X222" s="12">
        <f t="shared" si="67"/>
        <v>0</v>
      </c>
      <c r="Y222" s="12">
        <f t="shared" si="68"/>
        <v>0</v>
      </c>
      <c r="Z222" s="11"/>
      <c r="AA222" s="13">
        <f t="shared" si="69"/>
        <v>0</v>
      </c>
      <c r="AB222" s="12">
        <f t="shared" si="70"/>
        <v>0</v>
      </c>
      <c r="AC222" s="14">
        <f t="shared" si="58"/>
        <v>0</v>
      </c>
      <c r="AE222" s="19">
        <f t="shared" si="71"/>
        <v>0</v>
      </c>
      <c r="AF222" s="19"/>
      <c r="AG222" s="17"/>
      <c r="AK222" s="7"/>
      <c r="AL222" s="108">
        <f t="shared" si="59"/>
        <v>0</v>
      </c>
      <c r="AM222" s="108">
        <f t="shared" si="60"/>
        <v>0</v>
      </c>
      <c r="AN222" s="113"/>
    </row>
    <row r="223" spans="2:40" x14ac:dyDescent="0.2">
      <c r="B223" s="7"/>
      <c r="C223" s="8"/>
      <c r="D223" s="8"/>
      <c r="E223" s="9"/>
      <c r="F223" s="6"/>
      <c r="G223" s="8"/>
      <c r="H223" s="32"/>
      <c r="I223" s="10" t="str">
        <f t="shared" si="57"/>
        <v>21</v>
      </c>
      <c r="J223" s="11">
        <v>1</v>
      </c>
      <c r="K223" s="11"/>
      <c r="L223" s="11"/>
      <c r="M223" s="11">
        <f t="shared" si="61"/>
        <v>0</v>
      </c>
      <c r="N223" s="11"/>
      <c r="O223" s="11">
        <f t="shared" si="62"/>
        <v>0</v>
      </c>
      <c r="P223" s="11"/>
      <c r="Q223" s="11"/>
      <c r="R223" s="11"/>
      <c r="S223" s="11">
        <f t="shared" si="63"/>
        <v>0</v>
      </c>
      <c r="T223" s="11">
        <f t="shared" si="64"/>
        <v>1666.6666666666667</v>
      </c>
      <c r="U223" s="11">
        <f t="shared" si="65"/>
        <v>0</v>
      </c>
      <c r="V223" s="24">
        <f t="shared" si="66"/>
        <v>0</v>
      </c>
      <c r="W223" s="11">
        <f>IF(V223&lt;=40000,0,
IF(V223&lt;=55000,(V223-40000)*10%,
IF(V223&lt;=70000,(V223-55000)*15%+1500,
IF(V223&lt;=200000,(V223-70000)*20%+1500+2250,
IF(V223&lt;=400000,(V223-200000)*22.5%+1500+2250+26000,
IF(V223&lt;=600000,(V223-400000)*25%+1500+2250+26000+45000,
IF(AND(V223&gt;600000,V223&lt;=1200000),(V223-400000)*25%+1500+2250+26000+45000
+IFERROR(LOOKUP(V223,{600001;700001;800001;900001},{4000;6750;10250;15250}),0),IF(V223&gt;1200000,((V223-1200000)*27.5%)+300000,0)
)))))))</f>
        <v>0</v>
      </c>
      <c r="X223" s="12">
        <f t="shared" si="67"/>
        <v>0</v>
      </c>
      <c r="Y223" s="12">
        <f t="shared" si="68"/>
        <v>0</v>
      </c>
      <c r="Z223" s="11"/>
      <c r="AA223" s="13">
        <f t="shared" si="69"/>
        <v>0</v>
      </c>
      <c r="AB223" s="12">
        <f t="shared" si="70"/>
        <v>0</v>
      </c>
      <c r="AC223" s="14">
        <f t="shared" si="58"/>
        <v>0</v>
      </c>
      <c r="AE223" s="19">
        <f t="shared" si="71"/>
        <v>0</v>
      </c>
      <c r="AF223" s="19"/>
      <c r="AG223" s="17"/>
      <c r="AK223" s="7"/>
      <c r="AL223" s="108">
        <f t="shared" si="59"/>
        <v>0</v>
      </c>
      <c r="AM223" s="108">
        <f t="shared" si="60"/>
        <v>0</v>
      </c>
      <c r="AN223" s="113"/>
    </row>
    <row r="224" spans="2:40" x14ac:dyDescent="0.2">
      <c r="B224" s="7"/>
      <c r="C224" s="8"/>
      <c r="D224" s="8"/>
      <c r="E224" s="9"/>
      <c r="F224" s="6"/>
      <c r="G224" s="8"/>
      <c r="H224" s="32"/>
      <c r="I224" s="10" t="str">
        <f t="shared" si="57"/>
        <v>21</v>
      </c>
      <c r="J224" s="11">
        <v>1</v>
      </c>
      <c r="K224" s="11"/>
      <c r="L224" s="11"/>
      <c r="M224" s="11">
        <f t="shared" si="61"/>
        <v>0</v>
      </c>
      <c r="N224" s="11"/>
      <c r="O224" s="11">
        <f t="shared" si="62"/>
        <v>0</v>
      </c>
      <c r="P224" s="11"/>
      <c r="Q224" s="11"/>
      <c r="R224" s="11"/>
      <c r="S224" s="11">
        <f t="shared" si="63"/>
        <v>0</v>
      </c>
      <c r="T224" s="11">
        <f t="shared" si="64"/>
        <v>1666.6666666666667</v>
      </c>
      <c r="U224" s="11">
        <f t="shared" si="65"/>
        <v>0</v>
      </c>
      <c r="V224" s="24">
        <f t="shared" si="66"/>
        <v>0</v>
      </c>
      <c r="W224" s="11">
        <f>IF(V224&lt;=40000,0,
IF(V224&lt;=55000,(V224-40000)*10%,
IF(V224&lt;=70000,(V224-55000)*15%+1500,
IF(V224&lt;=200000,(V224-70000)*20%+1500+2250,
IF(V224&lt;=400000,(V224-200000)*22.5%+1500+2250+26000,
IF(V224&lt;=600000,(V224-400000)*25%+1500+2250+26000+45000,
IF(AND(V224&gt;600000,V224&lt;=1200000),(V224-400000)*25%+1500+2250+26000+45000
+IFERROR(LOOKUP(V224,{600001;700001;800001;900001},{4000;6750;10250;15250}),0),IF(V224&gt;1200000,((V224-1200000)*27.5%)+300000,0)
)))))))</f>
        <v>0</v>
      </c>
      <c r="X224" s="12">
        <f t="shared" si="67"/>
        <v>0</v>
      </c>
      <c r="Y224" s="12">
        <f t="shared" si="68"/>
        <v>0</v>
      </c>
      <c r="Z224" s="11"/>
      <c r="AA224" s="13">
        <f t="shared" si="69"/>
        <v>0</v>
      </c>
      <c r="AB224" s="12">
        <f t="shared" si="70"/>
        <v>0</v>
      </c>
      <c r="AC224" s="14">
        <f t="shared" si="58"/>
        <v>0</v>
      </c>
      <c r="AE224" s="19">
        <f t="shared" si="71"/>
        <v>0</v>
      </c>
      <c r="AF224" s="19"/>
      <c r="AG224" s="17"/>
      <c r="AK224" s="7"/>
      <c r="AL224" s="108">
        <f t="shared" si="59"/>
        <v>0</v>
      </c>
      <c r="AM224" s="108">
        <f t="shared" si="60"/>
        <v>0</v>
      </c>
      <c r="AN224" s="113"/>
    </row>
    <row r="225" spans="2:40" x14ac:dyDescent="0.2">
      <c r="B225" s="7"/>
      <c r="C225" s="8"/>
      <c r="D225" s="8"/>
      <c r="E225" s="9"/>
      <c r="F225" s="6"/>
      <c r="G225" s="8"/>
      <c r="H225" s="32"/>
      <c r="I225" s="10" t="str">
        <f t="shared" si="57"/>
        <v>21</v>
      </c>
      <c r="J225" s="11">
        <v>1</v>
      </c>
      <c r="K225" s="11"/>
      <c r="L225" s="11"/>
      <c r="M225" s="11">
        <f t="shared" si="61"/>
        <v>0</v>
      </c>
      <c r="N225" s="11"/>
      <c r="O225" s="11">
        <f t="shared" si="62"/>
        <v>0</v>
      </c>
      <c r="P225" s="11"/>
      <c r="Q225" s="11"/>
      <c r="R225" s="11"/>
      <c r="S225" s="11">
        <f t="shared" si="63"/>
        <v>0</v>
      </c>
      <c r="T225" s="11">
        <f t="shared" si="64"/>
        <v>1666.6666666666667</v>
      </c>
      <c r="U225" s="11">
        <f t="shared" si="65"/>
        <v>0</v>
      </c>
      <c r="V225" s="24">
        <f t="shared" si="66"/>
        <v>0</v>
      </c>
      <c r="W225" s="11">
        <f>IF(V225&lt;=40000,0,
IF(V225&lt;=55000,(V225-40000)*10%,
IF(V225&lt;=70000,(V225-55000)*15%+1500,
IF(V225&lt;=200000,(V225-70000)*20%+1500+2250,
IF(V225&lt;=400000,(V225-200000)*22.5%+1500+2250+26000,
IF(V225&lt;=600000,(V225-400000)*25%+1500+2250+26000+45000,
IF(AND(V225&gt;600000,V225&lt;=1200000),(V225-400000)*25%+1500+2250+26000+45000
+IFERROR(LOOKUP(V225,{600001;700001;800001;900001},{4000;6750;10250;15250}),0),IF(V225&gt;1200000,((V225-1200000)*27.5%)+300000,0)
)))))))</f>
        <v>0</v>
      </c>
      <c r="X225" s="12">
        <f t="shared" si="67"/>
        <v>0</v>
      </c>
      <c r="Y225" s="12">
        <f t="shared" si="68"/>
        <v>0</v>
      </c>
      <c r="Z225" s="11"/>
      <c r="AA225" s="13">
        <f t="shared" si="69"/>
        <v>0</v>
      </c>
      <c r="AB225" s="12">
        <f t="shared" si="70"/>
        <v>0</v>
      </c>
      <c r="AC225" s="14">
        <f t="shared" si="58"/>
        <v>0</v>
      </c>
      <c r="AE225" s="19">
        <f t="shared" si="71"/>
        <v>0</v>
      </c>
      <c r="AF225" s="19"/>
      <c r="AG225" s="17"/>
      <c r="AK225" s="7"/>
      <c r="AL225" s="108">
        <f t="shared" si="59"/>
        <v>0</v>
      </c>
      <c r="AM225" s="108">
        <f t="shared" si="60"/>
        <v>0</v>
      </c>
      <c r="AN225" s="113"/>
    </row>
    <row r="226" spans="2:40" x14ac:dyDescent="0.2">
      <c r="B226" s="7"/>
      <c r="C226" s="8"/>
      <c r="D226" s="8"/>
      <c r="E226" s="9"/>
      <c r="F226" s="6"/>
      <c r="G226" s="8"/>
      <c r="H226" s="32"/>
      <c r="I226" s="10" t="str">
        <f t="shared" si="57"/>
        <v>21</v>
      </c>
      <c r="J226" s="11">
        <v>1</v>
      </c>
      <c r="K226" s="11"/>
      <c r="L226" s="11"/>
      <c r="M226" s="11">
        <f t="shared" si="61"/>
        <v>0</v>
      </c>
      <c r="N226" s="11"/>
      <c r="O226" s="11">
        <f t="shared" si="62"/>
        <v>0</v>
      </c>
      <c r="P226" s="11"/>
      <c r="Q226" s="11"/>
      <c r="R226" s="11"/>
      <c r="S226" s="11">
        <f t="shared" si="63"/>
        <v>0</v>
      </c>
      <c r="T226" s="11">
        <f t="shared" si="64"/>
        <v>1666.6666666666667</v>
      </c>
      <c r="U226" s="11">
        <f t="shared" si="65"/>
        <v>0</v>
      </c>
      <c r="V226" s="24">
        <f t="shared" si="66"/>
        <v>0</v>
      </c>
      <c r="W226" s="11">
        <f>IF(V226&lt;=40000,0,
IF(V226&lt;=55000,(V226-40000)*10%,
IF(V226&lt;=70000,(V226-55000)*15%+1500,
IF(V226&lt;=200000,(V226-70000)*20%+1500+2250,
IF(V226&lt;=400000,(V226-200000)*22.5%+1500+2250+26000,
IF(V226&lt;=600000,(V226-400000)*25%+1500+2250+26000+45000,
IF(AND(V226&gt;600000,V226&lt;=1200000),(V226-400000)*25%+1500+2250+26000+45000
+IFERROR(LOOKUP(V226,{600001;700001;800001;900001},{4000;6750;10250;15250}),0),IF(V226&gt;1200000,((V226-1200000)*27.5%)+300000,0)
)))))))</f>
        <v>0</v>
      </c>
      <c r="X226" s="12">
        <f t="shared" si="67"/>
        <v>0</v>
      </c>
      <c r="Y226" s="12">
        <f t="shared" si="68"/>
        <v>0</v>
      </c>
      <c r="Z226" s="11"/>
      <c r="AA226" s="13">
        <f t="shared" si="69"/>
        <v>0</v>
      </c>
      <c r="AB226" s="12">
        <f t="shared" si="70"/>
        <v>0</v>
      </c>
      <c r="AC226" s="14">
        <f t="shared" si="58"/>
        <v>0</v>
      </c>
      <c r="AE226" s="19">
        <f t="shared" si="71"/>
        <v>0</v>
      </c>
      <c r="AF226" s="19"/>
      <c r="AG226" s="17"/>
      <c r="AK226" s="7"/>
      <c r="AL226" s="108">
        <f t="shared" si="59"/>
        <v>0</v>
      </c>
      <c r="AM226" s="108">
        <f t="shared" si="60"/>
        <v>0</v>
      </c>
      <c r="AN226" s="113"/>
    </row>
    <row r="227" spans="2:40" x14ac:dyDescent="0.2">
      <c r="B227" s="7"/>
      <c r="C227" s="8"/>
      <c r="D227" s="8"/>
      <c r="E227" s="9"/>
      <c r="F227" s="6"/>
      <c r="G227" s="8"/>
      <c r="H227" s="32"/>
      <c r="I227" s="10" t="str">
        <f t="shared" si="57"/>
        <v>21</v>
      </c>
      <c r="J227" s="11">
        <v>1</v>
      </c>
      <c r="K227" s="11"/>
      <c r="L227" s="11"/>
      <c r="M227" s="11">
        <f t="shared" si="61"/>
        <v>0</v>
      </c>
      <c r="N227" s="11"/>
      <c r="O227" s="11">
        <f t="shared" si="62"/>
        <v>0</v>
      </c>
      <c r="P227" s="11"/>
      <c r="Q227" s="11"/>
      <c r="R227" s="11"/>
      <c r="S227" s="11">
        <f t="shared" si="63"/>
        <v>0</v>
      </c>
      <c r="T227" s="11">
        <f t="shared" si="64"/>
        <v>1666.6666666666667</v>
      </c>
      <c r="U227" s="11">
        <f t="shared" si="65"/>
        <v>0</v>
      </c>
      <c r="V227" s="24">
        <f t="shared" si="66"/>
        <v>0</v>
      </c>
      <c r="W227" s="11">
        <f>IF(V227&lt;=40000,0,
IF(V227&lt;=55000,(V227-40000)*10%,
IF(V227&lt;=70000,(V227-55000)*15%+1500,
IF(V227&lt;=200000,(V227-70000)*20%+1500+2250,
IF(V227&lt;=400000,(V227-200000)*22.5%+1500+2250+26000,
IF(V227&lt;=600000,(V227-400000)*25%+1500+2250+26000+45000,
IF(AND(V227&gt;600000,V227&lt;=1200000),(V227-400000)*25%+1500+2250+26000+45000
+IFERROR(LOOKUP(V227,{600001;700001;800001;900001},{4000;6750;10250;15250}),0),IF(V227&gt;1200000,((V227-1200000)*27.5%)+300000,0)
)))))))</f>
        <v>0</v>
      </c>
      <c r="X227" s="12">
        <f t="shared" si="67"/>
        <v>0</v>
      </c>
      <c r="Y227" s="12">
        <f t="shared" si="68"/>
        <v>0</v>
      </c>
      <c r="Z227" s="11"/>
      <c r="AA227" s="13">
        <f t="shared" si="69"/>
        <v>0</v>
      </c>
      <c r="AB227" s="12">
        <f t="shared" si="70"/>
        <v>0</v>
      </c>
      <c r="AC227" s="14">
        <f t="shared" si="58"/>
        <v>0</v>
      </c>
      <c r="AE227" s="19">
        <f t="shared" si="71"/>
        <v>0</v>
      </c>
      <c r="AF227" s="19"/>
      <c r="AG227" s="17"/>
      <c r="AK227" s="7"/>
      <c r="AL227" s="108">
        <f t="shared" si="59"/>
        <v>0</v>
      </c>
      <c r="AM227" s="108">
        <f t="shared" si="60"/>
        <v>0</v>
      </c>
      <c r="AN227" s="113"/>
    </row>
    <row r="228" spans="2:40" x14ac:dyDescent="0.2">
      <c r="B228" s="7"/>
      <c r="C228" s="8"/>
      <c r="D228" s="8"/>
      <c r="E228" s="9"/>
      <c r="F228" s="6"/>
      <c r="G228" s="8"/>
      <c r="H228" s="32"/>
      <c r="I228" s="10" t="str">
        <f t="shared" si="57"/>
        <v>21</v>
      </c>
      <c r="J228" s="11">
        <v>1</v>
      </c>
      <c r="K228" s="11"/>
      <c r="L228" s="11"/>
      <c r="M228" s="11">
        <f t="shared" si="61"/>
        <v>0</v>
      </c>
      <c r="N228" s="11"/>
      <c r="O228" s="11">
        <f t="shared" si="62"/>
        <v>0</v>
      </c>
      <c r="P228" s="11"/>
      <c r="Q228" s="11"/>
      <c r="R228" s="11"/>
      <c r="S228" s="11">
        <f t="shared" si="63"/>
        <v>0</v>
      </c>
      <c r="T228" s="11">
        <f t="shared" si="64"/>
        <v>1666.6666666666667</v>
      </c>
      <c r="U228" s="11">
        <f t="shared" si="65"/>
        <v>0</v>
      </c>
      <c r="V228" s="24">
        <f t="shared" si="66"/>
        <v>0</v>
      </c>
      <c r="W228" s="11">
        <f>IF(V228&lt;=40000,0,
IF(V228&lt;=55000,(V228-40000)*10%,
IF(V228&lt;=70000,(V228-55000)*15%+1500,
IF(V228&lt;=200000,(V228-70000)*20%+1500+2250,
IF(V228&lt;=400000,(V228-200000)*22.5%+1500+2250+26000,
IF(V228&lt;=600000,(V228-400000)*25%+1500+2250+26000+45000,
IF(AND(V228&gt;600000,V228&lt;=1200000),(V228-400000)*25%+1500+2250+26000+45000
+IFERROR(LOOKUP(V228,{600001;700001;800001;900001},{4000;6750;10250;15250}),0),IF(V228&gt;1200000,((V228-1200000)*27.5%)+300000,0)
)))))))</f>
        <v>0</v>
      </c>
      <c r="X228" s="12">
        <f t="shared" si="67"/>
        <v>0</v>
      </c>
      <c r="Y228" s="12">
        <f t="shared" si="68"/>
        <v>0</v>
      </c>
      <c r="Z228" s="11"/>
      <c r="AA228" s="13">
        <f t="shared" si="69"/>
        <v>0</v>
      </c>
      <c r="AB228" s="12">
        <f t="shared" si="70"/>
        <v>0</v>
      </c>
      <c r="AC228" s="14">
        <f t="shared" si="58"/>
        <v>0</v>
      </c>
      <c r="AE228" s="19">
        <f t="shared" si="71"/>
        <v>0</v>
      </c>
      <c r="AF228" s="19"/>
      <c r="AG228" s="17"/>
      <c r="AK228" s="7"/>
      <c r="AL228" s="108">
        <f t="shared" si="59"/>
        <v>0</v>
      </c>
      <c r="AM228" s="108">
        <f t="shared" si="60"/>
        <v>0</v>
      </c>
      <c r="AN228" s="113"/>
    </row>
    <row r="229" spans="2:40" x14ac:dyDescent="0.2">
      <c r="B229" s="7"/>
      <c r="C229" s="8"/>
      <c r="D229" s="8"/>
      <c r="E229" s="9"/>
      <c r="F229" s="6"/>
      <c r="G229" s="8"/>
      <c r="H229" s="32"/>
      <c r="I229" s="10" t="str">
        <f t="shared" si="57"/>
        <v>21</v>
      </c>
      <c r="J229" s="11">
        <v>1</v>
      </c>
      <c r="K229" s="11"/>
      <c r="L229" s="11"/>
      <c r="M229" s="11">
        <f t="shared" si="61"/>
        <v>0</v>
      </c>
      <c r="N229" s="11"/>
      <c r="O229" s="11">
        <f t="shared" si="62"/>
        <v>0</v>
      </c>
      <c r="P229" s="11"/>
      <c r="Q229" s="11"/>
      <c r="R229" s="11"/>
      <c r="S229" s="11">
        <f t="shared" si="63"/>
        <v>0</v>
      </c>
      <c r="T229" s="11">
        <f t="shared" si="64"/>
        <v>1666.6666666666667</v>
      </c>
      <c r="U229" s="11">
        <f t="shared" si="65"/>
        <v>0</v>
      </c>
      <c r="V229" s="24">
        <f t="shared" si="66"/>
        <v>0</v>
      </c>
      <c r="W229" s="11">
        <f>IF(V229&lt;=40000,0,
IF(V229&lt;=55000,(V229-40000)*10%,
IF(V229&lt;=70000,(V229-55000)*15%+1500,
IF(V229&lt;=200000,(V229-70000)*20%+1500+2250,
IF(V229&lt;=400000,(V229-200000)*22.5%+1500+2250+26000,
IF(V229&lt;=600000,(V229-400000)*25%+1500+2250+26000+45000,
IF(AND(V229&gt;600000,V229&lt;=1200000),(V229-400000)*25%+1500+2250+26000+45000
+IFERROR(LOOKUP(V229,{600001;700001;800001;900001},{4000;6750;10250;15250}),0),IF(V229&gt;1200000,((V229-1200000)*27.5%)+300000,0)
)))))))</f>
        <v>0</v>
      </c>
      <c r="X229" s="12">
        <f t="shared" si="67"/>
        <v>0</v>
      </c>
      <c r="Y229" s="12">
        <f t="shared" si="68"/>
        <v>0</v>
      </c>
      <c r="Z229" s="11"/>
      <c r="AA229" s="13">
        <f t="shared" si="69"/>
        <v>0</v>
      </c>
      <c r="AB229" s="12">
        <f t="shared" si="70"/>
        <v>0</v>
      </c>
      <c r="AC229" s="14">
        <f t="shared" si="58"/>
        <v>0</v>
      </c>
      <c r="AE229" s="19">
        <f t="shared" si="71"/>
        <v>0</v>
      </c>
      <c r="AF229" s="19"/>
      <c r="AG229" s="17"/>
      <c r="AK229" s="7"/>
      <c r="AL229" s="108">
        <f t="shared" si="59"/>
        <v>0</v>
      </c>
      <c r="AM229" s="108">
        <f t="shared" si="60"/>
        <v>0</v>
      </c>
      <c r="AN229" s="113"/>
    </row>
    <row r="230" spans="2:40" x14ac:dyDescent="0.2">
      <c r="B230" s="7"/>
      <c r="C230" s="8"/>
      <c r="D230" s="8"/>
      <c r="E230" s="9"/>
      <c r="F230" s="6"/>
      <c r="G230" s="8"/>
      <c r="H230" s="32"/>
      <c r="I230" s="10" t="str">
        <f t="shared" si="57"/>
        <v>21</v>
      </c>
      <c r="J230" s="11">
        <v>1</v>
      </c>
      <c r="K230" s="11"/>
      <c r="L230" s="11"/>
      <c r="M230" s="11">
        <f t="shared" si="61"/>
        <v>0</v>
      </c>
      <c r="N230" s="11"/>
      <c r="O230" s="11">
        <f t="shared" si="62"/>
        <v>0</v>
      </c>
      <c r="P230" s="11"/>
      <c r="Q230" s="11"/>
      <c r="R230" s="11"/>
      <c r="S230" s="11">
        <f t="shared" si="63"/>
        <v>0</v>
      </c>
      <c r="T230" s="11">
        <f t="shared" si="64"/>
        <v>1666.6666666666667</v>
      </c>
      <c r="U230" s="11">
        <f t="shared" si="65"/>
        <v>0</v>
      </c>
      <c r="V230" s="24">
        <f t="shared" si="66"/>
        <v>0</v>
      </c>
      <c r="W230" s="11">
        <f>IF(V230&lt;=40000,0,
IF(V230&lt;=55000,(V230-40000)*10%,
IF(V230&lt;=70000,(V230-55000)*15%+1500,
IF(V230&lt;=200000,(V230-70000)*20%+1500+2250,
IF(V230&lt;=400000,(V230-200000)*22.5%+1500+2250+26000,
IF(V230&lt;=600000,(V230-400000)*25%+1500+2250+26000+45000,
IF(AND(V230&gt;600000,V230&lt;=1200000),(V230-400000)*25%+1500+2250+26000+45000
+IFERROR(LOOKUP(V230,{600001;700001;800001;900001},{4000;6750;10250;15250}),0),IF(V230&gt;1200000,((V230-1200000)*27.5%)+300000,0)
)))))))</f>
        <v>0</v>
      </c>
      <c r="X230" s="12">
        <f t="shared" si="67"/>
        <v>0</v>
      </c>
      <c r="Y230" s="12">
        <f t="shared" si="68"/>
        <v>0</v>
      </c>
      <c r="Z230" s="11"/>
      <c r="AA230" s="13">
        <f t="shared" si="69"/>
        <v>0</v>
      </c>
      <c r="AB230" s="12">
        <f t="shared" si="70"/>
        <v>0</v>
      </c>
      <c r="AC230" s="14">
        <f t="shared" si="58"/>
        <v>0</v>
      </c>
      <c r="AE230" s="19">
        <f t="shared" si="71"/>
        <v>0</v>
      </c>
      <c r="AF230" s="19"/>
      <c r="AG230" s="17"/>
      <c r="AK230" s="7"/>
      <c r="AL230" s="108">
        <f t="shared" si="59"/>
        <v>0</v>
      </c>
      <c r="AM230" s="108">
        <f t="shared" si="60"/>
        <v>0</v>
      </c>
      <c r="AN230" s="113"/>
    </row>
    <row r="231" spans="2:40" x14ac:dyDescent="0.2">
      <c r="B231" s="7"/>
      <c r="C231" s="8"/>
      <c r="D231" s="8"/>
      <c r="E231" s="9"/>
      <c r="F231" s="6"/>
      <c r="G231" s="8"/>
      <c r="H231" s="32"/>
      <c r="I231" s="10" t="str">
        <f t="shared" si="57"/>
        <v>21</v>
      </c>
      <c r="J231" s="11">
        <v>1</v>
      </c>
      <c r="K231" s="11"/>
      <c r="L231" s="11"/>
      <c r="M231" s="11">
        <f t="shared" si="61"/>
        <v>0</v>
      </c>
      <c r="N231" s="11"/>
      <c r="O231" s="11">
        <f t="shared" si="62"/>
        <v>0</v>
      </c>
      <c r="P231" s="11"/>
      <c r="Q231" s="11"/>
      <c r="R231" s="11"/>
      <c r="S231" s="11">
        <f t="shared" si="63"/>
        <v>0</v>
      </c>
      <c r="T231" s="11">
        <f t="shared" si="64"/>
        <v>1666.6666666666667</v>
      </c>
      <c r="U231" s="11">
        <f t="shared" si="65"/>
        <v>0</v>
      </c>
      <c r="V231" s="24">
        <f t="shared" si="66"/>
        <v>0</v>
      </c>
      <c r="W231" s="11">
        <f>IF(V231&lt;=40000,0,
IF(V231&lt;=55000,(V231-40000)*10%,
IF(V231&lt;=70000,(V231-55000)*15%+1500,
IF(V231&lt;=200000,(V231-70000)*20%+1500+2250,
IF(V231&lt;=400000,(V231-200000)*22.5%+1500+2250+26000,
IF(V231&lt;=600000,(V231-400000)*25%+1500+2250+26000+45000,
IF(AND(V231&gt;600000,V231&lt;=1200000),(V231-400000)*25%+1500+2250+26000+45000
+IFERROR(LOOKUP(V231,{600001;700001;800001;900001},{4000;6750;10250;15250}),0),IF(V231&gt;1200000,((V231-1200000)*27.5%)+300000,0)
)))))))</f>
        <v>0</v>
      </c>
      <c r="X231" s="12">
        <f t="shared" si="67"/>
        <v>0</v>
      </c>
      <c r="Y231" s="12">
        <f t="shared" si="68"/>
        <v>0</v>
      </c>
      <c r="Z231" s="11"/>
      <c r="AA231" s="13">
        <f t="shared" si="69"/>
        <v>0</v>
      </c>
      <c r="AB231" s="12">
        <f t="shared" si="70"/>
        <v>0</v>
      </c>
      <c r="AC231" s="14">
        <f t="shared" si="58"/>
        <v>0</v>
      </c>
      <c r="AE231" s="19">
        <f t="shared" si="71"/>
        <v>0</v>
      </c>
      <c r="AF231" s="19"/>
      <c r="AG231" s="17"/>
      <c r="AK231" s="7"/>
      <c r="AL231" s="108">
        <f t="shared" si="59"/>
        <v>0</v>
      </c>
      <c r="AM231" s="108">
        <f t="shared" si="60"/>
        <v>0</v>
      </c>
      <c r="AN231" s="113"/>
    </row>
    <row r="232" spans="2:40" x14ac:dyDescent="0.2">
      <c r="B232" s="7"/>
      <c r="C232" s="8"/>
      <c r="D232" s="8"/>
      <c r="E232" s="9"/>
      <c r="F232" s="6"/>
      <c r="G232" s="8"/>
      <c r="H232" s="32"/>
      <c r="I232" s="10" t="str">
        <f t="shared" si="57"/>
        <v>21</v>
      </c>
      <c r="J232" s="11">
        <v>1</v>
      </c>
      <c r="K232" s="11"/>
      <c r="L232" s="11"/>
      <c r="M232" s="11">
        <f t="shared" si="61"/>
        <v>0</v>
      </c>
      <c r="N232" s="11"/>
      <c r="O232" s="11">
        <f t="shared" si="62"/>
        <v>0</v>
      </c>
      <c r="P232" s="11"/>
      <c r="Q232" s="11"/>
      <c r="R232" s="11"/>
      <c r="S232" s="11">
        <f t="shared" si="63"/>
        <v>0</v>
      </c>
      <c r="T232" s="11">
        <f t="shared" si="64"/>
        <v>1666.6666666666667</v>
      </c>
      <c r="U232" s="11">
        <f t="shared" si="65"/>
        <v>0</v>
      </c>
      <c r="V232" s="24">
        <f t="shared" si="66"/>
        <v>0</v>
      </c>
      <c r="W232" s="11">
        <f>IF(V232&lt;=40000,0,
IF(V232&lt;=55000,(V232-40000)*10%,
IF(V232&lt;=70000,(V232-55000)*15%+1500,
IF(V232&lt;=200000,(V232-70000)*20%+1500+2250,
IF(V232&lt;=400000,(V232-200000)*22.5%+1500+2250+26000,
IF(V232&lt;=600000,(V232-400000)*25%+1500+2250+26000+45000,
IF(AND(V232&gt;600000,V232&lt;=1200000),(V232-400000)*25%+1500+2250+26000+45000
+IFERROR(LOOKUP(V232,{600001;700001;800001;900001},{4000;6750;10250;15250}),0),IF(V232&gt;1200000,((V232-1200000)*27.5%)+300000,0)
)))))))</f>
        <v>0</v>
      </c>
      <c r="X232" s="12">
        <f t="shared" si="67"/>
        <v>0</v>
      </c>
      <c r="Y232" s="12">
        <f t="shared" si="68"/>
        <v>0</v>
      </c>
      <c r="Z232" s="11"/>
      <c r="AA232" s="13">
        <f t="shared" si="69"/>
        <v>0</v>
      </c>
      <c r="AB232" s="12">
        <f t="shared" si="70"/>
        <v>0</v>
      </c>
      <c r="AC232" s="14">
        <f t="shared" si="58"/>
        <v>0</v>
      </c>
      <c r="AE232" s="19">
        <f t="shared" si="71"/>
        <v>0</v>
      </c>
      <c r="AF232" s="19"/>
      <c r="AG232" s="17"/>
      <c r="AK232" s="7"/>
      <c r="AL232" s="108">
        <f t="shared" si="59"/>
        <v>0</v>
      </c>
      <c r="AM232" s="108">
        <f t="shared" si="60"/>
        <v>0</v>
      </c>
      <c r="AN232" s="113"/>
    </row>
    <row r="233" spans="2:40" x14ac:dyDescent="0.2">
      <c r="B233" s="7"/>
      <c r="C233" s="8"/>
      <c r="D233" s="8"/>
      <c r="E233" s="9"/>
      <c r="F233" s="6"/>
      <c r="G233" s="8"/>
      <c r="H233" s="32"/>
      <c r="I233" s="10" t="str">
        <f t="shared" si="57"/>
        <v>21</v>
      </c>
      <c r="J233" s="11">
        <v>1</v>
      </c>
      <c r="K233" s="11"/>
      <c r="L233" s="11"/>
      <c r="M233" s="11">
        <f t="shared" si="61"/>
        <v>0</v>
      </c>
      <c r="N233" s="11"/>
      <c r="O233" s="11">
        <f t="shared" si="62"/>
        <v>0</v>
      </c>
      <c r="P233" s="11"/>
      <c r="Q233" s="11"/>
      <c r="R233" s="11"/>
      <c r="S233" s="11">
        <f t="shared" si="63"/>
        <v>0</v>
      </c>
      <c r="T233" s="11">
        <f t="shared" si="64"/>
        <v>1666.6666666666667</v>
      </c>
      <c r="U233" s="11">
        <f t="shared" si="65"/>
        <v>0</v>
      </c>
      <c r="V233" s="24">
        <f t="shared" si="66"/>
        <v>0</v>
      </c>
      <c r="W233" s="11">
        <f>IF(V233&lt;=40000,0,
IF(V233&lt;=55000,(V233-40000)*10%,
IF(V233&lt;=70000,(V233-55000)*15%+1500,
IF(V233&lt;=200000,(V233-70000)*20%+1500+2250,
IF(V233&lt;=400000,(V233-200000)*22.5%+1500+2250+26000,
IF(V233&lt;=600000,(V233-400000)*25%+1500+2250+26000+45000,
IF(AND(V233&gt;600000,V233&lt;=1200000),(V233-400000)*25%+1500+2250+26000+45000
+IFERROR(LOOKUP(V233,{600001;700001;800001;900001},{4000;6750;10250;15250}),0),IF(V233&gt;1200000,((V233-1200000)*27.5%)+300000,0)
)))))))</f>
        <v>0</v>
      </c>
      <c r="X233" s="12">
        <f t="shared" si="67"/>
        <v>0</v>
      </c>
      <c r="Y233" s="12">
        <f t="shared" si="68"/>
        <v>0</v>
      </c>
      <c r="Z233" s="11"/>
      <c r="AA233" s="13">
        <f t="shared" si="69"/>
        <v>0</v>
      </c>
      <c r="AB233" s="12">
        <f t="shared" si="70"/>
        <v>0</v>
      </c>
      <c r="AC233" s="14">
        <f t="shared" si="58"/>
        <v>0</v>
      </c>
      <c r="AE233" s="19">
        <f t="shared" si="71"/>
        <v>0</v>
      </c>
      <c r="AF233" s="19"/>
      <c r="AG233" s="17"/>
      <c r="AK233" s="7"/>
      <c r="AL233" s="108">
        <f t="shared" si="59"/>
        <v>0</v>
      </c>
      <c r="AM233" s="108">
        <f t="shared" si="60"/>
        <v>0</v>
      </c>
      <c r="AN233" s="113"/>
    </row>
    <row r="234" spans="2:40" x14ac:dyDescent="0.2">
      <c r="B234" s="7"/>
      <c r="C234" s="8"/>
      <c r="D234" s="8"/>
      <c r="E234" s="9"/>
      <c r="F234" s="6"/>
      <c r="G234" s="8"/>
      <c r="H234" s="32"/>
      <c r="I234" s="10" t="str">
        <f t="shared" si="57"/>
        <v>21</v>
      </c>
      <c r="J234" s="11">
        <v>1</v>
      </c>
      <c r="K234" s="11"/>
      <c r="L234" s="11"/>
      <c r="M234" s="11">
        <f t="shared" si="61"/>
        <v>0</v>
      </c>
      <c r="N234" s="11"/>
      <c r="O234" s="11">
        <f t="shared" si="62"/>
        <v>0</v>
      </c>
      <c r="P234" s="11"/>
      <c r="Q234" s="11"/>
      <c r="R234" s="11"/>
      <c r="S234" s="11">
        <f t="shared" si="63"/>
        <v>0</v>
      </c>
      <c r="T234" s="11">
        <f t="shared" si="64"/>
        <v>1666.6666666666667</v>
      </c>
      <c r="U234" s="11">
        <f t="shared" si="65"/>
        <v>0</v>
      </c>
      <c r="V234" s="24">
        <f t="shared" si="66"/>
        <v>0</v>
      </c>
      <c r="W234" s="11">
        <f>IF(V234&lt;=40000,0,
IF(V234&lt;=55000,(V234-40000)*10%,
IF(V234&lt;=70000,(V234-55000)*15%+1500,
IF(V234&lt;=200000,(V234-70000)*20%+1500+2250,
IF(V234&lt;=400000,(V234-200000)*22.5%+1500+2250+26000,
IF(V234&lt;=600000,(V234-400000)*25%+1500+2250+26000+45000,
IF(AND(V234&gt;600000,V234&lt;=1200000),(V234-400000)*25%+1500+2250+26000+45000
+IFERROR(LOOKUP(V234,{600001;700001;800001;900001},{4000;6750;10250;15250}),0),IF(V234&gt;1200000,((V234-1200000)*27.5%)+300000,0)
)))))))</f>
        <v>0</v>
      </c>
      <c r="X234" s="12">
        <f t="shared" si="67"/>
        <v>0</v>
      </c>
      <c r="Y234" s="12">
        <f t="shared" si="68"/>
        <v>0</v>
      </c>
      <c r="Z234" s="11"/>
      <c r="AA234" s="13">
        <f t="shared" si="69"/>
        <v>0</v>
      </c>
      <c r="AB234" s="12">
        <f t="shared" si="70"/>
        <v>0</v>
      </c>
      <c r="AC234" s="14">
        <f t="shared" si="58"/>
        <v>0</v>
      </c>
      <c r="AE234" s="19">
        <f t="shared" si="71"/>
        <v>0</v>
      </c>
      <c r="AF234" s="19"/>
      <c r="AG234" s="17"/>
      <c r="AK234" s="7"/>
      <c r="AL234" s="108">
        <f t="shared" si="59"/>
        <v>0</v>
      </c>
      <c r="AM234" s="108">
        <f t="shared" si="60"/>
        <v>0</v>
      </c>
      <c r="AN234" s="113"/>
    </row>
    <row r="235" spans="2:40" x14ac:dyDescent="0.2">
      <c r="B235" s="7"/>
      <c r="C235" s="8"/>
      <c r="D235" s="8"/>
      <c r="E235" s="9"/>
      <c r="F235" s="6"/>
      <c r="G235" s="8"/>
      <c r="H235" s="32"/>
      <c r="I235" s="10" t="str">
        <f t="shared" si="57"/>
        <v>21</v>
      </c>
      <c r="J235" s="11">
        <v>1</v>
      </c>
      <c r="K235" s="11"/>
      <c r="L235" s="11"/>
      <c r="M235" s="11">
        <f t="shared" si="61"/>
        <v>0</v>
      </c>
      <c r="N235" s="11"/>
      <c r="O235" s="11">
        <f t="shared" si="62"/>
        <v>0</v>
      </c>
      <c r="P235" s="11"/>
      <c r="Q235" s="11"/>
      <c r="R235" s="11"/>
      <c r="S235" s="11">
        <f t="shared" si="63"/>
        <v>0</v>
      </c>
      <c r="T235" s="11">
        <f t="shared" si="64"/>
        <v>1666.6666666666667</v>
      </c>
      <c r="U235" s="11">
        <f t="shared" si="65"/>
        <v>0</v>
      </c>
      <c r="V235" s="24">
        <f t="shared" si="66"/>
        <v>0</v>
      </c>
      <c r="W235" s="11">
        <f>IF(V235&lt;=40000,0,
IF(V235&lt;=55000,(V235-40000)*10%,
IF(V235&lt;=70000,(V235-55000)*15%+1500,
IF(V235&lt;=200000,(V235-70000)*20%+1500+2250,
IF(V235&lt;=400000,(V235-200000)*22.5%+1500+2250+26000,
IF(V235&lt;=600000,(V235-400000)*25%+1500+2250+26000+45000,
IF(AND(V235&gt;600000,V235&lt;=1200000),(V235-400000)*25%+1500+2250+26000+45000
+IFERROR(LOOKUP(V235,{600001;700001;800001;900001},{4000;6750;10250;15250}),0),IF(V235&gt;1200000,((V235-1200000)*27.5%)+300000,0)
)))))))</f>
        <v>0</v>
      </c>
      <c r="X235" s="12">
        <f t="shared" si="67"/>
        <v>0</v>
      </c>
      <c r="Y235" s="12">
        <f t="shared" si="68"/>
        <v>0</v>
      </c>
      <c r="Z235" s="11"/>
      <c r="AA235" s="13">
        <f t="shared" si="69"/>
        <v>0</v>
      </c>
      <c r="AB235" s="12">
        <f t="shared" si="70"/>
        <v>0</v>
      </c>
      <c r="AC235" s="14">
        <f t="shared" si="58"/>
        <v>0</v>
      </c>
      <c r="AE235" s="19">
        <f t="shared" si="71"/>
        <v>0</v>
      </c>
      <c r="AF235" s="19"/>
      <c r="AG235" s="17"/>
      <c r="AK235" s="7"/>
      <c r="AL235" s="108">
        <f t="shared" si="59"/>
        <v>0</v>
      </c>
      <c r="AM235" s="108">
        <f t="shared" si="60"/>
        <v>0</v>
      </c>
      <c r="AN235" s="113"/>
    </row>
    <row r="236" spans="2:40" x14ac:dyDescent="0.2">
      <c r="B236" s="7"/>
      <c r="C236" s="8"/>
      <c r="D236" s="8"/>
      <c r="E236" s="9"/>
      <c r="F236" s="6"/>
      <c r="G236" s="8"/>
      <c r="H236" s="32"/>
      <c r="I236" s="10" t="str">
        <f t="shared" si="57"/>
        <v>21</v>
      </c>
      <c r="J236" s="11">
        <v>1</v>
      </c>
      <c r="K236" s="11"/>
      <c r="L236" s="11"/>
      <c r="M236" s="11">
        <f t="shared" si="61"/>
        <v>0</v>
      </c>
      <c r="N236" s="11"/>
      <c r="O236" s="11">
        <f t="shared" si="62"/>
        <v>0</v>
      </c>
      <c r="P236" s="11"/>
      <c r="Q236" s="11"/>
      <c r="R236" s="11"/>
      <c r="S236" s="11">
        <f t="shared" si="63"/>
        <v>0</v>
      </c>
      <c r="T236" s="11">
        <f t="shared" si="64"/>
        <v>1666.6666666666667</v>
      </c>
      <c r="U236" s="11">
        <f t="shared" si="65"/>
        <v>0</v>
      </c>
      <c r="V236" s="24">
        <f t="shared" si="66"/>
        <v>0</v>
      </c>
      <c r="W236" s="11">
        <f>IF(V236&lt;=40000,0,
IF(V236&lt;=55000,(V236-40000)*10%,
IF(V236&lt;=70000,(V236-55000)*15%+1500,
IF(V236&lt;=200000,(V236-70000)*20%+1500+2250,
IF(V236&lt;=400000,(V236-200000)*22.5%+1500+2250+26000,
IF(V236&lt;=600000,(V236-400000)*25%+1500+2250+26000+45000,
IF(AND(V236&gt;600000,V236&lt;=1200000),(V236-400000)*25%+1500+2250+26000+45000
+IFERROR(LOOKUP(V236,{600001;700001;800001;900001},{4000;6750;10250;15250}),0),IF(V236&gt;1200000,((V236-1200000)*27.5%)+300000,0)
)))))))</f>
        <v>0</v>
      </c>
      <c r="X236" s="12">
        <f t="shared" si="67"/>
        <v>0</v>
      </c>
      <c r="Y236" s="12">
        <f t="shared" si="68"/>
        <v>0</v>
      </c>
      <c r="Z236" s="11"/>
      <c r="AA236" s="13">
        <f t="shared" si="69"/>
        <v>0</v>
      </c>
      <c r="AB236" s="12">
        <f t="shared" si="70"/>
        <v>0</v>
      </c>
      <c r="AC236" s="14">
        <f t="shared" si="58"/>
        <v>0</v>
      </c>
      <c r="AE236" s="19">
        <f t="shared" si="71"/>
        <v>0</v>
      </c>
      <c r="AF236" s="19"/>
      <c r="AG236" s="17"/>
      <c r="AK236" s="7"/>
      <c r="AL236" s="108">
        <f t="shared" si="59"/>
        <v>0</v>
      </c>
      <c r="AM236" s="108">
        <f t="shared" si="60"/>
        <v>0</v>
      </c>
      <c r="AN236" s="113"/>
    </row>
    <row r="237" spans="2:40" x14ac:dyDescent="0.2">
      <c r="B237" s="7"/>
      <c r="C237" s="8"/>
      <c r="D237" s="8"/>
      <c r="E237" s="9"/>
      <c r="F237" s="6"/>
      <c r="G237" s="8"/>
      <c r="H237" s="32"/>
      <c r="I237" s="10" t="str">
        <f t="shared" si="57"/>
        <v>21</v>
      </c>
      <c r="J237" s="11">
        <v>1</v>
      </c>
      <c r="K237" s="11"/>
      <c r="L237" s="11"/>
      <c r="M237" s="11">
        <f t="shared" si="61"/>
        <v>0</v>
      </c>
      <c r="N237" s="11"/>
      <c r="O237" s="11">
        <f t="shared" si="62"/>
        <v>0</v>
      </c>
      <c r="P237" s="11"/>
      <c r="Q237" s="11"/>
      <c r="R237" s="11"/>
      <c r="S237" s="11">
        <f t="shared" si="63"/>
        <v>0</v>
      </c>
      <c r="T237" s="11">
        <f t="shared" si="64"/>
        <v>1666.6666666666667</v>
      </c>
      <c r="U237" s="11">
        <f t="shared" si="65"/>
        <v>0</v>
      </c>
      <c r="V237" s="24">
        <f t="shared" si="66"/>
        <v>0</v>
      </c>
      <c r="W237" s="11">
        <f>IF(V237&lt;=40000,0,
IF(V237&lt;=55000,(V237-40000)*10%,
IF(V237&lt;=70000,(V237-55000)*15%+1500,
IF(V237&lt;=200000,(V237-70000)*20%+1500+2250,
IF(V237&lt;=400000,(V237-200000)*22.5%+1500+2250+26000,
IF(V237&lt;=600000,(V237-400000)*25%+1500+2250+26000+45000,
IF(AND(V237&gt;600000,V237&lt;=1200000),(V237-400000)*25%+1500+2250+26000+45000
+IFERROR(LOOKUP(V237,{600001;700001;800001;900001},{4000;6750;10250;15250}),0),IF(V237&gt;1200000,((V237-1200000)*27.5%)+300000,0)
)))))))</f>
        <v>0</v>
      </c>
      <c r="X237" s="12">
        <f t="shared" si="67"/>
        <v>0</v>
      </c>
      <c r="Y237" s="12">
        <f t="shared" si="68"/>
        <v>0</v>
      </c>
      <c r="Z237" s="11"/>
      <c r="AA237" s="13">
        <f t="shared" si="69"/>
        <v>0</v>
      </c>
      <c r="AB237" s="12">
        <f t="shared" si="70"/>
        <v>0</v>
      </c>
      <c r="AC237" s="14">
        <f t="shared" si="58"/>
        <v>0</v>
      </c>
      <c r="AE237" s="19">
        <f t="shared" si="71"/>
        <v>0</v>
      </c>
      <c r="AF237" s="19"/>
      <c r="AG237" s="17"/>
      <c r="AK237" s="7"/>
      <c r="AL237" s="108">
        <f t="shared" si="59"/>
        <v>0</v>
      </c>
      <c r="AM237" s="108">
        <f t="shared" si="60"/>
        <v>0</v>
      </c>
      <c r="AN237" s="113"/>
    </row>
    <row r="238" spans="2:40" x14ac:dyDescent="0.2">
      <c r="B238" s="7"/>
      <c r="C238" s="8"/>
      <c r="D238" s="8"/>
      <c r="E238" s="9"/>
      <c r="F238" s="6"/>
      <c r="G238" s="8"/>
      <c r="H238" s="32"/>
      <c r="I238" s="10" t="str">
        <f t="shared" si="57"/>
        <v>21</v>
      </c>
      <c r="J238" s="11">
        <v>1</v>
      </c>
      <c r="K238" s="11"/>
      <c r="L238" s="11"/>
      <c r="M238" s="11">
        <f t="shared" si="61"/>
        <v>0</v>
      </c>
      <c r="N238" s="11"/>
      <c r="O238" s="11">
        <f t="shared" si="62"/>
        <v>0</v>
      </c>
      <c r="P238" s="11"/>
      <c r="Q238" s="11"/>
      <c r="R238" s="11"/>
      <c r="S238" s="11">
        <f t="shared" si="63"/>
        <v>0</v>
      </c>
      <c r="T238" s="11">
        <f t="shared" si="64"/>
        <v>1666.6666666666667</v>
      </c>
      <c r="U238" s="11">
        <f t="shared" si="65"/>
        <v>0</v>
      </c>
      <c r="V238" s="24">
        <f t="shared" si="66"/>
        <v>0</v>
      </c>
      <c r="W238" s="11">
        <f>IF(V238&lt;=40000,0,
IF(V238&lt;=55000,(V238-40000)*10%,
IF(V238&lt;=70000,(V238-55000)*15%+1500,
IF(V238&lt;=200000,(V238-70000)*20%+1500+2250,
IF(V238&lt;=400000,(V238-200000)*22.5%+1500+2250+26000,
IF(V238&lt;=600000,(V238-400000)*25%+1500+2250+26000+45000,
IF(AND(V238&gt;600000,V238&lt;=1200000),(V238-400000)*25%+1500+2250+26000+45000
+IFERROR(LOOKUP(V238,{600001;700001;800001;900001},{4000;6750;10250;15250}),0),IF(V238&gt;1200000,((V238-1200000)*27.5%)+300000,0)
)))))))</f>
        <v>0</v>
      </c>
      <c r="X238" s="12">
        <f t="shared" si="67"/>
        <v>0</v>
      </c>
      <c r="Y238" s="12">
        <f t="shared" si="68"/>
        <v>0</v>
      </c>
      <c r="Z238" s="11"/>
      <c r="AA238" s="13">
        <f t="shared" si="69"/>
        <v>0</v>
      </c>
      <c r="AB238" s="12">
        <f t="shared" si="70"/>
        <v>0</v>
      </c>
      <c r="AC238" s="14">
        <f t="shared" si="58"/>
        <v>0</v>
      </c>
      <c r="AE238" s="19">
        <f t="shared" si="71"/>
        <v>0</v>
      </c>
      <c r="AF238" s="19"/>
      <c r="AG238" s="17"/>
      <c r="AK238" s="7"/>
      <c r="AL238" s="108">
        <f t="shared" si="59"/>
        <v>0</v>
      </c>
      <c r="AM238" s="108">
        <f t="shared" si="60"/>
        <v>0</v>
      </c>
      <c r="AN238" s="113"/>
    </row>
    <row r="239" spans="2:40" x14ac:dyDescent="0.2">
      <c r="B239" s="7"/>
      <c r="C239" s="8"/>
      <c r="D239" s="8"/>
      <c r="E239" s="9"/>
      <c r="F239" s="6"/>
      <c r="G239" s="8"/>
      <c r="H239" s="32"/>
      <c r="I239" s="10" t="str">
        <f t="shared" si="57"/>
        <v>21</v>
      </c>
      <c r="J239" s="11">
        <v>1</v>
      </c>
      <c r="K239" s="11"/>
      <c r="L239" s="11"/>
      <c r="M239" s="11">
        <f t="shared" si="61"/>
        <v>0</v>
      </c>
      <c r="N239" s="11"/>
      <c r="O239" s="11">
        <f t="shared" si="62"/>
        <v>0</v>
      </c>
      <c r="P239" s="11"/>
      <c r="Q239" s="11"/>
      <c r="R239" s="11"/>
      <c r="S239" s="11">
        <f t="shared" si="63"/>
        <v>0</v>
      </c>
      <c r="T239" s="11">
        <f t="shared" si="64"/>
        <v>1666.6666666666667</v>
      </c>
      <c r="U239" s="11">
        <f t="shared" si="65"/>
        <v>0</v>
      </c>
      <c r="V239" s="24">
        <f t="shared" si="66"/>
        <v>0</v>
      </c>
      <c r="W239" s="11">
        <f>IF(V239&lt;=40000,0,
IF(V239&lt;=55000,(V239-40000)*10%,
IF(V239&lt;=70000,(V239-55000)*15%+1500,
IF(V239&lt;=200000,(V239-70000)*20%+1500+2250,
IF(V239&lt;=400000,(V239-200000)*22.5%+1500+2250+26000,
IF(V239&lt;=600000,(V239-400000)*25%+1500+2250+26000+45000,
IF(AND(V239&gt;600000,V239&lt;=1200000),(V239-400000)*25%+1500+2250+26000+45000
+IFERROR(LOOKUP(V239,{600001;700001;800001;900001},{4000;6750;10250;15250}),0),IF(V239&gt;1200000,((V239-1200000)*27.5%)+300000,0)
)))))))</f>
        <v>0</v>
      </c>
      <c r="X239" s="12">
        <f t="shared" si="67"/>
        <v>0</v>
      </c>
      <c r="Y239" s="12">
        <f t="shared" si="68"/>
        <v>0</v>
      </c>
      <c r="Z239" s="11"/>
      <c r="AA239" s="13">
        <f t="shared" si="69"/>
        <v>0</v>
      </c>
      <c r="AB239" s="12">
        <f t="shared" si="70"/>
        <v>0</v>
      </c>
      <c r="AC239" s="14">
        <f t="shared" si="58"/>
        <v>0</v>
      </c>
      <c r="AE239" s="19">
        <f t="shared" si="71"/>
        <v>0</v>
      </c>
      <c r="AF239" s="19"/>
      <c r="AG239" s="17"/>
      <c r="AK239" s="7"/>
      <c r="AL239" s="108">
        <f t="shared" si="59"/>
        <v>0</v>
      </c>
      <c r="AM239" s="108">
        <f t="shared" si="60"/>
        <v>0</v>
      </c>
      <c r="AN239" s="113"/>
    </row>
    <row r="240" spans="2:40" x14ac:dyDescent="0.2">
      <c r="B240" s="7"/>
      <c r="C240" s="8"/>
      <c r="D240" s="8"/>
      <c r="E240" s="9"/>
      <c r="F240" s="6"/>
      <c r="G240" s="8"/>
      <c r="H240" s="32"/>
      <c r="I240" s="10" t="str">
        <f t="shared" si="57"/>
        <v>21</v>
      </c>
      <c r="J240" s="11">
        <v>1</v>
      </c>
      <c r="K240" s="11"/>
      <c r="L240" s="11"/>
      <c r="M240" s="11">
        <f t="shared" si="61"/>
        <v>0</v>
      </c>
      <c r="N240" s="11"/>
      <c r="O240" s="11">
        <f t="shared" si="62"/>
        <v>0</v>
      </c>
      <c r="P240" s="11"/>
      <c r="Q240" s="11"/>
      <c r="R240" s="11"/>
      <c r="S240" s="11">
        <f t="shared" si="63"/>
        <v>0</v>
      </c>
      <c r="T240" s="11">
        <f t="shared" si="64"/>
        <v>1666.6666666666667</v>
      </c>
      <c r="U240" s="11">
        <f t="shared" si="65"/>
        <v>0</v>
      </c>
      <c r="V240" s="24">
        <f t="shared" si="66"/>
        <v>0</v>
      </c>
      <c r="W240" s="11">
        <f>IF(V240&lt;=40000,0,
IF(V240&lt;=55000,(V240-40000)*10%,
IF(V240&lt;=70000,(V240-55000)*15%+1500,
IF(V240&lt;=200000,(V240-70000)*20%+1500+2250,
IF(V240&lt;=400000,(V240-200000)*22.5%+1500+2250+26000,
IF(V240&lt;=600000,(V240-400000)*25%+1500+2250+26000+45000,
IF(AND(V240&gt;600000,V240&lt;=1200000),(V240-400000)*25%+1500+2250+26000+45000
+IFERROR(LOOKUP(V240,{600001;700001;800001;900001},{4000;6750;10250;15250}),0),IF(V240&gt;1200000,((V240-1200000)*27.5%)+300000,0)
)))))))</f>
        <v>0</v>
      </c>
      <c r="X240" s="12">
        <f t="shared" si="67"/>
        <v>0</v>
      </c>
      <c r="Y240" s="12">
        <f t="shared" si="68"/>
        <v>0</v>
      </c>
      <c r="Z240" s="11"/>
      <c r="AA240" s="13">
        <f t="shared" si="69"/>
        <v>0</v>
      </c>
      <c r="AB240" s="12">
        <f t="shared" si="70"/>
        <v>0</v>
      </c>
      <c r="AC240" s="14">
        <f t="shared" si="58"/>
        <v>0</v>
      </c>
      <c r="AE240" s="19">
        <f t="shared" si="71"/>
        <v>0</v>
      </c>
      <c r="AF240" s="19"/>
      <c r="AG240" s="17"/>
      <c r="AK240" s="7"/>
      <c r="AL240" s="108">
        <f t="shared" si="59"/>
        <v>0</v>
      </c>
      <c r="AM240" s="108">
        <f t="shared" si="60"/>
        <v>0</v>
      </c>
      <c r="AN240" s="113"/>
    </row>
    <row r="241" spans="2:40" x14ac:dyDescent="0.2">
      <c r="B241" s="7"/>
      <c r="C241" s="8"/>
      <c r="D241" s="8"/>
      <c r="E241" s="9"/>
      <c r="F241" s="6"/>
      <c r="G241" s="8"/>
      <c r="H241" s="32"/>
      <c r="I241" s="10" t="str">
        <f t="shared" si="57"/>
        <v>21</v>
      </c>
      <c r="J241" s="11">
        <v>1</v>
      </c>
      <c r="K241" s="11"/>
      <c r="L241" s="11"/>
      <c r="M241" s="11">
        <f t="shared" si="61"/>
        <v>0</v>
      </c>
      <c r="N241" s="11"/>
      <c r="O241" s="11">
        <f t="shared" si="62"/>
        <v>0</v>
      </c>
      <c r="P241" s="11"/>
      <c r="Q241" s="11"/>
      <c r="R241" s="11"/>
      <c r="S241" s="11">
        <f t="shared" si="63"/>
        <v>0</v>
      </c>
      <c r="T241" s="11">
        <f t="shared" si="64"/>
        <v>1666.6666666666667</v>
      </c>
      <c r="U241" s="11">
        <f t="shared" si="65"/>
        <v>0</v>
      </c>
      <c r="V241" s="24">
        <f t="shared" si="66"/>
        <v>0</v>
      </c>
      <c r="W241" s="11">
        <f>IF(V241&lt;=40000,0,
IF(V241&lt;=55000,(V241-40000)*10%,
IF(V241&lt;=70000,(V241-55000)*15%+1500,
IF(V241&lt;=200000,(V241-70000)*20%+1500+2250,
IF(V241&lt;=400000,(V241-200000)*22.5%+1500+2250+26000,
IF(V241&lt;=600000,(V241-400000)*25%+1500+2250+26000+45000,
IF(AND(V241&gt;600000,V241&lt;=1200000),(V241-400000)*25%+1500+2250+26000+45000
+IFERROR(LOOKUP(V241,{600001;700001;800001;900001},{4000;6750;10250;15250}),0),IF(V241&gt;1200000,((V241-1200000)*27.5%)+300000,0)
)))))))</f>
        <v>0</v>
      </c>
      <c r="X241" s="12">
        <f t="shared" si="67"/>
        <v>0</v>
      </c>
      <c r="Y241" s="12">
        <f t="shared" si="68"/>
        <v>0</v>
      </c>
      <c r="Z241" s="11"/>
      <c r="AA241" s="13">
        <f t="shared" si="69"/>
        <v>0</v>
      </c>
      <c r="AB241" s="12">
        <f t="shared" si="70"/>
        <v>0</v>
      </c>
      <c r="AC241" s="14">
        <f t="shared" si="58"/>
        <v>0</v>
      </c>
      <c r="AE241" s="19">
        <f t="shared" si="71"/>
        <v>0</v>
      </c>
      <c r="AF241" s="19"/>
      <c r="AG241" s="17"/>
      <c r="AK241" s="7"/>
      <c r="AL241" s="108">
        <f t="shared" si="59"/>
        <v>0</v>
      </c>
      <c r="AM241" s="108">
        <f t="shared" si="60"/>
        <v>0</v>
      </c>
      <c r="AN241" s="113"/>
    </row>
    <row r="242" spans="2:40" x14ac:dyDescent="0.2">
      <c r="B242" s="7"/>
      <c r="C242" s="8"/>
      <c r="D242" s="8"/>
      <c r="E242" s="9"/>
      <c r="F242" s="6"/>
      <c r="G242" s="8"/>
      <c r="H242" s="32"/>
      <c r="I242" s="10" t="str">
        <f t="shared" si="57"/>
        <v>21</v>
      </c>
      <c r="J242" s="11">
        <v>1</v>
      </c>
      <c r="K242" s="11"/>
      <c r="L242" s="11"/>
      <c r="M242" s="11">
        <f t="shared" si="61"/>
        <v>0</v>
      </c>
      <c r="N242" s="11"/>
      <c r="O242" s="11">
        <f t="shared" si="62"/>
        <v>0</v>
      </c>
      <c r="P242" s="11"/>
      <c r="Q242" s="11"/>
      <c r="R242" s="11"/>
      <c r="S242" s="11">
        <f t="shared" si="63"/>
        <v>0</v>
      </c>
      <c r="T242" s="11">
        <f t="shared" si="64"/>
        <v>1666.6666666666667</v>
      </c>
      <c r="U242" s="11">
        <f t="shared" si="65"/>
        <v>0</v>
      </c>
      <c r="V242" s="24">
        <f t="shared" si="66"/>
        <v>0</v>
      </c>
      <c r="W242" s="11">
        <f>IF(V242&lt;=40000,0,
IF(V242&lt;=55000,(V242-40000)*10%,
IF(V242&lt;=70000,(V242-55000)*15%+1500,
IF(V242&lt;=200000,(V242-70000)*20%+1500+2250,
IF(V242&lt;=400000,(V242-200000)*22.5%+1500+2250+26000,
IF(V242&lt;=600000,(V242-400000)*25%+1500+2250+26000+45000,
IF(AND(V242&gt;600000,V242&lt;=1200000),(V242-400000)*25%+1500+2250+26000+45000
+IFERROR(LOOKUP(V242,{600001;700001;800001;900001},{4000;6750;10250;15250}),0),IF(V242&gt;1200000,((V242-1200000)*27.5%)+300000,0)
)))))))</f>
        <v>0</v>
      </c>
      <c r="X242" s="12">
        <f t="shared" si="67"/>
        <v>0</v>
      </c>
      <c r="Y242" s="12">
        <f t="shared" si="68"/>
        <v>0</v>
      </c>
      <c r="Z242" s="11"/>
      <c r="AA242" s="13">
        <f t="shared" si="69"/>
        <v>0</v>
      </c>
      <c r="AB242" s="12">
        <f t="shared" si="70"/>
        <v>0</v>
      </c>
      <c r="AC242" s="14">
        <f t="shared" si="58"/>
        <v>0</v>
      </c>
      <c r="AE242" s="19">
        <f t="shared" si="71"/>
        <v>0</v>
      </c>
      <c r="AF242" s="19"/>
      <c r="AG242" s="17"/>
      <c r="AK242" s="7"/>
      <c r="AL242" s="108">
        <f t="shared" si="59"/>
        <v>0</v>
      </c>
      <c r="AM242" s="108">
        <f t="shared" si="60"/>
        <v>0</v>
      </c>
      <c r="AN242" s="113"/>
    </row>
    <row r="243" spans="2:40" x14ac:dyDescent="0.2">
      <c r="B243" s="7"/>
      <c r="C243" s="8"/>
      <c r="D243" s="8"/>
      <c r="E243" s="9"/>
      <c r="F243" s="6"/>
      <c r="G243" s="8"/>
      <c r="H243" s="32"/>
      <c r="I243" s="10" t="str">
        <f t="shared" si="57"/>
        <v>21</v>
      </c>
      <c r="J243" s="11">
        <v>1</v>
      </c>
      <c r="K243" s="11"/>
      <c r="L243" s="11"/>
      <c r="M243" s="11">
        <f t="shared" si="61"/>
        <v>0</v>
      </c>
      <c r="N243" s="11"/>
      <c r="O243" s="11">
        <f t="shared" si="62"/>
        <v>0</v>
      </c>
      <c r="P243" s="11"/>
      <c r="Q243" s="11"/>
      <c r="R243" s="11"/>
      <c r="S243" s="11">
        <f t="shared" si="63"/>
        <v>0</v>
      </c>
      <c r="T243" s="11">
        <f t="shared" si="64"/>
        <v>1666.6666666666667</v>
      </c>
      <c r="U243" s="11">
        <f t="shared" si="65"/>
        <v>0</v>
      </c>
      <c r="V243" s="24">
        <f t="shared" si="66"/>
        <v>0</v>
      </c>
      <c r="W243" s="11">
        <f>IF(V243&lt;=40000,0,
IF(V243&lt;=55000,(V243-40000)*10%,
IF(V243&lt;=70000,(V243-55000)*15%+1500,
IF(V243&lt;=200000,(V243-70000)*20%+1500+2250,
IF(V243&lt;=400000,(V243-200000)*22.5%+1500+2250+26000,
IF(V243&lt;=600000,(V243-400000)*25%+1500+2250+26000+45000,
IF(AND(V243&gt;600000,V243&lt;=1200000),(V243-400000)*25%+1500+2250+26000+45000
+IFERROR(LOOKUP(V243,{600001;700001;800001;900001},{4000;6750;10250;15250}),0),IF(V243&gt;1200000,((V243-1200000)*27.5%)+300000,0)
)))))))</f>
        <v>0</v>
      </c>
      <c r="X243" s="12">
        <f t="shared" si="67"/>
        <v>0</v>
      </c>
      <c r="Y243" s="12">
        <f t="shared" si="68"/>
        <v>0</v>
      </c>
      <c r="Z243" s="11"/>
      <c r="AA243" s="13">
        <f t="shared" si="69"/>
        <v>0</v>
      </c>
      <c r="AB243" s="12">
        <f t="shared" si="70"/>
        <v>0</v>
      </c>
      <c r="AC243" s="14">
        <f t="shared" si="58"/>
        <v>0</v>
      </c>
      <c r="AE243" s="19">
        <f t="shared" si="71"/>
        <v>0</v>
      </c>
      <c r="AF243" s="19"/>
      <c r="AG243" s="17"/>
      <c r="AK243" s="7"/>
      <c r="AL243" s="108">
        <f t="shared" si="59"/>
        <v>0</v>
      </c>
      <c r="AM243" s="108">
        <f t="shared" si="60"/>
        <v>0</v>
      </c>
      <c r="AN243" s="113"/>
    </row>
    <row r="244" spans="2:40" x14ac:dyDescent="0.2">
      <c r="B244" s="7"/>
      <c r="C244" s="8"/>
      <c r="D244" s="8"/>
      <c r="E244" s="9"/>
      <c r="F244" s="6"/>
      <c r="G244" s="8"/>
      <c r="H244" s="32"/>
      <c r="I244" s="10" t="str">
        <f t="shared" si="57"/>
        <v>21</v>
      </c>
      <c r="J244" s="11">
        <v>1</v>
      </c>
      <c r="K244" s="11"/>
      <c r="L244" s="11"/>
      <c r="M244" s="11">
        <f t="shared" si="61"/>
        <v>0</v>
      </c>
      <c r="N244" s="11"/>
      <c r="O244" s="11">
        <f t="shared" si="62"/>
        <v>0</v>
      </c>
      <c r="P244" s="11"/>
      <c r="Q244" s="11"/>
      <c r="R244" s="11"/>
      <c r="S244" s="11">
        <f t="shared" si="63"/>
        <v>0</v>
      </c>
      <c r="T244" s="11">
        <f t="shared" si="64"/>
        <v>1666.6666666666667</v>
      </c>
      <c r="U244" s="11">
        <f t="shared" si="65"/>
        <v>0</v>
      </c>
      <c r="V244" s="24">
        <f t="shared" si="66"/>
        <v>0</v>
      </c>
      <c r="W244" s="11">
        <f>IF(V244&lt;=40000,0,
IF(V244&lt;=55000,(V244-40000)*10%,
IF(V244&lt;=70000,(V244-55000)*15%+1500,
IF(V244&lt;=200000,(V244-70000)*20%+1500+2250,
IF(V244&lt;=400000,(V244-200000)*22.5%+1500+2250+26000,
IF(V244&lt;=600000,(V244-400000)*25%+1500+2250+26000+45000,
IF(AND(V244&gt;600000,V244&lt;=1200000),(V244-400000)*25%+1500+2250+26000+45000
+IFERROR(LOOKUP(V244,{600001;700001;800001;900001},{4000;6750;10250;15250}),0),IF(V244&gt;1200000,((V244-1200000)*27.5%)+300000,0)
)))))))</f>
        <v>0</v>
      </c>
      <c r="X244" s="12">
        <f t="shared" si="67"/>
        <v>0</v>
      </c>
      <c r="Y244" s="12">
        <f t="shared" si="68"/>
        <v>0</v>
      </c>
      <c r="Z244" s="11"/>
      <c r="AA244" s="13">
        <f t="shared" si="69"/>
        <v>0</v>
      </c>
      <c r="AB244" s="12">
        <f t="shared" si="70"/>
        <v>0</v>
      </c>
      <c r="AC244" s="14">
        <f t="shared" si="58"/>
        <v>0</v>
      </c>
      <c r="AE244" s="19">
        <f t="shared" si="71"/>
        <v>0</v>
      </c>
      <c r="AF244" s="19"/>
      <c r="AG244" s="17"/>
      <c r="AK244" s="7"/>
      <c r="AL244" s="108">
        <f t="shared" si="59"/>
        <v>0</v>
      </c>
      <c r="AM244" s="108">
        <f t="shared" si="60"/>
        <v>0</v>
      </c>
      <c r="AN244" s="113"/>
    </row>
    <row r="245" spans="2:40" x14ac:dyDescent="0.2">
      <c r="B245" s="7"/>
      <c r="C245" s="8"/>
      <c r="D245" s="8"/>
      <c r="E245" s="9"/>
      <c r="F245" s="6"/>
      <c r="G245" s="8"/>
      <c r="H245" s="32"/>
      <c r="I245" s="10" t="str">
        <f t="shared" si="57"/>
        <v>21</v>
      </c>
      <c r="J245" s="11">
        <v>1</v>
      </c>
      <c r="K245" s="11"/>
      <c r="L245" s="11"/>
      <c r="M245" s="11">
        <f t="shared" si="61"/>
        <v>0</v>
      </c>
      <c r="N245" s="11"/>
      <c r="O245" s="11">
        <f t="shared" si="62"/>
        <v>0</v>
      </c>
      <c r="P245" s="11"/>
      <c r="Q245" s="11"/>
      <c r="R245" s="11"/>
      <c r="S245" s="11">
        <f t="shared" si="63"/>
        <v>0</v>
      </c>
      <c r="T245" s="11">
        <f t="shared" si="64"/>
        <v>1666.6666666666667</v>
      </c>
      <c r="U245" s="11">
        <f t="shared" si="65"/>
        <v>0</v>
      </c>
      <c r="V245" s="24">
        <f t="shared" si="66"/>
        <v>0</v>
      </c>
      <c r="W245" s="11">
        <f>IF(V245&lt;=40000,0,
IF(V245&lt;=55000,(V245-40000)*10%,
IF(V245&lt;=70000,(V245-55000)*15%+1500,
IF(V245&lt;=200000,(V245-70000)*20%+1500+2250,
IF(V245&lt;=400000,(V245-200000)*22.5%+1500+2250+26000,
IF(V245&lt;=600000,(V245-400000)*25%+1500+2250+26000+45000,
IF(AND(V245&gt;600000,V245&lt;=1200000),(V245-400000)*25%+1500+2250+26000+45000
+IFERROR(LOOKUP(V245,{600001;700001;800001;900001},{4000;6750;10250;15250}),0),IF(V245&gt;1200000,((V245-1200000)*27.5%)+300000,0)
)))))))</f>
        <v>0</v>
      </c>
      <c r="X245" s="12">
        <f t="shared" si="67"/>
        <v>0</v>
      </c>
      <c r="Y245" s="12">
        <f t="shared" si="68"/>
        <v>0</v>
      </c>
      <c r="Z245" s="11"/>
      <c r="AA245" s="13">
        <f t="shared" si="69"/>
        <v>0</v>
      </c>
      <c r="AB245" s="12">
        <f t="shared" si="70"/>
        <v>0</v>
      </c>
      <c r="AC245" s="14">
        <f t="shared" si="58"/>
        <v>0</v>
      </c>
      <c r="AE245" s="19">
        <f t="shared" si="71"/>
        <v>0</v>
      </c>
      <c r="AF245" s="19"/>
      <c r="AG245" s="17"/>
      <c r="AK245" s="7"/>
      <c r="AL245" s="108">
        <f t="shared" si="59"/>
        <v>0</v>
      </c>
      <c r="AM245" s="108">
        <f t="shared" si="60"/>
        <v>0</v>
      </c>
      <c r="AN245" s="113"/>
    </row>
    <row r="246" spans="2:40" x14ac:dyDescent="0.2">
      <c r="B246" s="7"/>
      <c r="C246" s="8"/>
      <c r="D246" s="8"/>
      <c r="E246" s="9"/>
      <c r="F246" s="6"/>
      <c r="G246" s="8"/>
      <c r="H246" s="32"/>
      <c r="I246" s="10" t="str">
        <f t="shared" si="57"/>
        <v>21</v>
      </c>
      <c r="J246" s="11">
        <v>1</v>
      </c>
      <c r="K246" s="11"/>
      <c r="L246" s="11"/>
      <c r="M246" s="11">
        <f t="shared" si="61"/>
        <v>0</v>
      </c>
      <c r="N246" s="11"/>
      <c r="O246" s="11">
        <f t="shared" si="62"/>
        <v>0</v>
      </c>
      <c r="P246" s="11"/>
      <c r="Q246" s="11"/>
      <c r="R246" s="11"/>
      <c r="S246" s="11">
        <f t="shared" si="63"/>
        <v>0</v>
      </c>
      <c r="T246" s="11">
        <f t="shared" si="64"/>
        <v>1666.6666666666667</v>
      </c>
      <c r="U246" s="11">
        <f t="shared" si="65"/>
        <v>0</v>
      </c>
      <c r="V246" s="24">
        <f t="shared" si="66"/>
        <v>0</v>
      </c>
      <c r="W246" s="11">
        <f>IF(V246&lt;=40000,0,
IF(V246&lt;=55000,(V246-40000)*10%,
IF(V246&lt;=70000,(V246-55000)*15%+1500,
IF(V246&lt;=200000,(V246-70000)*20%+1500+2250,
IF(V246&lt;=400000,(V246-200000)*22.5%+1500+2250+26000,
IF(V246&lt;=600000,(V246-400000)*25%+1500+2250+26000+45000,
IF(AND(V246&gt;600000,V246&lt;=1200000),(V246-400000)*25%+1500+2250+26000+45000
+IFERROR(LOOKUP(V246,{600001;700001;800001;900001},{4000;6750;10250;15250}),0),IF(V246&gt;1200000,((V246-1200000)*27.5%)+300000,0)
)))))))</f>
        <v>0</v>
      </c>
      <c r="X246" s="12">
        <f t="shared" si="67"/>
        <v>0</v>
      </c>
      <c r="Y246" s="12">
        <f t="shared" si="68"/>
        <v>0</v>
      </c>
      <c r="Z246" s="11"/>
      <c r="AA246" s="13">
        <f t="shared" si="69"/>
        <v>0</v>
      </c>
      <c r="AB246" s="12">
        <f t="shared" si="70"/>
        <v>0</v>
      </c>
      <c r="AC246" s="14">
        <f t="shared" si="58"/>
        <v>0</v>
      </c>
      <c r="AE246" s="19">
        <f t="shared" si="71"/>
        <v>0</v>
      </c>
      <c r="AF246" s="19"/>
      <c r="AG246" s="17"/>
      <c r="AK246" s="7"/>
      <c r="AL246" s="108">
        <f t="shared" si="59"/>
        <v>0</v>
      </c>
      <c r="AM246" s="108">
        <f t="shared" si="60"/>
        <v>0</v>
      </c>
      <c r="AN246" s="113"/>
    </row>
    <row r="247" spans="2:40" x14ac:dyDescent="0.2">
      <c r="B247" s="7"/>
      <c r="C247" s="8"/>
      <c r="D247" s="8"/>
      <c r="E247" s="9"/>
      <c r="F247" s="6"/>
      <c r="G247" s="8"/>
      <c r="H247" s="32"/>
      <c r="I247" s="10" t="str">
        <f t="shared" si="57"/>
        <v>21</v>
      </c>
      <c r="J247" s="11">
        <v>1</v>
      </c>
      <c r="K247" s="11"/>
      <c r="L247" s="11"/>
      <c r="M247" s="11">
        <f t="shared" si="61"/>
        <v>0</v>
      </c>
      <c r="N247" s="11"/>
      <c r="O247" s="11">
        <f t="shared" si="62"/>
        <v>0</v>
      </c>
      <c r="P247" s="11"/>
      <c r="Q247" s="11"/>
      <c r="R247" s="11"/>
      <c r="S247" s="11">
        <f t="shared" si="63"/>
        <v>0</v>
      </c>
      <c r="T247" s="11">
        <f t="shared" si="64"/>
        <v>1666.6666666666667</v>
      </c>
      <c r="U247" s="11">
        <f t="shared" si="65"/>
        <v>0</v>
      </c>
      <c r="V247" s="24">
        <f t="shared" si="66"/>
        <v>0</v>
      </c>
      <c r="W247" s="11">
        <f>IF(V247&lt;=40000,0,
IF(V247&lt;=55000,(V247-40000)*10%,
IF(V247&lt;=70000,(V247-55000)*15%+1500,
IF(V247&lt;=200000,(V247-70000)*20%+1500+2250,
IF(V247&lt;=400000,(V247-200000)*22.5%+1500+2250+26000,
IF(V247&lt;=600000,(V247-400000)*25%+1500+2250+26000+45000,
IF(AND(V247&gt;600000,V247&lt;=1200000),(V247-400000)*25%+1500+2250+26000+45000
+IFERROR(LOOKUP(V247,{600001;700001;800001;900001},{4000;6750;10250;15250}),0),IF(V247&gt;1200000,((V247-1200000)*27.5%)+300000,0)
)))))))</f>
        <v>0</v>
      </c>
      <c r="X247" s="12">
        <f t="shared" si="67"/>
        <v>0</v>
      </c>
      <c r="Y247" s="12">
        <f t="shared" si="68"/>
        <v>0</v>
      </c>
      <c r="Z247" s="11"/>
      <c r="AA247" s="13">
        <f t="shared" si="69"/>
        <v>0</v>
      </c>
      <c r="AB247" s="12">
        <f t="shared" si="70"/>
        <v>0</v>
      </c>
      <c r="AC247" s="14">
        <f t="shared" si="58"/>
        <v>0</v>
      </c>
      <c r="AE247" s="19">
        <f t="shared" si="71"/>
        <v>0</v>
      </c>
      <c r="AF247" s="19"/>
      <c r="AG247" s="17"/>
      <c r="AK247" s="7"/>
      <c r="AL247" s="108">
        <f t="shared" si="59"/>
        <v>0</v>
      </c>
      <c r="AM247" s="108">
        <f t="shared" si="60"/>
        <v>0</v>
      </c>
      <c r="AN247" s="113"/>
    </row>
    <row r="248" spans="2:40" x14ac:dyDescent="0.2">
      <c r="B248" s="7"/>
      <c r="C248" s="8"/>
      <c r="D248" s="8"/>
      <c r="E248" s="9"/>
      <c r="F248" s="6"/>
      <c r="G248" s="8"/>
      <c r="H248" s="32"/>
      <c r="I248" s="10" t="str">
        <f t="shared" si="57"/>
        <v>21</v>
      </c>
      <c r="J248" s="11">
        <v>1</v>
      </c>
      <c r="K248" s="11"/>
      <c r="L248" s="11"/>
      <c r="M248" s="11">
        <f t="shared" si="61"/>
        <v>0</v>
      </c>
      <c r="N248" s="11"/>
      <c r="O248" s="11">
        <f t="shared" si="62"/>
        <v>0</v>
      </c>
      <c r="P248" s="11"/>
      <c r="Q248" s="11"/>
      <c r="R248" s="11"/>
      <c r="S248" s="11">
        <f t="shared" si="63"/>
        <v>0</v>
      </c>
      <c r="T248" s="11">
        <f t="shared" si="64"/>
        <v>1666.6666666666667</v>
      </c>
      <c r="U248" s="11">
        <f t="shared" si="65"/>
        <v>0</v>
      </c>
      <c r="V248" s="24">
        <f t="shared" si="66"/>
        <v>0</v>
      </c>
      <c r="W248" s="11">
        <f>IF(V248&lt;=40000,0,
IF(V248&lt;=55000,(V248-40000)*10%,
IF(V248&lt;=70000,(V248-55000)*15%+1500,
IF(V248&lt;=200000,(V248-70000)*20%+1500+2250,
IF(V248&lt;=400000,(V248-200000)*22.5%+1500+2250+26000,
IF(V248&lt;=600000,(V248-400000)*25%+1500+2250+26000+45000,
IF(AND(V248&gt;600000,V248&lt;=1200000),(V248-400000)*25%+1500+2250+26000+45000
+IFERROR(LOOKUP(V248,{600001;700001;800001;900001},{4000;6750;10250;15250}),0),IF(V248&gt;1200000,((V248-1200000)*27.5%)+300000,0)
)))))))</f>
        <v>0</v>
      </c>
      <c r="X248" s="12">
        <f t="shared" si="67"/>
        <v>0</v>
      </c>
      <c r="Y248" s="12">
        <f t="shared" si="68"/>
        <v>0</v>
      </c>
      <c r="Z248" s="11"/>
      <c r="AA248" s="13">
        <f t="shared" si="69"/>
        <v>0</v>
      </c>
      <c r="AB248" s="12">
        <f t="shared" si="70"/>
        <v>0</v>
      </c>
      <c r="AC248" s="14">
        <f t="shared" si="58"/>
        <v>0</v>
      </c>
      <c r="AE248" s="19">
        <f t="shared" si="71"/>
        <v>0</v>
      </c>
      <c r="AF248" s="19"/>
      <c r="AG248" s="17"/>
      <c r="AK248" s="7"/>
      <c r="AL248" s="108">
        <f t="shared" si="59"/>
        <v>0</v>
      </c>
      <c r="AM248" s="108">
        <f t="shared" si="60"/>
        <v>0</v>
      </c>
      <c r="AN248" s="113"/>
    </row>
    <row r="249" spans="2:40" x14ac:dyDescent="0.2">
      <c r="B249" s="7"/>
      <c r="C249" s="8"/>
      <c r="D249" s="8"/>
      <c r="E249" s="9"/>
      <c r="F249" s="6"/>
      <c r="G249" s="8"/>
      <c r="H249" s="32"/>
      <c r="I249" s="10" t="str">
        <f t="shared" si="57"/>
        <v>21</v>
      </c>
      <c r="J249" s="11">
        <v>1</v>
      </c>
      <c r="K249" s="11"/>
      <c r="L249" s="11"/>
      <c r="M249" s="11">
        <f t="shared" si="61"/>
        <v>0</v>
      </c>
      <c r="N249" s="11"/>
      <c r="O249" s="11">
        <f t="shared" si="62"/>
        <v>0</v>
      </c>
      <c r="P249" s="11"/>
      <c r="Q249" s="11"/>
      <c r="R249" s="11"/>
      <c r="S249" s="11">
        <f t="shared" si="63"/>
        <v>0</v>
      </c>
      <c r="T249" s="11">
        <f t="shared" si="64"/>
        <v>1666.6666666666667</v>
      </c>
      <c r="U249" s="11">
        <f t="shared" si="65"/>
        <v>0</v>
      </c>
      <c r="V249" s="24">
        <f t="shared" si="66"/>
        <v>0</v>
      </c>
      <c r="W249" s="11">
        <f>IF(V249&lt;=40000,0,
IF(V249&lt;=55000,(V249-40000)*10%,
IF(V249&lt;=70000,(V249-55000)*15%+1500,
IF(V249&lt;=200000,(V249-70000)*20%+1500+2250,
IF(V249&lt;=400000,(V249-200000)*22.5%+1500+2250+26000,
IF(V249&lt;=600000,(V249-400000)*25%+1500+2250+26000+45000,
IF(AND(V249&gt;600000,V249&lt;=1200000),(V249-400000)*25%+1500+2250+26000+45000
+IFERROR(LOOKUP(V249,{600001;700001;800001;900001},{4000;6750;10250;15250}),0),IF(V249&gt;1200000,((V249-1200000)*27.5%)+300000,0)
)))))))</f>
        <v>0</v>
      </c>
      <c r="X249" s="12">
        <f t="shared" si="67"/>
        <v>0</v>
      </c>
      <c r="Y249" s="12">
        <f t="shared" si="68"/>
        <v>0</v>
      </c>
      <c r="Z249" s="11"/>
      <c r="AA249" s="13">
        <f t="shared" si="69"/>
        <v>0</v>
      </c>
      <c r="AB249" s="12">
        <f t="shared" si="70"/>
        <v>0</v>
      </c>
      <c r="AC249" s="14">
        <f t="shared" si="58"/>
        <v>0</v>
      </c>
      <c r="AE249" s="19">
        <f t="shared" si="71"/>
        <v>0</v>
      </c>
      <c r="AF249" s="19"/>
      <c r="AG249" s="17"/>
      <c r="AK249" s="7"/>
      <c r="AL249" s="108">
        <f t="shared" si="59"/>
        <v>0</v>
      </c>
      <c r="AM249" s="108">
        <f t="shared" si="60"/>
        <v>0</v>
      </c>
      <c r="AN249" s="113"/>
    </row>
    <row r="250" spans="2:40" x14ac:dyDescent="0.2">
      <c r="B250" s="7"/>
      <c r="C250" s="8"/>
      <c r="D250" s="8"/>
      <c r="E250" s="9"/>
      <c r="F250" s="6"/>
      <c r="G250" s="8"/>
      <c r="H250" s="32"/>
      <c r="I250" s="10" t="str">
        <f t="shared" si="57"/>
        <v>21</v>
      </c>
      <c r="J250" s="11">
        <v>1</v>
      </c>
      <c r="K250" s="11"/>
      <c r="L250" s="11"/>
      <c r="M250" s="11">
        <f t="shared" si="61"/>
        <v>0</v>
      </c>
      <c r="N250" s="11"/>
      <c r="O250" s="11">
        <f t="shared" si="62"/>
        <v>0</v>
      </c>
      <c r="P250" s="11"/>
      <c r="Q250" s="11"/>
      <c r="R250" s="11"/>
      <c r="S250" s="11">
        <f t="shared" si="63"/>
        <v>0</v>
      </c>
      <c r="T250" s="11">
        <f t="shared" si="64"/>
        <v>1666.6666666666667</v>
      </c>
      <c r="U250" s="11">
        <f t="shared" si="65"/>
        <v>0</v>
      </c>
      <c r="V250" s="24">
        <f t="shared" si="66"/>
        <v>0</v>
      </c>
      <c r="W250" s="11">
        <f>IF(V250&lt;=40000,0,
IF(V250&lt;=55000,(V250-40000)*10%,
IF(V250&lt;=70000,(V250-55000)*15%+1500,
IF(V250&lt;=200000,(V250-70000)*20%+1500+2250,
IF(V250&lt;=400000,(V250-200000)*22.5%+1500+2250+26000,
IF(V250&lt;=600000,(V250-400000)*25%+1500+2250+26000+45000,
IF(AND(V250&gt;600000,V250&lt;=1200000),(V250-400000)*25%+1500+2250+26000+45000
+IFERROR(LOOKUP(V250,{600001;700001;800001;900001},{4000;6750;10250;15250}),0),IF(V250&gt;1200000,((V250-1200000)*27.5%)+300000,0)
)))))))</f>
        <v>0</v>
      </c>
      <c r="X250" s="12">
        <f t="shared" si="67"/>
        <v>0</v>
      </c>
      <c r="Y250" s="12">
        <f t="shared" si="68"/>
        <v>0</v>
      </c>
      <c r="Z250" s="11"/>
      <c r="AA250" s="13">
        <f t="shared" si="69"/>
        <v>0</v>
      </c>
      <c r="AB250" s="12">
        <f t="shared" si="70"/>
        <v>0</v>
      </c>
      <c r="AC250" s="14">
        <f t="shared" si="58"/>
        <v>0</v>
      </c>
      <c r="AE250" s="19">
        <f t="shared" si="71"/>
        <v>0</v>
      </c>
      <c r="AF250" s="19"/>
      <c r="AG250" s="17"/>
      <c r="AK250" s="7"/>
      <c r="AL250" s="108">
        <f t="shared" si="59"/>
        <v>0</v>
      </c>
      <c r="AM250" s="108">
        <f t="shared" si="60"/>
        <v>0</v>
      </c>
      <c r="AN250" s="113"/>
    </row>
    <row r="251" spans="2:40" x14ac:dyDescent="0.2">
      <c r="B251" s="7"/>
      <c r="C251" s="8"/>
      <c r="D251" s="8"/>
      <c r="E251" s="9"/>
      <c r="F251" s="6"/>
      <c r="G251" s="8"/>
      <c r="H251" s="32"/>
      <c r="I251" s="10" t="str">
        <f t="shared" si="57"/>
        <v>21</v>
      </c>
      <c r="J251" s="11">
        <v>1</v>
      </c>
      <c r="K251" s="11"/>
      <c r="L251" s="11"/>
      <c r="M251" s="11">
        <f t="shared" si="61"/>
        <v>0</v>
      </c>
      <c r="N251" s="11"/>
      <c r="O251" s="11">
        <f t="shared" si="62"/>
        <v>0</v>
      </c>
      <c r="P251" s="11"/>
      <c r="Q251" s="11"/>
      <c r="R251" s="11"/>
      <c r="S251" s="11">
        <f t="shared" si="63"/>
        <v>0</v>
      </c>
      <c r="T251" s="11">
        <f t="shared" si="64"/>
        <v>1666.6666666666667</v>
      </c>
      <c r="U251" s="11">
        <f t="shared" si="65"/>
        <v>0</v>
      </c>
      <c r="V251" s="24">
        <f t="shared" si="66"/>
        <v>0</v>
      </c>
      <c r="W251" s="11">
        <f>IF(V251&lt;=40000,0,
IF(V251&lt;=55000,(V251-40000)*10%,
IF(V251&lt;=70000,(V251-55000)*15%+1500,
IF(V251&lt;=200000,(V251-70000)*20%+1500+2250,
IF(V251&lt;=400000,(V251-200000)*22.5%+1500+2250+26000,
IF(V251&lt;=600000,(V251-400000)*25%+1500+2250+26000+45000,
IF(AND(V251&gt;600000,V251&lt;=1200000),(V251-400000)*25%+1500+2250+26000+45000
+IFERROR(LOOKUP(V251,{600001;700001;800001;900001},{4000;6750;10250;15250}),0),IF(V251&gt;1200000,((V251-1200000)*27.5%)+300000,0)
)))))))</f>
        <v>0</v>
      </c>
      <c r="X251" s="12">
        <f t="shared" si="67"/>
        <v>0</v>
      </c>
      <c r="Y251" s="12">
        <f t="shared" si="68"/>
        <v>0</v>
      </c>
      <c r="Z251" s="11"/>
      <c r="AA251" s="13">
        <f t="shared" si="69"/>
        <v>0</v>
      </c>
      <c r="AB251" s="12">
        <f t="shared" si="70"/>
        <v>0</v>
      </c>
      <c r="AC251" s="14">
        <f t="shared" si="58"/>
        <v>0</v>
      </c>
      <c r="AE251" s="19">
        <f t="shared" si="71"/>
        <v>0</v>
      </c>
      <c r="AF251" s="19"/>
      <c r="AG251" s="17"/>
      <c r="AK251" s="7"/>
      <c r="AL251" s="108">
        <f t="shared" si="59"/>
        <v>0</v>
      </c>
      <c r="AM251" s="108">
        <f t="shared" si="60"/>
        <v>0</v>
      </c>
      <c r="AN251" s="113"/>
    </row>
    <row r="252" spans="2:40" x14ac:dyDescent="0.2">
      <c r="B252" s="7"/>
      <c r="C252" s="8"/>
      <c r="D252" s="8"/>
      <c r="E252" s="9"/>
      <c r="F252" s="6"/>
      <c r="G252" s="8"/>
      <c r="H252" s="32"/>
      <c r="I252" s="10" t="str">
        <f t="shared" si="57"/>
        <v>21</v>
      </c>
      <c r="J252" s="11">
        <v>1</v>
      </c>
      <c r="K252" s="11"/>
      <c r="L252" s="11"/>
      <c r="M252" s="11">
        <f t="shared" si="61"/>
        <v>0</v>
      </c>
      <c r="N252" s="11"/>
      <c r="O252" s="11">
        <f t="shared" si="62"/>
        <v>0</v>
      </c>
      <c r="P252" s="11"/>
      <c r="Q252" s="11"/>
      <c r="R252" s="11"/>
      <c r="S252" s="11">
        <f t="shared" si="63"/>
        <v>0</v>
      </c>
      <c r="T252" s="11">
        <f t="shared" si="64"/>
        <v>1666.6666666666667</v>
      </c>
      <c r="U252" s="11">
        <f t="shared" si="65"/>
        <v>0</v>
      </c>
      <c r="V252" s="24">
        <f t="shared" si="66"/>
        <v>0</v>
      </c>
      <c r="W252" s="11">
        <f>IF(V252&lt;=40000,0,
IF(V252&lt;=55000,(V252-40000)*10%,
IF(V252&lt;=70000,(V252-55000)*15%+1500,
IF(V252&lt;=200000,(V252-70000)*20%+1500+2250,
IF(V252&lt;=400000,(V252-200000)*22.5%+1500+2250+26000,
IF(V252&lt;=600000,(V252-400000)*25%+1500+2250+26000+45000,
IF(AND(V252&gt;600000,V252&lt;=1200000),(V252-400000)*25%+1500+2250+26000+45000
+IFERROR(LOOKUP(V252,{600001;700001;800001;900001},{4000;6750;10250;15250}),0),IF(V252&gt;1200000,((V252-1200000)*27.5%)+300000,0)
)))))))</f>
        <v>0</v>
      </c>
      <c r="X252" s="12">
        <f t="shared" si="67"/>
        <v>0</v>
      </c>
      <c r="Y252" s="12">
        <f t="shared" si="68"/>
        <v>0</v>
      </c>
      <c r="Z252" s="11"/>
      <c r="AA252" s="13">
        <f t="shared" si="69"/>
        <v>0</v>
      </c>
      <c r="AB252" s="12">
        <f t="shared" si="70"/>
        <v>0</v>
      </c>
      <c r="AC252" s="14">
        <f t="shared" si="58"/>
        <v>0</v>
      </c>
      <c r="AE252" s="19">
        <f t="shared" si="71"/>
        <v>0</v>
      </c>
      <c r="AF252" s="19"/>
      <c r="AG252" s="17"/>
      <c r="AK252" s="7"/>
      <c r="AL252" s="108">
        <f t="shared" si="59"/>
        <v>0</v>
      </c>
      <c r="AM252" s="108">
        <f t="shared" si="60"/>
        <v>0</v>
      </c>
      <c r="AN252" s="113"/>
    </row>
    <row r="253" spans="2:40" x14ac:dyDescent="0.2">
      <c r="B253" s="7"/>
      <c r="C253" s="8"/>
      <c r="D253" s="8"/>
      <c r="E253" s="9"/>
      <c r="F253" s="6"/>
      <c r="G253" s="8"/>
      <c r="H253" s="32"/>
      <c r="I253" s="10" t="str">
        <f t="shared" si="57"/>
        <v>21</v>
      </c>
      <c r="J253" s="11">
        <v>1</v>
      </c>
      <c r="K253" s="11"/>
      <c r="L253" s="11"/>
      <c r="M253" s="11">
        <f t="shared" si="61"/>
        <v>0</v>
      </c>
      <c r="N253" s="11"/>
      <c r="O253" s="11">
        <f t="shared" si="62"/>
        <v>0</v>
      </c>
      <c r="P253" s="11"/>
      <c r="Q253" s="11"/>
      <c r="R253" s="11"/>
      <c r="S253" s="11">
        <f t="shared" si="63"/>
        <v>0</v>
      </c>
      <c r="T253" s="11">
        <f t="shared" si="64"/>
        <v>1666.6666666666667</v>
      </c>
      <c r="U253" s="11">
        <f t="shared" si="65"/>
        <v>0</v>
      </c>
      <c r="V253" s="24">
        <f t="shared" si="66"/>
        <v>0</v>
      </c>
      <c r="W253" s="11">
        <f>IF(V253&lt;=40000,0,
IF(V253&lt;=55000,(V253-40000)*10%,
IF(V253&lt;=70000,(V253-55000)*15%+1500,
IF(V253&lt;=200000,(V253-70000)*20%+1500+2250,
IF(V253&lt;=400000,(V253-200000)*22.5%+1500+2250+26000,
IF(V253&lt;=600000,(V253-400000)*25%+1500+2250+26000+45000,
IF(AND(V253&gt;600000,V253&lt;=1200000),(V253-400000)*25%+1500+2250+26000+45000
+IFERROR(LOOKUP(V253,{600001;700001;800001;900001},{4000;6750;10250;15250}),0),IF(V253&gt;1200000,((V253-1200000)*27.5%)+300000,0)
)))))))</f>
        <v>0</v>
      </c>
      <c r="X253" s="12">
        <f t="shared" si="67"/>
        <v>0</v>
      </c>
      <c r="Y253" s="12">
        <f t="shared" si="68"/>
        <v>0</v>
      </c>
      <c r="Z253" s="11"/>
      <c r="AA253" s="13">
        <f t="shared" si="69"/>
        <v>0</v>
      </c>
      <c r="AB253" s="12">
        <f t="shared" si="70"/>
        <v>0</v>
      </c>
      <c r="AC253" s="14">
        <f t="shared" si="58"/>
        <v>0</v>
      </c>
      <c r="AE253" s="19">
        <f t="shared" si="71"/>
        <v>0</v>
      </c>
      <c r="AF253" s="19"/>
      <c r="AG253" s="17"/>
      <c r="AK253" s="7"/>
      <c r="AL253" s="108">
        <f t="shared" si="59"/>
        <v>0</v>
      </c>
      <c r="AM253" s="108">
        <f t="shared" si="60"/>
        <v>0</v>
      </c>
      <c r="AN253" s="113"/>
    </row>
    <row r="254" spans="2:40" x14ac:dyDescent="0.2">
      <c r="B254" s="7"/>
      <c r="C254" s="8"/>
      <c r="D254" s="8"/>
      <c r="E254" s="9"/>
      <c r="F254" s="6"/>
      <c r="G254" s="8"/>
      <c r="H254" s="32"/>
      <c r="I254" s="10" t="str">
        <f t="shared" si="57"/>
        <v>21</v>
      </c>
      <c r="J254" s="11">
        <v>1</v>
      </c>
      <c r="K254" s="11"/>
      <c r="L254" s="11"/>
      <c r="M254" s="11">
        <f t="shared" si="61"/>
        <v>0</v>
      </c>
      <c r="N254" s="11"/>
      <c r="O254" s="11">
        <f t="shared" si="62"/>
        <v>0</v>
      </c>
      <c r="P254" s="11"/>
      <c r="Q254" s="11"/>
      <c r="R254" s="11"/>
      <c r="S254" s="11">
        <f t="shared" si="63"/>
        <v>0</v>
      </c>
      <c r="T254" s="11">
        <f t="shared" si="64"/>
        <v>1666.6666666666667</v>
      </c>
      <c r="U254" s="11">
        <f t="shared" si="65"/>
        <v>0</v>
      </c>
      <c r="V254" s="24">
        <f t="shared" si="66"/>
        <v>0</v>
      </c>
      <c r="W254" s="11">
        <f>IF(V254&lt;=40000,0,
IF(V254&lt;=55000,(V254-40000)*10%,
IF(V254&lt;=70000,(V254-55000)*15%+1500,
IF(V254&lt;=200000,(V254-70000)*20%+1500+2250,
IF(V254&lt;=400000,(V254-200000)*22.5%+1500+2250+26000,
IF(V254&lt;=600000,(V254-400000)*25%+1500+2250+26000+45000,
IF(AND(V254&gt;600000,V254&lt;=1200000),(V254-400000)*25%+1500+2250+26000+45000
+IFERROR(LOOKUP(V254,{600001;700001;800001;900001},{4000;6750;10250;15250}),0),IF(V254&gt;1200000,((V254-1200000)*27.5%)+300000,0)
)))))))</f>
        <v>0</v>
      </c>
      <c r="X254" s="12">
        <f t="shared" si="67"/>
        <v>0</v>
      </c>
      <c r="Y254" s="12">
        <f t="shared" si="68"/>
        <v>0</v>
      </c>
      <c r="Z254" s="11"/>
      <c r="AA254" s="13">
        <f t="shared" si="69"/>
        <v>0</v>
      </c>
      <c r="AB254" s="12">
        <f t="shared" si="70"/>
        <v>0</v>
      </c>
      <c r="AC254" s="14">
        <f t="shared" si="58"/>
        <v>0</v>
      </c>
      <c r="AE254" s="19">
        <f t="shared" si="71"/>
        <v>0</v>
      </c>
      <c r="AF254" s="19"/>
      <c r="AG254" s="17"/>
      <c r="AK254" s="7"/>
      <c r="AL254" s="108">
        <f t="shared" si="59"/>
        <v>0</v>
      </c>
      <c r="AM254" s="108">
        <f t="shared" si="60"/>
        <v>0</v>
      </c>
      <c r="AN254" s="113"/>
    </row>
    <row r="255" spans="2:40" x14ac:dyDescent="0.2">
      <c r="B255" s="7"/>
      <c r="C255" s="8"/>
      <c r="D255" s="8"/>
      <c r="E255" s="9"/>
      <c r="F255" s="6"/>
      <c r="G255" s="8"/>
      <c r="H255" s="32"/>
      <c r="I255" s="10" t="str">
        <f t="shared" si="57"/>
        <v>21</v>
      </c>
      <c r="J255" s="11">
        <v>1</v>
      </c>
      <c r="K255" s="11"/>
      <c r="L255" s="11"/>
      <c r="M255" s="11">
        <f t="shared" si="61"/>
        <v>0</v>
      </c>
      <c r="N255" s="11"/>
      <c r="O255" s="11">
        <f t="shared" si="62"/>
        <v>0</v>
      </c>
      <c r="P255" s="11"/>
      <c r="Q255" s="11"/>
      <c r="R255" s="11"/>
      <c r="S255" s="11">
        <f t="shared" si="63"/>
        <v>0</v>
      </c>
      <c r="T255" s="11">
        <f t="shared" si="64"/>
        <v>1666.6666666666667</v>
      </c>
      <c r="U255" s="11">
        <f t="shared" si="65"/>
        <v>0</v>
      </c>
      <c r="V255" s="24">
        <f t="shared" si="66"/>
        <v>0</v>
      </c>
      <c r="W255" s="11">
        <f>IF(V255&lt;=40000,0,
IF(V255&lt;=55000,(V255-40000)*10%,
IF(V255&lt;=70000,(V255-55000)*15%+1500,
IF(V255&lt;=200000,(V255-70000)*20%+1500+2250,
IF(V255&lt;=400000,(V255-200000)*22.5%+1500+2250+26000,
IF(V255&lt;=600000,(V255-400000)*25%+1500+2250+26000+45000,
IF(AND(V255&gt;600000,V255&lt;=1200000),(V255-400000)*25%+1500+2250+26000+45000
+IFERROR(LOOKUP(V255,{600001;700001;800001;900001},{4000;6750;10250;15250}),0),IF(V255&gt;1200000,((V255-1200000)*27.5%)+300000,0)
)))))))</f>
        <v>0</v>
      </c>
      <c r="X255" s="12">
        <f t="shared" si="67"/>
        <v>0</v>
      </c>
      <c r="Y255" s="12">
        <f t="shared" si="68"/>
        <v>0</v>
      </c>
      <c r="Z255" s="11"/>
      <c r="AA255" s="13">
        <f t="shared" si="69"/>
        <v>0</v>
      </c>
      <c r="AB255" s="12">
        <f t="shared" si="70"/>
        <v>0</v>
      </c>
      <c r="AC255" s="14">
        <f t="shared" si="58"/>
        <v>0</v>
      </c>
      <c r="AE255" s="19">
        <f t="shared" si="71"/>
        <v>0</v>
      </c>
      <c r="AF255" s="19"/>
      <c r="AG255" s="17"/>
      <c r="AK255" s="7"/>
      <c r="AL255" s="108">
        <f t="shared" si="59"/>
        <v>0</v>
      </c>
      <c r="AM255" s="108">
        <f t="shared" si="60"/>
        <v>0</v>
      </c>
      <c r="AN255" s="113"/>
    </row>
    <row r="256" spans="2:40" x14ac:dyDescent="0.2">
      <c r="B256" s="7"/>
      <c r="C256" s="8"/>
      <c r="D256" s="8"/>
      <c r="E256" s="9"/>
      <c r="F256" s="6"/>
      <c r="G256" s="8"/>
      <c r="H256" s="32"/>
      <c r="I256" s="10" t="str">
        <f t="shared" si="57"/>
        <v>21</v>
      </c>
      <c r="J256" s="11">
        <v>1</v>
      </c>
      <c r="K256" s="11"/>
      <c r="L256" s="11"/>
      <c r="M256" s="11">
        <f t="shared" si="61"/>
        <v>0</v>
      </c>
      <c r="N256" s="11"/>
      <c r="O256" s="11">
        <f t="shared" si="62"/>
        <v>0</v>
      </c>
      <c r="P256" s="11"/>
      <c r="Q256" s="11"/>
      <c r="R256" s="11"/>
      <c r="S256" s="11">
        <f t="shared" si="63"/>
        <v>0</v>
      </c>
      <c r="T256" s="11">
        <f t="shared" si="64"/>
        <v>1666.6666666666667</v>
      </c>
      <c r="U256" s="11">
        <f t="shared" si="65"/>
        <v>0</v>
      </c>
      <c r="V256" s="24">
        <f t="shared" si="66"/>
        <v>0</v>
      </c>
      <c r="W256" s="11">
        <f>IF(V256&lt;=40000,0,
IF(V256&lt;=55000,(V256-40000)*10%,
IF(V256&lt;=70000,(V256-55000)*15%+1500,
IF(V256&lt;=200000,(V256-70000)*20%+1500+2250,
IF(V256&lt;=400000,(V256-200000)*22.5%+1500+2250+26000,
IF(V256&lt;=600000,(V256-400000)*25%+1500+2250+26000+45000,
IF(AND(V256&gt;600000,V256&lt;=1200000),(V256-400000)*25%+1500+2250+26000+45000
+IFERROR(LOOKUP(V256,{600001;700001;800001;900001},{4000;6750;10250;15250}),0),IF(V256&gt;1200000,((V256-1200000)*27.5%)+300000,0)
)))))))</f>
        <v>0</v>
      </c>
      <c r="X256" s="12">
        <f t="shared" si="67"/>
        <v>0</v>
      </c>
      <c r="Y256" s="12">
        <f t="shared" si="68"/>
        <v>0</v>
      </c>
      <c r="Z256" s="11"/>
      <c r="AA256" s="13">
        <f t="shared" si="69"/>
        <v>0</v>
      </c>
      <c r="AB256" s="12">
        <f t="shared" si="70"/>
        <v>0</v>
      </c>
      <c r="AC256" s="14">
        <f t="shared" si="58"/>
        <v>0</v>
      </c>
      <c r="AE256" s="19">
        <f t="shared" si="71"/>
        <v>0</v>
      </c>
      <c r="AF256" s="19"/>
      <c r="AG256" s="17"/>
      <c r="AK256" s="7"/>
      <c r="AL256" s="108">
        <f t="shared" si="59"/>
        <v>0</v>
      </c>
      <c r="AM256" s="108">
        <f t="shared" si="60"/>
        <v>0</v>
      </c>
      <c r="AN256" s="113"/>
    </row>
    <row r="257" spans="2:40" x14ac:dyDescent="0.2">
      <c r="B257" s="7"/>
      <c r="C257" s="8"/>
      <c r="D257" s="8"/>
      <c r="E257" s="9"/>
      <c r="F257" s="6"/>
      <c r="G257" s="8"/>
      <c r="H257" s="32"/>
      <c r="I257" s="10" t="str">
        <f t="shared" si="57"/>
        <v>21</v>
      </c>
      <c r="J257" s="11">
        <v>1</v>
      </c>
      <c r="K257" s="11"/>
      <c r="L257" s="11"/>
      <c r="M257" s="11">
        <f t="shared" si="61"/>
        <v>0</v>
      </c>
      <c r="N257" s="11"/>
      <c r="O257" s="11">
        <f t="shared" si="62"/>
        <v>0</v>
      </c>
      <c r="P257" s="11"/>
      <c r="Q257" s="11"/>
      <c r="R257" s="11"/>
      <c r="S257" s="11">
        <f t="shared" si="63"/>
        <v>0</v>
      </c>
      <c r="T257" s="11">
        <f t="shared" si="64"/>
        <v>1666.6666666666667</v>
      </c>
      <c r="U257" s="11">
        <f t="shared" si="65"/>
        <v>0</v>
      </c>
      <c r="V257" s="24">
        <f t="shared" si="66"/>
        <v>0</v>
      </c>
      <c r="W257" s="11">
        <f>IF(V257&lt;=40000,0,
IF(V257&lt;=55000,(V257-40000)*10%,
IF(V257&lt;=70000,(V257-55000)*15%+1500,
IF(V257&lt;=200000,(V257-70000)*20%+1500+2250,
IF(V257&lt;=400000,(V257-200000)*22.5%+1500+2250+26000,
IF(V257&lt;=600000,(V257-400000)*25%+1500+2250+26000+45000,
IF(AND(V257&gt;600000,V257&lt;=1200000),(V257-400000)*25%+1500+2250+26000+45000
+IFERROR(LOOKUP(V257,{600001;700001;800001;900001},{4000;6750;10250;15250}),0),IF(V257&gt;1200000,((V257-1200000)*27.5%)+300000,0)
)))))))</f>
        <v>0</v>
      </c>
      <c r="X257" s="12">
        <f t="shared" si="67"/>
        <v>0</v>
      </c>
      <c r="Y257" s="12">
        <f t="shared" si="68"/>
        <v>0</v>
      </c>
      <c r="Z257" s="11"/>
      <c r="AA257" s="13">
        <f t="shared" si="69"/>
        <v>0</v>
      </c>
      <c r="AB257" s="12">
        <f t="shared" si="70"/>
        <v>0</v>
      </c>
      <c r="AC257" s="14">
        <f t="shared" si="58"/>
        <v>0</v>
      </c>
      <c r="AE257" s="19">
        <f t="shared" si="71"/>
        <v>0</v>
      </c>
      <c r="AF257" s="19"/>
      <c r="AG257" s="17"/>
      <c r="AK257" s="7"/>
      <c r="AL257" s="108">
        <f t="shared" si="59"/>
        <v>0</v>
      </c>
      <c r="AM257" s="108">
        <f t="shared" si="60"/>
        <v>0</v>
      </c>
      <c r="AN257" s="113"/>
    </row>
    <row r="258" spans="2:40" x14ac:dyDescent="0.2">
      <c r="B258" s="7"/>
      <c r="C258" s="8"/>
      <c r="D258" s="8"/>
      <c r="E258" s="9"/>
      <c r="F258" s="6"/>
      <c r="G258" s="8"/>
      <c r="H258" s="32"/>
      <c r="I258" s="10" t="str">
        <f t="shared" si="57"/>
        <v>21</v>
      </c>
      <c r="J258" s="11">
        <v>1</v>
      </c>
      <c r="K258" s="11"/>
      <c r="L258" s="11"/>
      <c r="M258" s="11">
        <f t="shared" si="61"/>
        <v>0</v>
      </c>
      <c r="N258" s="11"/>
      <c r="O258" s="11">
        <f t="shared" si="62"/>
        <v>0</v>
      </c>
      <c r="P258" s="11"/>
      <c r="Q258" s="11"/>
      <c r="R258" s="11"/>
      <c r="S258" s="11">
        <f t="shared" si="63"/>
        <v>0</v>
      </c>
      <c r="T258" s="11">
        <f t="shared" si="64"/>
        <v>1666.6666666666667</v>
      </c>
      <c r="U258" s="11">
        <f t="shared" si="65"/>
        <v>0</v>
      </c>
      <c r="V258" s="24">
        <f t="shared" si="66"/>
        <v>0</v>
      </c>
      <c r="W258" s="11">
        <f>IF(V258&lt;=40000,0,
IF(V258&lt;=55000,(V258-40000)*10%,
IF(V258&lt;=70000,(V258-55000)*15%+1500,
IF(V258&lt;=200000,(V258-70000)*20%+1500+2250,
IF(V258&lt;=400000,(V258-200000)*22.5%+1500+2250+26000,
IF(V258&lt;=600000,(V258-400000)*25%+1500+2250+26000+45000,
IF(AND(V258&gt;600000,V258&lt;=1200000),(V258-400000)*25%+1500+2250+26000+45000
+IFERROR(LOOKUP(V258,{600001;700001;800001;900001},{4000;6750;10250;15250}),0),IF(V258&gt;1200000,((V258-1200000)*27.5%)+300000,0)
)))))))</f>
        <v>0</v>
      </c>
      <c r="X258" s="12">
        <f t="shared" si="67"/>
        <v>0</v>
      </c>
      <c r="Y258" s="12">
        <f t="shared" si="68"/>
        <v>0</v>
      </c>
      <c r="Z258" s="11"/>
      <c r="AA258" s="13">
        <f t="shared" si="69"/>
        <v>0</v>
      </c>
      <c r="AB258" s="12">
        <f t="shared" si="70"/>
        <v>0</v>
      </c>
      <c r="AC258" s="14">
        <f t="shared" si="58"/>
        <v>0</v>
      </c>
      <c r="AE258" s="19">
        <f t="shared" si="71"/>
        <v>0</v>
      </c>
      <c r="AF258" s="19"/>
      <c r="AG258" s="17"/>
      <c r="AK258" s="7"/>
      <c r="AL258" s="108">
        <f t="shared" si="59"/>
        <v>0</v>
      </c>
      <c r="AM258" s="108">
        <f t="shared" si="60"/>
        <v>0</v>
      </c>
      <c r="AN258" s="113"/>
    </row>
    <row r="259" spans="2:40" x14ac:dyDescent="0.2">
      <c r="B259" s="7"/>
      <c r="C259" s="8"/>
      <c r="D259" s="8"/>
      <c r="E259" s="9"/>
      <c r="F259" s="6"/>
      <c r="G259" s="8"/>
      <c r="H259" s="32"/>
      <c r="I259" s="10" t="str">
        <f t="shared" si="57"/>
        <v>21</v>
      </c>
      <c r="J259" s="11">
        <v>1</v>
      </c>
      <c r="K259" s="11"/>
      <c r="L259" s="11"/>
      <c r="M259" s="11">
        <f t="shared" si="61"/>
        <v>0</v>
      </c>
      <c r="N259" s="11"/>
      <c r="O259" s="11">
        <f t="shared" si="62"/>
        <v>0</v>
      </c>
      <c r="P259" s="11"/>
      <c r="Q259" s="11"/>
      <c r="R259" s="11"/>
      <c r="S259" s="11">
        <f t="shared" si="63"/>
        <v>0</v>
      </c>
      <c r="T259" s="11">
        <f t="shared" si="64"/>
        <v>1666.6666666666667</v>
      </c>
      <c r="U259" s="11">
        <f t="shared" si="65"/>
        <v>0</v>
      </c>
      <c r="V259" s="24">
        <f t="shared" si="66"/>
        <v>0</v>
      </c>
      <c r="W259" s="11">
        <f>IF(V259&lt;=40000,0,
IF(V259&lt;=55000,(V259-40000)*10%,
IF(V259&lt;=70000,(V259-55000)*15%+1500,
IF(V259&lt;=200000,(V259-70000)*20%+1500+2250,
IF(V259&lt;=400000,(V259-200000)*22.5%+1500+2250+26000,
IF(V259&lt;=600000,(V259-400000)*25%+1500+2250+26000+45000,
IF(AND(V259&gt;600000,V259&lt;=1200000),(V259-400000)*25%+1500+2250+26000+45000
+IFERROR(LOOKUP(V259,{600001;700001;800001;900001},{4000;6750;10250;15250}),0),IF(V259&gt;1200000,((V259-1200000)*27.5%)+300000,0)
)))))))</f>
        <v>0</v>
      </c>
      <c r="X259" s="12">
        <f t="shared" si="67"/>
        <v>0</v>
      </c>
      <c r="Y259" s="12">
        <f t="shared" si="68"/>
        <v>0</v>
      </c>
      <c r="Z259" s="11"/>
      <c r="AA259" s="13">
        <f t="shared" si="69"/>
        <v>0</v>
      </c>
      <c r="AB259" s="12">
        <f t="shared" si="70"/>
        <v>0</v>
      </c>
      <c r="AC259" s="14">
        <f t="shared" si="58"/>
        <v>0</v>
      </c>
      <c r="AE259" s="19">
        <f t="shared" si="71"/>
        <v>0</v>
      </c>
      <c r="AF259" s="19"/>
      <c r="AG259" s="17"/>
      <c r="AK259" s="7"/>
      <c r="AL259" s="108">
        <f t="shared" si="59"/>
        <v>0</v>
      </c>
      <c r="AM259" s="108">
        <f t="shared" si="60"/>
        <v>0</v>
      </c>
      <c r="AN259" s="113"/>
    </row>
    <row r="260" spans="2:40" x14ac:dyDescent="0.2">
      <c r="B260" s="7"/>
      <c r="C260" s="8"/>
      <c r="D260" s="8"/>
      <c r="E260" s="9"/>
      <c r="F260" s="6"/>
      <c r="G260" s="8"/>
      <c r="H260" s="32"/>
      <c r="I260" s="10" t="str">
        <f t="shared" si="57"/>
        <v>21</v>
      </c>
      <c r="J260" s="11">
        <v>1</v>
      </c>
      <c r="K260" s="11"/>
      <c r="L260" s="11"/>
      <c r="M260" s="11">
        <f t="shared" si="61"/>
        <v>0</v>
      </c>
      <c r="N260" s="11"/>
      <c r="O260" s="11">
        <f t="shared" si="62"/>
        <v>0</v>
      </c>
      <c r="P260" s="11"/>
      <c r="Q260" s="11"/>
      <c r="R260" s="11"/>
      <c r="S260" s="11">
        <f t="shared" si="63"/>
        <v>0</v>
      </c>
      <c r="T260" s="11">
        <f t="shared" si="64"/>
        <v>1666.6666666666667</v>
      </c>
      <c r="U260" s="11">
        <f t="shared" si="65"/>
        <v>0</v>
      </c>
      <c r="V260" s="24">
        <f t="shared" si="66"/>
        <v>0</v>
      </c>
      <c r="W260" s="11">
        <f>IF(V260&lt;=40000,0,
IF(V260&lt;=55000,(V260-40000)*10%,
IF(V260&lt;=70000,(V260-55000)*15%+1500,
IF(V260&lt;=200000,(V260-70000)*20%+1500+2250,
IF(V260&lt;=400000,(V260-200000)*22.5%+1500+2250+26000,
IF(V260&lt;=600000,(V260-400000)*25%+1500+2250+26000+45000,
IF(AND(V260&gt;600000,V260&lt;=1200000),(V260-400000)*25%+1500+2250+26000+45000
+IFERROR(LOOKUP(V260,{600001;700001;800001;900001},{4000;6750;10250;15250}),0),IF(V260&gt;1200000,((V260-1200000)*27.5%)+300000,0)
)))))))</f>
        <v>0</v>
      </c>
      <c r="X260" s="12">
        <f t="shared" si="67"/>
        <v>0</v>
      </c>
      <c r="Y260" s="12">
        <f t="shared" si="68"/>
        <v>0</v>
      </c>
      <c r="Z260" s="11"/>
      <c r="AA260" s="13">
        <f t="shared" si="69"/>
        <v>0</v>
      </c>
      <c r="AB260" s="12">
        <f t="shared" si="70"/>
        <v>0</v>
      </c>
      <c r="AC260" s="14">
        <f t="shared" si="58"/>
        <v>0</v>
      </c>
      <c r="AE260" s="19">
        <f t="shared" si="71"/>
        <v>0</v>
      </c>
      <c r="AF260" s="19"/>
      <c r="AG260" s="17"/>
      <c r="AK260" s="7"/>
      <c r="AL260" s="108">
        <f t="shared" si="59"/>
        <v>0</v>
      </c>
      <c r="AM260" s="108">
        <f t="shared" si="60"/>
        <v>0</v>
      </c>
      <c r="AN260" s="113"/>
    </row>
    <row r="261" spans="2:40" x14ac:dyDescent="0.2">
      <c r="B261" s="7"/>
      <c r="C261" s="8"/>
      <c r="D261" s="8"/>
      <c r="E261" s="9"/>
      <c r="F261" s="6"/>
      <c r="G261" s="8"/>
      <c r="H261" s="32"/>
      <c r="I261" s="10" t="str">
        <f t="shared" ref="I261:I324" si="72">IF(G261&gt;0,"1","21")</f>
        <v>21</v>
      </c>
      <c r="J261" s="11">
        <v>1</v>
      </c>
      <c r="K261" s="11"/>
      <c r="L261" s="11"/>
      <c r="M261" s="11">
        <f t="shared" si="61"/>
        <v>0</v>
      </c>
      <c r="N261" s="11"/>
      <c r="O261" s="11">
        <f t="shared" si="62"/>
        <v>0</v>
      </c>
      <c r="P261" s="11"/>
      <c r="Q261" s="11"/>
      <c r="R261" s="11"/>
      <c r="S261" s="11">
        <f t="shared" si="63"/>
        <v>0</v>
      </c>
      <c r="T261" s="11">
        <f t="shared" si="64"/>
        <v>1666.6666666666667</v>
      </c>
      <c r="U261" s="11">
        <f t="shared" si="65"/>
        <v>0</v>
      </c>
      <c r="V261" s="24">
        <f t="shared" si="66"/>
        <v>0</v>
      </c>
      <c r="W261" s="11">
        <f>IF(V261&lt;=40000,0,
IF(V261&lt;=55000,(V261-40000)*10%,
IF(V261&lt;=70000,(V261-55000)*15%+1500,
IF(V261&lt;=200000,(V261-70000)*20%+1500+2250,
IF(V261&lt;=400000,(V261-200000)*22.5%+1500+2250+26000,
IF(V261&lt;=600000,(V261-400000)*25%+1500+2250+26000+45000,
IF(AND(V261&gt;600000,V261&lt;=1200000),(V261-400000)*25%+1500+2250+26000+45000
+IFERROR(LOOKUP(V261,{600001;700001;800001;900001},{4000;6750;10250;15250}),0),IF(V261&gt;1200000,((V261-1200000)*27.5%)+300000,0)
)))))))</f>
        <v>0</v>
      </c>
      <c r="X261" s="12">
        <f t="shared" si="67"/>
        <v>0</v>
      </c>
      <c r="Y261" s="12">
        <f t="shared" si="68"/>
        <v>0</v>
      </c>
      <c r="Z261" s="11"/>
      <c r="AA261" s="13">
        <f t="shared" si="69"/>
        <v>0</v>
      </c>
      <c r="AB261" s="12">
        <f t="shared" si="70"/>
        <v>0</v>
      </c>
      <c r="AC261" s="14">
        <f t="shared" ref="AC261:AC324" si="73">+M261-P261-Y261</f>
        <v>0</v>
      </c>
      <c r="AE261" s="19">
        <f t="shared" si="71"/>
        <v>0</v>
      </c>
      <c r="AF261" s="19"/>
      <c r="AG261" s="17"/>
      <c r="AK261" s="7"/>
      <c r="AL261" s="108">
        <f t="shared" ref="AL261:AL324" si="74">+AK261+AD261</f>
        <v>0</v>
      </c>
      <c r="AM261" s="108">
        <f t="shared" ref="AM261:AM324" si="75">+AL261-AC261</f>
        <v>0</v>
      </c>
      <c r="AN261" s="113"/>
    </row>
    <row r="262" spans="2:40" x14ac:dyDescent="0.2">
      <c r="B262" s="7"/>
      <c r="C262" s="8"/>
      <c r="D262" s="8"/>
      <c r="E262" s="9"/>
      <c r="F262" s="6"/>
      <c r="G262" s="8"/>
      <c r="H262" s="32"/>
      <c r="I262" s="10" t="str">
        <f t="shared" si="72"/>
        <v>21</v>
      </c>
      <c r="J262" s="11">
        <v>1</v>
      </c>
      <c r="K262" s="11"/>
      <c r="L262" s="11"/>
      <c r="M262" s="11">
        <f t="shared" si="61"/>
        <v>0</v>
      </c>
      <c r="N262" s="11"/>
      <c r="O262" s="11">
        <f t="shared" si="62"/>
        <v>0</v>
      </c>
      <c r="P262" s="11"/>
      <c r="Q262" s="11"/>
      <c r="R262" s="11"/>
      <c r="S262" s="11">
        <f t="shared" si="63"/>
        <v>0</v>
      </c>
      <c r="T262" s="11">
        <f t="shared" si="64"/>
        <v>1666.6666666666667</v>
      </c>
      <c r="U262" s="11">
        <f t="shared" si="65"/>
        <v>0</v>
      </c>
      <c r="V262" s="24">
        <f t="shared" si="66"/>
        <v>0</v>
      </c>
      <c r="W262" s="11">
        <f>IF(V262&lt;=40000,0,
IF(V262&lt;=55000,(V262-40000)*10%,
IF(V262&lt;=70000,(V262-55000)*15%+1500,
IF(V262&lt;=200000,(V262-70000)*20%+1500+2250,
IF(V262&lt;=400000,(V262-200000)*22.5%+1500+2250+26000,
IF(V262&lt;=600000,(V262-400000)*25%+1500+2250+26000+45000,
IF(AND(V262&gt;600000,V262&lt;=1200000),(V262-400000)*25%+1500+2250+26000+45000
+IFERROR(LOOKUP(V262,{600001;700001;800001;900001},{4000;6750;10250;15250}),0),IF(V262&gt;1200000,((V262-1200000)*27.5%)+300000,0)
)))))))</f>
        <v>0</v>
      </c>
      <c r="X262" s="12">
        <f t="shared" si="67"/>
        <v>0</v>
      </c>
      <c r="Y262" s="12">
        <f t="shared" si="68"/>
        <v>0</v>
      </c>
      <c r="Z262" s="11"/>
      <c r="AA262" s="13">
        <f t="shared" si="69"/>
        <v>0</v>
      </c>
      <c r="AB262" s="12">
        <f t="shared" si="70"/>
        <v>0</v>
      </c>
      <c r="AC262" s="14">
        <f t="shared" si="73"/>
        <v>0</v>
      </c>
      <c r="AE262" s="19">
        <f t="shared" si="71"/>
        <v>0</v>
      </c>
      <c r="AF262" s="19"/>
      <c r="AG262" s="17"/>
      <c r="AK262" s="7"/>
      <c r="AL262" s="108">
        <f t="shared" si="74"/>
        <v>0</v>
      </c>
      <c r="AM262" s="108">
        <f t="shared" si="75"/>
        <v>0</v>
      </c>
      <c r="AN262" s="113"/>
    </row>
    <row r="263" spans="2:40" x14ac:dyDescent="0.2">
      <c r="B263" s="7"/>
      <c r="C263" s="8"/>
      <c r="D263" s="8"/>
      <c r="E263" s="9"/>
      <c r="F263" s="6"/>
      <c r="G263" s="8"/>
      <c r="H263" s="32"/>
      <c r="I263" s="10" t="str">
        <f t="shared" si="72"/>
        <v>21</v>
      </c>
      <c r="J263" s="11">
        <v>1</v>
      </c>
      <c r="K263" s="11"/>
      <c r="L263" s="11"/>
      <c r="M263" s="11">
        <f t="shared" si="61"/>
        <v>0</v>
      </c>
      <c r="N263" s="11"/>
      <c r="O263" s="11">
        <f t="shared" si="62"/>
        <v>0</v>
      </c>
      <c r="P263" s="11"/>
      <c r="Q263" s="11"/>
      <c r="R263" s="11"/>
      <c r="S263" s="11">
        <f t="shared" si="63"/>
        <v>0</v>
      </c>
      <c r="T263" s="11">
        <f t="shared" si="64"/>
        <v>1666.6666666666667</v>
      </c>
      <c r="U263" s="11">
        <f t="shared" si="65"/>
        <v>0</v>
      </c>
      <c r="V263" s="24">
        <f t="shared" si="66"/>
        <v>0</v>
      </c>
      <c r="W263" s="11">
        <f>IF(V263&lt;=40000,0,
IF(V263&lt;=55000,(V263-40000)*10%,
IF(V263&lt;=70000,(V263-55000)*15%+1500,
IF(V263&lt;=200000,(V263-70000)*20%+1500+2250,
IF(V263&lt;=400000,(V263-200000)*22.5%+1500+2250+26000,
IF(V263&lt;=600000,(V263-400000)*25%+1500+2250+26000+45000,
IF(AND(V263&gt;600000,V263&lt;=1200000),(V263-400000)*25%+1500+2250+26000+45000
+IFERROR(LOOKUP(V263,{600001;700001;800001;900001},{4000;6750;10250;15250}),0),IF(V263&gt;1200000,((V263-1200000)*27.5%)+300000,0)
)))))))</f>
        <v>0</v>
      </c>
      <c r="X263" s="12">
        <f t="shared" si="67"/>
        <v>0</v>
      </c>
      <c r="Y263" s="12">
        <f t="shared" si="68"/>
        <v>0</v>
      </c>
      <c r="Z263" s="11"/>
      <c r="AA263" s="13">
        <f t="shared" si="69"/>
        <v>0</v>
      </c>
      <c r="AB263" s="12">
        <f t="shared" si="70"/>
        <v>0</v>
      </c>
      <c r="AC263" s="14">
        <f t="shared" si="73"/>
        <v>0</v>
      </c>
      <c r="AE263" s="19">
        <f t="shared" si="71"/>
        <v>0</v>
      </c>
      <c r="AF263" s="19"/>
      <c r="AG263" s="17"/>
      <c r="AK263" s="7"/>
      <c r="AL263" s="108">
        <f t="shared" si="74"/>
        <v>0</v>
      </c>
      <c r="AM263" s="108">
        <f t="shared" si="75"/>
        <v>0</v>
      </c>
      <c r="AN263" s="113"/>
    </row>
    <row r="264" spans="2:40" x14ac:dyDescent="0.2">
      <c r="B264" s="7"/>
      <c r="C264" s="8"/>
      <c r="D264" s="8"/>
      <c r="E264" s="9"/>
      <c r="F264" s="6"/>
      <c r="G264" s="8"/>
      <c r="H264" s="32"/>
      <c r="I264" s="10" t="str">
        <f t="shared" si="72"/>
        <v>21</v>
      </c>
      <c r="J264" s="11">
        <v>1</v>
      </c>
      <c r="K264" s="11"/>
      <c r="L264" s="11"/>
      <c r="M264" s="11">
        <f t="shared" si="61"/>
        <v>0</v>
      </c>
      <c r="N264" s="11"/>
      <c r="O264" s="11">
        <f t="shared" si="62"/>
        <v>0</v>
      </c>
      <c r="P264" s="11"/>
      <c r="Q264" s="11"/>
      <c r="R264" s="11"/>
      <c r="S264" s="11">
        <f t="shared" si="63"/>
        <v>0</v>
      </c>
      <c r="T264" s="11">
        <f t="shared" si="64"/>
        <v>1666.6666666666667</v>
      </c>
      <c r="U264" s="11">
        <f t="shared" si="65"/>
        <v>0</v>
      </c>
      <c r="V264" s="24">
        <f t="shared" si="66"/>
        <v>0</v>
      </c>
      <c r="W264" s="11">
        <f>IF(V264&lt;=40000,0,
IF(V264&lt;=55000,(V264-40000)*10%,
IF(V264&lt;=70000,(V264-55000)*15%+1500,
IF(V264&lt;=200000,(V264-70000)*20%+1500+2250,
IF(V264&lt;=400000,(V264-200000)*22.5%+1500+2250+26000,
IF(V264&lt;=600000,(V264-400000)*25%+1500+2250+26000+45000,
IF(AND(V264&gt;600000,V264&lt;=1200000),(V264-400000)*25%+1500+2250+26000+45000
+IFERROR(LOOKUP(V264,{600001;700001;800001;900001},{4000;6750;10250;15250}),0),IF(V264&gt;1200000,((V264-1200000)*27.5%)+300000,0)
)))))))</f>
        <v>0</v>
      </c>
      <c r="X264" s="12">
        <f t="shared" si="67"/>
        <v>0</v>
      </c>
      <c r="Y264" s="12">
        <f t="shared" si="68"/>
        <v>0</v>
      </c>
      <c r="Z264" s="11"/>
      <c r="AA264" s="13">
        <f t="shared" si="69"/>
        <v>0</v>
      </c>
      <c r="AB264" s="12">
        <f t="shared" si="70"/>
        <v>0</v>
      </c>
      <c r="AC264" s="14">
        <f t="shared" si="73"/>
        <v>0</v>
      </c>
      <c r="AE264" s="19">
        <f t="shared" si="71"/>
        <v>0</v>
      </c>
      <c r="AF264" s="19"/>
      <c r="AG264" s="17"/>
      <c r="AK264" s="7"/>
      <c r="AL264" s="108">
        <f t="shared" si="74"/>
        <v>0</v>
      </c>
      <c r="AM264" s="108">
        <f t="shared" si="75"/>
        <v>0</v>
      </c>
      <c r="AN264" s="113"/>
    </row>
    <row r="265" spans="2:40" x14ac:dyDescent="0.2">
      <c r="B265" s="7"/>
      <c r="C265" s="8"/>
      <c r="D265" s="8"/>
      <c r="E265" s="9"/>
      <c r="F265" s="6"/>
      <c r="G265" s="8"/>
      <c r="H265" s="32"/>
      <c r="I265" s="10" t="str">
        <f t="shared" si="72"/>
        <v>21</v>
      </c>
      <c r="J265" s="11">
        <v>1</v>
      </c>
      <c r="K265" s="11"/>
      <c r="L265" s="11"/>
      <c r="M265" s="11">
        <f t="shared" si="61"/>
        <v>0</v>
      </c>
      <c r="N265" s="11"/>
      <c r="O265" s="11">
        <f t="shared" si="62"/>
        <v>0</v>
      </c>
      <c r="P265" s="11"/>
      <c r="Q265" s="11"/>
      <c r="R265" s="11"/>
      <c r="S265" s="11">
        <f t="shared" si="63"/>
        <v>0</v>
      </c>
      <c r="T265" s="11">
        <f t="shared" si="64"/>
        <v>1666.6666666666667</v>
      </c>
      <c r="U265" s="11">
        <f t="shared" si="65"/>
        <v>0</v>
      </c>
      <c r="V265" s="24">
        <f t="shared" si="66"/>
        <v>0</v>
      </c>
      <c r="W265" s="11">
        <f>IF(V265&lt;=40000,0,
IF(V265&lt;=55000,(V265-40000)*10%,
IF(V265&lt;=70000,(V265-55000)*15%+1500,
IF(V265&lt;=200000,(V265-70000)*20%+1500+2250,
IF(V265&lt;=400000,(V265-200000)*22.5%+1500+2250+26000,
IF(V265&lt;=600000,(V265-400000)*25%+1500+2250+26000+45000,
IF(AND(V265&gt;600000,V265&lt;=1200000),(V265-400000)*25%+1500+2250+26000+45000
+IFERROR(LOOKUP(V265,{600001;700001;800001;900001},{4000;6750;10250;15250}),0),IF(V265&gt;1200000,((V265-1200000)*27.5%)+300000,0)
)))))))</f>
        <v>0</v>
      </c>
      <c r="X265" s="12">
        <f t="shared" si="67"/>
        <v>0</v>
      </c>
      <c r="Y265" s="12">
        <f t="shared" si="68"/>
        <v>0</v>
      </c>
      <c r="Z265" s="11"/>
      <c r="AA265" s="13">
        <f t="shared" si="69"/>
        <v>0</v>
      </c>
      <c r="AB265" s="12">
        <f t="shared" si="70"/>
        <v>0</v>
      </c>
      <c r="AC265" s="14">
        <f t="shared" si="73"/>
        <v>0</v>
      </c>
      <c r="AE265" s="19">
        <f t="shared" si="71"/>
        <v>0</v>
      </c>
      <c r="AF265" s="19"/>
      <c r="AG265" s="17"/>
      <c r="AK265" s="7"/>
      <c r="AL265" s="108">
        <f t="shared" si="74"/>
        <v>0</v>
      </c>
      <c r="AM265" s="108">
        <f t="shared" si="75"/>
        <v>0</v>
      </c>
      <c r="AN265" s="113"/>
    </row>
    <row r="266" spans="2:40" x14ac:dyDescent="0.2">
      <c r="B266" s="7"/>
      <c r="C266" s="8"/>
      <c r="D266" s="8"/>
      <c r="E266" s="9"/>
      <c r="F266" s="6"/>
      <c r="G266" s="8"/>
      <c r="H266" s="32"/>
      <c r="I266" s="10" t="str">
        <f t="shared" si="72"/>
        <v>21</v>
      </c>
      <c r="J266" s="11">
        <v>1</v>
      </c>
      <c r="K266" s="11"/>
      <c r="L266" s="11"/>
      <c r="M266" s="11">
        <f t="shared" si="61"/>
        <v>0</v>
      </c>
      <c r="N266" s="11"/>
      <c r="O266" s="11">
        <f t="shared" si="62"/>
        <v>0</v>
      </c>
      <c r="P266" s="11"/>
      <c r="Q266" s="11"/>
      <c r="R266" s="11"/>
      <c r="S266" s="11">
        <f t="shared" si="63"/>
        <v>0</v>
      </c>
      <c r="T266" s="11">
        <f t="shared" si="64"/>
        <v>1666.6666666666667</v>
      </c>
      <c r="U266" s="11">
        <f t="shared" si="65"/>
        <v>0</v>
      </c>
      <c r="V266" s="24">
        <f t="shared" si="66"/>
        <v>0</v>
      </c>
      <c r="W266" s="11">
        <f>IF(V266&lt;=40000,0,
IF(V266&lt;=55000,(V266-40000)*10%,
IF(V266&lt;=70000,(V266-55000)*15%+1500,
IF(V266&lt;=200000,(V266-70000)*20%+1500+2250,
IF(V266&lt;=400000,(V266-200000)*22.5%+1500+2250+26000,
IF(V266&lt;=600000,(V266-400000)*25%+1500+2250+26000+45000,
IF(AND(V266&gt;600000,V266&lt;=1200000),(V266-400000)*25%+1500+2250+26000+45000
+IFERROR(LOOKUP(V266,{600001;700001;800001;900001},{4000;6750;10250;15250}),0),IF(V266&gt;1200000,((V266-1200000)*27.5%)+300000,0)
)))))))</f>
        <v>0</v>
      </c>
      <c r="X266" s="12">
        <f t="shared" si="67"/>
        <v>0</v>
      </c>
      <c r="Y266" s="12">
        <f t="shared" si="68"/>
        <v>0</v>
      </c>
      <c r="Z266" s="11"/>
      <c r="AA266" s="13">
        <f t="shared" si="69"/>
        <v>0</v>
      </c>
      <c r="AB266" s="12">
        <f t="shared" si="70"/>
        <v>0</v>
      </c>
      <c r="AC266" s="14">
        <f t="shared" si="73"/>
        <v>0</v>
      </c>
      <c r="AE266" s="19">
        <f t="shared" si="71"/>
        <v>0</v>
      </c>
      <c r="AF266" s="19"/>
      <c r="AG266" s="17"/>
      <c r="AK266" s="7"/>
      <c r="AL266" s="108">
        <f t="shared" si="74"/>
        <v>0</v>
      </c>
      <c r="AM266" s="108">
        <f t="shared" si="75"/>
        <v>0</v>
      </c>
      <c r="AN266" s="113"/>
    </row>
    <row r="267" spans="2:40" x14ac:dyDescent="0.2">
      <c r="B267" s="7"/>
      <c r="C267" s="8"/>
      <c r="D267" s="8"/>
      <c r="E267" s="9"/>
      <c r="F267" s="6"/>
      <c r="G267" s="8"/>
      <c r="H267" s="32"/>
      <c r="I267" s="10" t="str">
        <f t="shared" si="72"/>
        <v>21</v>
      </c>
      <c r="J267" s="11">
        <v>1</v>
      </c>
      <c r="K267" s="11"/>
      <c r="L267" s="11"/>
      <c r="M267" s="11">
        <f t="shared" si="61"/>
        <v>0</v>
      </c>
      <c r="N267" s="11"/>
      <c r="O267" s="11">
        <f t="shared" si="62"/>
        <v>0</v>
      </c>
      <c r="P267" s="11"/>
      <c r="Q267" s="11"/>
      <c r="R267" s="11"/>
      <c r="S267" s="11">
        <f t="shared" si="63"/>
        <v>0</v>
      </c>
      <c r="T267" s="11">
        <f t="shared" si="64"/>
        <v>1666.6666666666667</v>
      </c>
      <c r="U267" s="11">
        <f t="shared" si="65"/>
        <v>0</v>
      </c>
      <c r="V267" s="24">
        <f t="shared" si="66"/>
        <v>0</v>
      </c>
      <c r="W267" s="11">
        <f>IF(V267&lt;=40000,0,
IF(V267&lt;=55000,(V267-40000)*10%,
IF(V267&lt;=70000,(V267-55000)*15%+1500,
IF(V267&lt;=200000,(V267-70000)*20%+1500+2250,
IF(V267&lt;=400000,(V267-200000)*22.5%+1500+2250+26000,
IF(V267&lt;=600000,(V267-400000)*25%+1500+2250+26000+45000,
IF(AND(V267&gt;600000,V267&lt;=1200000),(V267-400000)*25%+1500+2250+26000+45000
+IFERROR(LOOKUP(V267,{600001;700001;800001;900001},{4000;6750;10250;15250}),0),IF(V267&gt;1200000,((V267-1200000)*27.5%)+300000,0)
)))))))</f>
        <v>0</v>
      </c>
      <c r="X267" s="12">
        <f t="shared" si="67"/>
        <v>0</v>
      </c>
      <c r="Y267" s="12">
        <f t="shared" si="68"/>
        <v>0</v>
      </c>
      <c r="Z267" s="11"/>
      <c r="AA267" s="13">
        <f t="shared" si="69"/>
        <v>0</v>
      </c>
      <c r="AB267" s="12">
        <f t="shared" si="70"/>
        <v>0</v>
      </c>
      <c r="AC267" s="14">
        <f t="shared" si="73"/>
        <v>0</v>
      </c>
      <c r="AE267" s="19">
        <f t="shared" si="71"/>
        <v>0</v>
      </c>
      <c r="AF267" s="19"/>
      <c r="AG267" s="17"/>
      <c r="AK267" s="7"/>
      <c r="AL267" s="108">
        <f t="shared" si="74"/>
        <v>0</v>
      </c>
      <c r="AM267" s="108">
        <f t="shared" si="75"/>
        <v>0</v>
      </c>
      <c r="AN267" s="113"/>
    </row>
    <row r="268" spans="2:40" x14ac:dyDescent="0.2">
      <c r="B268" s="7"/>
      <c r="C268" s="8"/>
      <c r="D268" s="8"/>
      <c r="E268" s="9"/>
      <c r="F268" s="6"/>
      <c r="G268" s="8"/>
      <c r="H268" s="32"/>
      <c r="I268" s="10" t="str">
        <f t="shared" si="72"/>
        <v>21</v>
      </c>
      <c r="J268" s="11">
        <v>1</v>
      </c>
      <c r="K268" s="11"/>
      <c r="L268" s="11"/>
      <c r="M268" s="11">
        <f t="shared" si="61"/>
        <v>0</v>
      </c>
      <c r="N268" s="11"/>
      <c r="O268" s="11">
        <f t="shared" si="62"/>
        <v>0</v>
      </c>
      <c r="P268" s="11"/>
      <c r="Q268" s="11"/>
      <c r="R268" s="11"/>
      <c r="S268" s="11">
        <f t="shared" si="63"/>
        <v>0</v>
      </c>
      <c r="T268" s="11">
        <f t="shared" si="64"/>
        <v>1666.6666666666667</v>
      </c>
      <c r="U268" s="11">
        <f t="shared" si="65"/>
        <v>0</v>
      </c>
      <c r="V268" s="24">
        <f t="shared" si="66"/>
        <v>0</v>
      </c>
      <c r="W268" s="11">
        <f>IF(V268&lt;=40000,0,
IF(V268&lt;=55000,(V268-40000)*10%,
IF(V268&lt;=70000,(V268-55000)*15%+1500,
IF(V268&lt;=200000,(V268-70000)*20%+1500+2250,
IF(V268&lt;=400000,(V268-200000)*22.5%+1500+2250+26000,
IF(V268&lt;=600000,(V268-400000)*25%+1500+2250+26000+45000,
IF(AND(V268&gt;600000,V268&lt;=1200000),(V268-400000)*25%+1500+2250+26000+45000
+IFERROR(LOOKUP(V268,{600001;700001;800001;900001},{4000;6750;10250;15250}),0),IF(V268&gt;1200000,((V268-1200000)*27.5%)+300000,0)
)))))))</f>
        <v>0</v>
      </c>
      <c r="X268" s="12">
        <f t="shared" si="67"/>
        <v>0</v>
      </c>
      <c r="Y268" s="12">
        <f t="shared" si="68"/>
        <v>0</v>
      </c>
      <c r="Z268" s="11"/>
      <c r="AA268" s="13">
        <f t="shared" si="69"/>
        <v>0</v>
      </c>
      <c r="AB268" s="12">
        <f t="shared" si="70"/>
        <v>0</v>
      </c>
      <c r="AC268" s="14">
        <f t="shared" si="73"/>
        <v>0</v>
      </c>
      <c r="AE268" s="19">
        <f t="shared" si="71"/>
        <v>0</v>
      </c>
      <c r="AF268" s="19"/>
      <c r="AG268" s="17"/>
      <c r="AK268" s="7"/>
      <c r="AL268" s="108">
        <f t="shared" si="74"/>
        <v>0</v>
      </c>
      <c r="AM268" s="108">
        <f t="shared" si="75"/>
        <v>0</v>
      </c>
      <c r="AN268" s="113"/>
    </row>
    <row r="269" spans="2:40" x14ac:dyDescent="0.2">
      <c r="B269" s="7"/>
      <c r="C269" s="8"/>
      <c r="D269" s="8"/>
      <c r="E269" s="9"/>
      <c r="F269" s="6"/>
      <c r="G269" s="8"/>
      <c r="H269" s="32"/>
      <c r="I269" s="10" t="str">
        <f t="shared" si="72"/>
        <v>21</v>
      </c>
      <c r="J269" s="11">
        <v>1</v>
      </c>
      <c r="K269" s="11"/>
      <c r="L269" s="11"/>
      <c r="M269" s="11">
        <f t="shared" si="61"/>
        <v>0</v>
      </c>
      <c r="N269" s="11"/>
      <c r="O269" s="11">
        <f t="shared" si="62"/>
        <v>0</v>
      </c>
      <c r="P269" s="11"/>
      <c r="Q269" s="11"/>
      <c r="R269" s="11"/>
      <c r="S269" s="11">
        <f t="shared" si="63"/>
        <v>0</v>
      </c>
      <c r="T269" s="11">
        <f t="shared" si="64"/>
        <v>1666.6666666666667</v>
      </c>
      <c r="U269" s="11">
        <f t="shared" si="65"/>
        <v>0</v>
      </c>
      <c r="V269" s="24">
        <f t="shared" si="66"/>
        <v>0</v>
      </c>
      <c r="W269" s="11">
        <f>IF(V269&lt;=40000,0,
IF(V269&lt;=55000,(V269-40000)*10%,
IF(V269&lt;=70000,(V269-55000)*15%+1500,
IF(V269&lt;=200000,(V269-70000)*20%+1500+2250,
IF(V269&lt;=400000,(V269-200000)*22.5%+1500+2250+26000,
IF(V269&lt;=600000,(V269-400000)*25%+1500+2250+26000+45000,
IF(AND(V269&gt;600000,V269&lt;=1200000),(V269-400000)*25%+1500+2250+26000+45000
+IFERROR(LOOKUP(V269,{600001;700001;800001;900001},{4000;6750;10250;15250}),0),IF(V269&gt;1200000,((V269-1200000)*27.5%)+300000,0)
)))))))</f>
        <v>0</v>
      </c>
      <c r="X269" s="12">
        <f t="shared" si="67"/>
        <v>0</v>
      </c>
      <c r="Y269" s="12">
        <f t="shared" si="68"/>
        <v>0</v>
      </c>
      <c r="Z269" s="11"/>
      <c r="AA269" s="13">
        <f t="shared" si="69"/>
        <v>0</v>
      </c>
      <c r="AB269" s="12">
        <f t="shared" si="70"/>
        <v>0</v>
      </c>
      <c r="AC269" s="14">
        <f t="shared" si="73"/>
        <v>0</v>
      </c>
      <c r="AE269" s="19">
        <f t="shared" si="71"/>
        <v>0</v>
      </c>
      <c r="AF269" s="19"/>
      <c r="AG269" s="17"/>
      <c r="AK269" s="7"/>
      <c r="AL269" s="108">
        <f t="shared" si="74"/>
        <v>0</v>
      </c>
      <c r="AM269" s="108">
        <f t="shared" si="75"/>
        <v>0</v>
      </c>
      <c r="AN269" s="113"/>
    </row>
    <row r="270" spans="2:40" x14ac:dyDescent="0.2">
      <c r="B270" s="7"/>
      <c r="C270" s="8"/>
      <c r="D270" s="8"/>
      <c r="E270" s="9"/>
      <c r="F270" s="6"/>
      <c r="G270" s="8"/>
      <c r="H270" s="32"/>
      <c r="I270" s="10" t="str">
        <f t="shared" si="72"/>
        <v>21</v>
      </c>
      <c r="J270" s="11">
        <v>1</v>
      </c>
      <c r="K270" s="11"/>
      <c r="L270" s="11"/>
      <c r="M270" s="11">
        <f t="shared" si="61"/>
        <v>0</v>
      </c>
      <c r="N270" s="11"/>
      <c r="O270" s="11">
        <f t="shared" si="62"/>
        <v>0</v>
      </c>
      <c r="P270" s="11"/>
      <c r="Q270" s="11"/>
      <c r="R270" s="11"/>
      <c r="S270" s="11">
        <f t="shared" si="63"/>
        <v>0</v>
      </c>
      <c r="T270" s="11">
        <f t="shared" si="64"/>
        <v>1666.6666666666667</v>
      </c>
      <c r="U270" s="11">
        <f t="shared" si="65"/>
        <v>0</v>
      </c>
      <c r="V270" s="24">
        <f t="shared" si="66"/>
        <v>0</v>
      </c>
      <c r="W270" s="11">
        <f>IF(V270&lt;=40000,0,
IF(V270&lt;=55000,(V270-40000)*10%,
IF(V270&lt;=70000,(V270-55000)*15%+1500,
IF(V270&lt;=200000,(V270-70000)*20%+1500+2250,
IF(V270&lt;=400000,(V270-200000)*22.5%+1500+2250+26000,
IF(V270&lt;=600000,(V270-400000)*25%+1500+2250+26000+45000,
IF(AND(V270&gt;600000,V270&lt;=1200000),(V270-400000)*25%+1500+2250+26000+45000
+IFERROR(LOOKUP(V270,{600001;700001;800001;900001},{4000;6750;10250;15250}),0),IF(V270&gt;1200000,((V270-1200000)*27.5%)+300000,0)
)))))))</f>
        <v>0</v>
      </c>
      <c r="X270" s="12">
        <f t="shared" si="67"/>
        <v>0</v>
      </c>
      <c r="Y270" s="12">
        <f t="shared" si="68"/>
        <v>0</v>
      </c>
      <c r="Z270" s="11"/>
      <c r="AA270" s="13">
        <f t="shared" si="69"/>
        <v>0</v>
      </c>
      <c r="AB270" s="12">
        <f t="shared" si="70"/>
        <v>0</v>
      </c>
      <c r="AC270" s="14">
        <f t="shared" si="73"/>
        <v>0</v>
      </c>
      <c r="AE270" s="19">
        <f t="shared" si="71"/>
        <v>0</v>
      </c>
      <c r="AF270" s="19"/>
      <c r="AG270" s="17"/>
      <c r="AK270" s="7"/>
      <c r="AL270" s="108">
        <f t="shared" si="74"/>
        <v>0</v>
      </c>
      <c r="AM270" s="108">
        <f t="shared" si="75"/>
        <v>0</v>
      </c>
      <c r="AN270" s="113"/>
    </row>
    <row r="271" spans="2:40" x14ac:dyDescent="0.2">
      <c r="B271" s="7"/>
      <c r="C271" s="8"/>
      <c r="D271" s="8"/>
      <c r="E271" s="9"/>
      <c r="F271" s="6"/>
      <c r="G271" s="8"/>
      <c r="H271" s="32"/>
      <c r="I271" s="10" t="str">
        <f t="shared" si="72"/>
        <v>21</v>
      </c>
      <c r="J271" s="11">
        <v>1</v>
      </c>
      <c r="K271" s="11"/>
      <c r="L271" s="11"/>
      <c r="M271" s="11">
        <f t="shared" si="61"/>
        <v>0</v>
      </c>
      <c r="N271" s="11"/>
      <c r="O271" s="11">
        <f t="shared" si="62"/>
        <v>0</v>
      </c>
      <c r="P271" s="11"/>
      <c r="Q271" s="11"/>
      <c r="R271" s="11"/>
      <c r="S271" s="11">
        <f t="shared" si="63"/>
        <v>0</v>
      </c>
      <c r="T271" s="11">
        <f t="shared" si="64"/>
        <v>1666.6666666666667</v>
      </c>
      <c r="U271" s="11">
        <f t="shared" si="65"/>
        <v>0</v>
      </c>
      <c r="V271" s="24">
        <f t="shared" si="66"/>
        <v>0</v>
      </c>
      <c r="W271" s="11">
        <f>IF(V271&lt;=40000,0,
IF(V271&lt;=55000,(V271-40000)*10%,
IF(V271&lt;=70000,(V271-55000)*15%+1500,
IF(V271&lt;=200000,(V271-70000)*20%+1500+2250,
IF(V271&lt;=400000,(V271-200000)*22.5%+1500+2250+26000,
IF(V271&lt;=600000,(V271-400000)*25%+1500+2250+26000+45000,
IF(AND(V271&gt;600000,V271&lt;=1200000),(V271-400000)*25%+1500+2250+26000+45000
+IFERROR(LOOKUP(V271,{600001;700001;800001;900001},{4000;6750;10250;15250}),0),IF(V271&gt;1200000,((V271-1200000)*27.5%)+300000,0)
)))))))</f>
        <v>0</v>
      </c>
      <c r="X271" s="12">
        <f t="shared" si="67"/>
        <v>0</v>
      </c>
      <c r="Y271" s="12">
        <f t="shared" si="68"/>
        <v>0</v>
      </c>
      <c r="Z271" s="11"/>
      <c r="AA271" s="13">
        <f t="shared" si="69"/>
        <v>0</v>
      </c>
      <c r="AB271" s="12">
        <f t="shared" si="70"/>
        <v>0</v>
      </c>
      <c r="AC271" s="14">
        <f t="shared" si="73"/>
        <v>0</v>
      </c>
      <c r="AE271" s="19">
        <f t="shared" si="71"/>
        <v>0</v>
      </c>
      <c r="AF271" s="19"/>
      <c r="AG271" s="17"/>
      <c r="AK271" s="7"/>
      <c r="AL271" s="108">
        <f t="shared" si="74"/>
        <v>0</v>
      </c>
      <c r="AM271" s="108">
        <f t="shared" si="75"/>
        <v>0</v>
      </c>
      <c r="AN271" s="113"/>
    </row>
    <row r="272" spans="2:40" x14ac:dyDescent="0.2">
      <c r="B272" s="7"/>
      <c r="C272" s="8"/>
      <c r="D272" s="8"/>
      <c r="E272" s="9"/>
      <c r="F272" s="6"/>
      <c r="G272" s="8"/>
      <c r="H272" s="32"/>
      <c r="I272" s="10" t="str">
        <f t="shared" si="72"/>
        <v>21</v>
      </c>
      <c r="J272" s="11">
        <v>1</v>
      </c>
      <c r="K272" s="11"/>
      <c r="L272" s="11"/>
      <c r="M272" s="11">
        <f t="shared" si="61"/>
        <v>0</v>
      </c>
      <c r="N272" s="11"/>
      <c r="O272" s="11">
        <f t="shared" si="62"/>
        <v>0</v>
      </c>
      <c r="P272" s="11"/>
      <c r="Q272" s="11"/>
      <c r="R272" s="11"/>
      <c r="S272" s="11">
        <f t="shared" si="63"/>
        <v>0</v>
      </c>
      <c r="T272" s="11">
        <f t="shared" si="64"/>
        <v>1666.6666666666667</v>
      </c>
      <c r="U272" s="11">
        <f t="shared" si="65"/>
        <v>0</v>
      </c>
      <c r="V272" s="24">
        <f t="shared" si="66"/>
        <v>0</v>
      </c>
      <c r="W272" s="11">
        <f>IF(V272&lt;=40000,0,
IF(V272&lt;=55000,(V272-40000)*10%,
IF(V272&lt;=70000,(V272-55000)*15%+1500,
IF(V272&lt;=200000,(V272-70000)*20%+1500+2250,
IF(V272&lt;=400000,(V272-200000)*22.5%+1500+2250+26000,
IF(V272&lt;=600000,(V272-400000)*25%+1500+2250+26000+45000,
IF(AND(V272&gt;600000,V272&lt;=1200000),(V272-400000)*25%+1500+2250+26000+45000
+IFERROR(LOOKUP(V272,{600001;700001;800001;900001},{4000;6750;10250;15250}),0),IF(V272&gt;1200000,((V272-1200000)*27.5%)+300000,0)
)))))))</f>
        <v>0</v>
      </c>
      <c r="X272" s="12">
        <f t="shared" si="67"/>
        <v>0</v>
      </c>
      <c r="Y272" s="12">
        <f t="shared" si="68"/>
        <v>0</v>
      </c>
      <c r="Z272" s="11"/>
      <c r="AA272" s="13">
        <f t="shared" si="69"/>
        <v>0</v>
      </c>
      <c r="AB272" s="12">
        <f t="shared" si="70"/>
        <v>0</v>
      </c>
      <c r="AC272" s="14">
        <f t="shared" si="73"/>
        <v>0</v>
      </c>
      <c r="AE272" s="19">
        <f t="shared" si="71"/>
        <v>0</v>
      </c>
      <c r="AF272" s="19"/>
      <c r="AG272" s="17"/>
      <c r="AK272" s="7"/>
      <c r="AL272" s="108">
        <f t="shared" si="74"/>
        <v>0</v>
      </c>
      <c r="AM272" s="108">
        <f t="shared" si="75"/>
        <v>0</v>
      </c>
      <c r="AN272" s="113"/>
    </row>
    <row r="273" spans="2:40" x14ac:dyDescent="0.2">
      <c r="B273" s="7"/>
      <c r="C273" s="8"/>
      <c r="D273" s="8"/>
      <c r="E273" s="9"/>
      <c r="F273" s="6"/>
      <c r="G273" s="8"/>
      <c r="H273" s="32"/>
      <c r="I273" s="10" t="str">
        <f t="shared" si="72"/>
        <v>21</v>
      </c>
      <c r="J273" s="11">
        <v>1</v>
      </c>
      <c r="K273" s="11"/>
      <c r="L273" s="11"/>
      <c r="M273" s="11">
        <f t="shared" si="61"/>
        <v>0</v>
      </c>
      <c r="N273" s="11"/>
      <c r="O273" s="11">
        <f t="shared" si="62"/>
        <v>0</v>
      </c>
      <c r="P273" s="11"/>
      <c r="Q273" s="11"/>
      <c r="R273" s="11"/>
      <c r="S273" s="11">
        <f t="shared" si="63"/>
        <v>0</v>
      </c>
      <c r="T273" s="11">
        <f t="shared" si="64"/>
        <v>1666.6666666666667</v>
      </c>
      <c r="U273" s="11">
        <f t="shared" si="65"/>
        <v>0</v>
      </c>
      <c r="V273" s="24">
        <f t="shared" si="66"/>
        <v>0</v>
      </c>
      <c r="W273" s="11">
        <f>IF(V273&lt;=40000,0,
IF(V273&lt;=55000,(V273-40000)*10%,
IF(V273&lt;=70000,(V273-55000)*15%+1500,
IF(V273&lt;=200000,(V273-70000)*20%+1500+2250,
IF(V273&lt;=400000,(V273-200000)*22.5%+1500+2250+26000,
IF(V273&lt;=600000,(V273-400000)*25%+1500+2250+26000+45000,
IF(AND(V273&gt;600000,V273&lt;=1200000),(V273-400000)*25%+1500+2250+26000+45000
+IFERROR(LOOKUP(V273,{600001;700001;800001;900001},{4000;6750;10250;15250}),0),IF(V273&gt;1200000,((V273-1200000)*27.5%)+300000,0)
)))))))</f>
        <v>0</v>
      </c>
      <c r="X273" s="12">
        <f t="shared" si="67"/>
        <v>0</v>
      </c>
      <c r="Y273" s="12">
        <f t="shared" si="68"/>
        <v>0</v>
      </c>
      <c r="Z273" s="11"/>
      <c r="AA273" s="13">
        <f t="shared" si="69"/>
        <v>0</v>
      </c>
      <c r="AB273" s="12">
        <f t="shared" si="70"/>
        <v>0</v>
      </c>
      <c r="AC273" s="14">
        <f t="shared" si="73"/>
        <v>0</v>
      </c>
      <c r="AE273" s="19">
        <f t="shared" si="71"/>
        <v>0</v>
      </c>
      <c r="AF273" s="19"/>
      <c r="AG273" s="17"/>
      <c r="AK273" s="7"/>
      <c r="AL273" s="108">
        <f t="shared" si="74"/>
        <v>0</v>
      </c>
      <c r="AM273" s="108">
        <f t="shared" si="75"/>
        <v>0</v>
      </c>
      <c r="AN273" s="113"/>
    </row>
    <row r="274" spans="2:40" x14ac:dyDescent="0.2">
      <c r="B274" s="7"/>
      <c r="C274" s="8"/>
      <c r="D274" s="8"/>
      <c r="E274" s="9"/>
      <c r="F274" s="6"/>
      <c r="G274" s="8"/>
      <c r="H274" s="32"/>
      <c r="I274" s="10" t="str">
        <f t="shared" si="72"/>
        <v>21</v>
      </c>
      <c r="J274" s="11">
        <v>1</v>
      </c>
      <c r="K274" s="11"/>
      <c r="L274" s="11"/>
      <c r="M274" s="11">
        <f t="shared" si="61"/>
        <v>0</v>
      </c>
      <c r="N274" s="11"/>
      <c r="O274" s="11">
        <f t="shared" si="62"/>
        <v>0</v>
      </c>
      <c r="P274" s="11"/>
      <c r="Q274" s="11"/>
      <c r="R274" s="11"/>
      <c r="S274" s="11">
        <f t="shared" si="63"/>
        <v>0</v>
      </c>
      <c r="T274" s="11">
        <f t="shared" si="64"/>
        <v>1666.6666666666667</v>
      </c>
      <c r="U274" s="11">
        <f t="shared" si="65"/>
        <v>0</v>
      </c>
      <c r="V274" s="24">
        <f t="shared" si="66"/>
        <v>0</v>
      </c>
      <c r="W274" s="11">
        <f>IF(V274&lt;=40000,0,
IF(V274&lt;=55000,(V274-40000)*10%,
IF(V274&lt;=70000,(V274-55000)*15%+1500,
IF(V274&lt;=200000,(V274-70000)*20%+1500+2250,
IF(V274&lt;=400000,(V274-200000)*22.5%+1500+2250+26000,
IF(V274&lt;=600000,(V274-400000)*25%+1500+2250+26000+45000,
IF(AND(V274&gt;600000,V274&lt;=1200000),(V274-400000)*25%+1500+2250+26000+45000
+IFERROR(LOOKUP(V274,{600001;700001;800001;900001},{4000;6750;10250;15250}),0),IF(V274&gt;1200000,((V274-1200000)*27.5%)+300000,0)
)))))))</f>
        <v>0</v>
      </c>
      <c r="X274" s="12">
        <f t="shared" si="67"/>
        <v>0</v>
      </c>
      <c r="Y274" s="12">
        <f t="shared" si="68"/>
        <v>0</v>
      </c>
      <c r="Z274" s="11"/>
      <c r="AA274" s="13">
        <f t="shared" si="69"/>
        <v>0</v>
      </c>
      <c r="AB274" s="12">
        <f t="shared" si="70"/>
        <v>0</v>
      </c>
      <c r="AC274" s="14">
        <f t="shared" si="73"/>
        <v>0</v>
      </c>
      <c r="AE274" s="19">
        <f t="shared" si="71"/>
        <v>0</v>
      </c>
      <c r="AF274" s="19"/>
      <c r="AG274" s="17"/>
      <c r="AK274" s="7"/>
      <c r="AL274" s="108">
        <f t="shared" si="74"/>
        <v>0</v>
      </c>
      <c r="AM274" s="108">
        <f t="shared" si="75"/>
        <v>0</v>
      </c>
      <c r="AN274" s="113"/>
    </row>
    <row r="275" spans="2:40" x14ac:dyDescent="0.2">
      <c r="B275" s="7"/>
      <c r="C275" s="8"/>
      <c r="D275" s="8"/>
      <c r="E275" s="9"/>
      <c r="F275" s="6"/>
      <c r="G275" s="8"/>
      <c r="H275" s="32"/>
      <c r="I275" s="10" t="str">
        <f t="shared" si="72"/>
        <v>21</v>
      </c>
      <c r="J275" s="11">
        <v>1</v>
      </c>
      <c r="K275" s="11"/>
      <c r="L275" s="11"/>
      <c r="M275" s="11">
        <f t="shared" si="61"/>
        <v>0</v>
      </c>
      <c r="N275" s="11"/>
      <c r="O275" s="11">
        <f t="shared" si="62"/>
        <v>0</v>
      </c>
      <c r="P275" s="11"/>
      <c r="Q275" s="11"/>
      <c r="R275" s="11"/>
      <c r="S275" s="11">
        <f t="shared" si="63"/>
        <v>0</v>
      </c>
      <c r="T275" s="11">
        <f t="shared" si="64"/>
        <v>1666.6666666666667</v>
      </c>
      <c r="U275" s="11">
        <f t="shared" si="65"/>
        <v>0</v>
      </c>
      <c r="V275" s="24">
        <f t="shared" si="66"/>
        <v>0</v>
      </c>
      <c r="W275" s="11">
        <f>IF(V275&lt;=40000,0,
IF(V275&lt;=55000,(V275-40000)*10%,
IF(V275&lt;=70000,(V275-55000)*15%+1500,
IF(V275&lt;=200000,(V275-70000)*20%+1500+2250,
IF(V275&lt;=400000,(V275-200000)*22.5%+1500+2250+26000,
IF(V275&lt;=600000,(V275-400000)*25%+1500+2250+26000+45000,
IF(AND(V275&gt;600000,V275&lt;=1200000),(V275-400000)*25%+1500+2250+26000+45000
+IFERROR(LOOKUP(V275,{600001;700001;800001;900001},{4000;6750;10250;15250}),0),IF(V275&gt;1200000,((V275-1200000)*27.5%)+300000,0)
)))))))</f>
        <v>0</v>
      </c>
      <c r="X275" s="12">
        <f t="shared" si="67"/>
        <v>0</v>
      </c>
      <c r="Y275" s="12">
        <f t="shared" si="68"/>
        <v>0</v>
      </c>
      <c r="Z275" s="11"/>
      <c r="AA275" s="13">
        <f t="shared" si="69"/>
        <v>0</v>
      </c>
      <c r="AB275" s="12">
        <f t="shared" si="70"/>
        <v>0</v>
      </c>
      <c r="AC275" s="14">
        <f t="shared" si="73"/>
        <v>0</v>
      </c>
      <c r="AE275" s="19">
        <f t="shared" si="71"/>
        <v>0</v>
      </c>
      <c r="AF275" s="19"/>
      <c r="AG275" s="17"/>
      <c r="AK275" s="7"/>
      <c r="AL275" s="108">
        <f t="shared" si="74"/>
        <v>0</v>
      </c>
      <c r="AM275" s="108">
        <f t="shared" si="75"/>
        <v>0</v>
      </c>
      <c r="AN275" s="113"/>
    </row>
    <row r="276" spans="2:40" x14ac:dyDescent="0.2">
      <c r="B276" s="7"/>
      <c r="C276" s="8"/>
      <c r="D276" s="8"/>
      <c r="E276" s="9"/>
      <c r="F276" s="6"/>
      <c r="G276" s="8"/>
      <c r="H276" s="32"/>
      <c r="I276" s="10" t="str">
        <f t="shared" si="72"/>
        <v>21</v>
      </c>
      <c r="J276" s="11">
        <v>1</v>
      </c>
      <c r="K276" s="11"/>
      <c r="L276" s="11"/>
      <c r="M276" s="11">
        <f t="shared" si="61"/>
        <v>0</v>
      </c>
      <c r="N276" s="11"/>
      <c r="O276" s="11">
        <f t="shared" si="62"/>
        <v>0</v>
      </c>
      <c r="P276" s="11"/>
      <c r="Q276" s="11"/>
      <c r="R276" s="11"/>
      <c r="S276" s="11">
        <f t="shared" si="63"/>
        <v>0</v>
      </c>
      <c r="T276" s="11">
        <f t="shared" si="64"/>
        <v>1666.6666666666667</v>
      </c>
      <c r="U276" s="11">
        <f t="shared" si="65"/>
        <v>0</v>
      </c>
      <c r="V276" s="24">
        <f t="shared" si="66"/>
        <v>0</v>
      </c>
      <c r="W276" s="11">
        <f>IF(V276&lt;=40000,0,
IF(V276&lt;=55000,(V276-40000)*10%,
IF(V276&lt;=70000,(V276-55000)*15%+1500,
IF(V276&lt;=200000,(V276-70000)*20%+1500+2250,
IF(V276&lt;=400000,(V276-200000)*22.5%+1500+2250+26000,
IF(V276&lt;=600000,(V276-400000)*25%+1500+2250+26000+45000,
IF(AND(V276&gt;600000,V276&lt;=1200000),(V276-400000)*25%+1500+2250+26000+45000
+IFERROR(LOOKUP(V276,{600001;700001;800001;900001},{4000;6750;10250;15250}),0),IF(V276&gt;1200000,((V276-1200000)*27.5%)+300000,0)
)))))))</f>
        <v>0</v>
      </c>
      <c r="X276" s="12">
        <f t="shared" si="67"/>
        <v>0</v>
      </c>
      <c r="Y276" s="12">
        <f t="shared" si="68"/>
        <v>0</v>
      </c>
      <c r="Z276" s="11"/>
      <c r="AA276" s="13">
        <f t="shared" si="69"/>
        <v>0</v>
      </c>
      <c r="AB276" s="12">
        <f t="shared" si="70"/>
        <v>0</v>
      </c>
      <c r="AC276" s="14">
        <f t="shared" si="73"/>
        <v>0</v>
      </c>
      <c r="AE276" s="19">
        <f t="shared" si="71"/>
        <v>0</v>
      </c>
      <c r="AF276" s="19"/>
      <c r="AG276" s="17"/>
      <c r="AK276" s="7"/>
      <c r="AL276" s="108">
        <f t="shared" si="74"/>
        <v>0</v>
      </c>
      <c r="AM276" s="108">
        <f t="shared" si="75"/>
        <v>0</v>
      </c>
      <c r="AN276" s="113"/>
    </row>
    <row r="277" spans="2:40" x14ac:dyDescent="0.2">
      <c r="B277" s="7"/>
      <c r="C277" s="8"/>
      <c r="D277" s="8"/>
      <c r="E277" s="9"/>
      <c r="F277" s="6"/>
      <c r="G277" s="8"/>
      <c r="H277" s="32"/>
      <c r="I277" s="10" t="str">
        <f t="shared" si="72"/>
        <v>21</v>
      </c>
      <c r="J277" s="11">
        <v>1</v>
      </c>
      <c r="K277" s="11"/>
      <c r="L277" s="11"/>
      <c r="M277" s="11">
        <f t="shared" si="61"/>
        <v>0</v>
      </c>
      <c r="N277" s="11"/>
      <c r="O277" s="11">
        <f t="shared" si="62"/>
        <v>0</v>
      </c>
      <c r="P277" s="11"/>
      <c r="Q277" s="11"/>
      <c r="R277" s="11"/>
      <c r="S277" s="11">
        <f t="shared" si="63"/>
        <v>0</v>
      </c>
      <c r="T277" s="11">
        <f t="shared" si="64"/>
        <v>1666.6666666666667</v>
      </c>
      <c r="U277" s="11">
        <f t="shared" si="65"/>
        <v>0</v>
      </c>
      <c r="V277" s="24">
        <f t="shared" si="66"/>
        <v>0</v>
      </c>
      <c r="W277" s="11">
        <f>IF(V277&lt;=40000,0,
IF(V277&lt;=55000,(V277-40000)*10%,
IF(V277&lt;=70000,(V277-55000)*15%+1500,
IF(V277&lt;=200000,(V277-70000)*20%+1500+2250,
IF(V277&lt;=400000,(V277-200000)*22.5%+1500+2250+26000,
IF(V277&lt;=600000,(V277-400000)*25%+1500+2250+26000+45000,
IF(AND(V277&gt;600000,V277&lt;=1200000),(V277-400000)*25%+1500+2250+26000+45000
+IFERROR(LOOKUP(V277,{600001;700001;800001;900001},{4000;6750;10250;15250}),0),IF(V277&gt;1200000,((V277-1200000)*27.5%)+300000,0)
)))))))</f>
        <v>0</v>
      </c>
      <c r="X277" s="12">
        <f t="shared" si="67"/>
        <v>0</v>
      </c>
      <c r="Y277" s="12">
        <f t="shared" si="68"/>
        <v>0</v>
      </c>
      <c r="Z277" s="11"/>
      <c r="AA277" s="13">
        <f t="shared" si="69"/>
        <v>0</v>
      </c>
      <c r="AB277" s="12">
        <f t="shared" si="70"/>
        <v>0</v>
      </c>
      <c r="AC277" s="14">
        <f t="shared" si="73"/>
        <v>0</v>
      </c>
      <c r="AE277" s="19">
        <f t="shared" si="71"/>
        <v>0</v>
      </c>
      <c r="AF277" s="19"/>
      <c r="AG277" s="17"/>
      <c r="AK277" s="7"/>
      <c r="AL277" s="108">
        <f t="shared" si="74"/>
        <v>0</v>
      </c>
      <c r="AM277" s="108">
        <f t="shared" si="75"/>
        <v>0</v>
      </c>
      <c r="AN277" s="113"/>
    </row>
    <row r="278" spans="2:40" x14ac:dyDescent="0.2">
      <c r="B278" s="7"/>
      <c r="C278" s="8"/>
      <c r="D278" s="8"/>
      <c r="E278" s="9"/>
      <c r="F278" s="6"/>
      <c r="G278" s="8"/>
      <c r="H278" s="32"/>
      <c r="I278" s="10" t="str">
        <f t="shared" si="72"/>
        <v>21</v>
      </c>
      <c r="J278" s="11">
        <v>1</v>
      </c>
      <c r="K278" s="11"/>
      <c r="L278" s="11"/>
      <c r="M278" s="11">
        <f t="shared" si="61"/>
        <v>0</v>
      </c>
      <c r="N278" s="11"/>
      <c r="O278" s="11">
        <f t="shared" si="62"/>
        <v>0</v>
      </c>
      <c r="P278" s="11"/>
      <c r="Q278" s="11"/>
      <c r="R278" s="11"/>
      <c r="S278" s="11">
        <f t="shared" si="63"/>
        <v>0</v>
      </c>
      <c r="T278" s="11">
        <f t="shared" si="64"/>
        <v>1666.6666666666667</v>
      </c>
      <c r="U278" s="11">
        <f t="shared" si="65"/>
        <v>0</v>
      </c>
      <c r="V278" s="24">
        <f t="shared" si="66"/>
        <v>0</v>
      </c>
      <c r="W278" s="11">
        <f>IF(V278&lt;=40000,0,
IF(V278&lt;=55000,(V278-40000)*10%,
IF(V278&lt;=70000,(V278-55000)*15%+1500,
IF(V278&lt;=200000,(V278-70000)*20%+1500+2250,
IF(V278&lt;=400000,(V278-200000)*22.5%+1500+2250+26000,
IF(V278&lt;=600000,(V278-400000)*25%+1500+2250+26000+45000,
IF(AND(V278&gt;600000,V278&lt;=1200000),(V278-400000)*25%+1500+2250+26000+45000
+IFERROR(LOOKUP(V278,{600001;700001;800001;900001},{4000;6750;10250;15250}),0),IF(V278&gt;1200000,((V278-1200000)*27.5%)+300000,0)
)))))))</f>
        <v>0</v>
      </c>
      <c r="X278" s="12">
        <f t="shared" si="67"/>
        <v>0</v>
      </c>
      <c r="Y278" s="12">
        <f t="shared" si="68"/>
        <v>0</v>
      </c>
      <c r="Z278" s="11"/>
      <c r="AA278" s="13">
        <f t="shared" si="69"/>
        <v>0</v>
      </c>
      <c r="AB278" s="12">
        <f t="shared" si="70"/>
        <v>0</v>
      </c>
      <c r="AC278" s="14">
        <f t="shared" si="73"/>
        <v>0</v>
      </c>
      <c r="AE278" s="19">
        <f t="shared" si="71"/>
        <v>0</v>
      </c>
      <c r="AF278" s="19"/>
      <c r="AG278" s="17"/>
      <c r="AK278" s="7"/>
      <c r="AL278" s="108">
        <f t="shared" si="74"/>
        <v>0</v>
      </c>
      <c r="AM278" s="108">
        <f t="shared" si="75"/>
        <v>0</v>
      </c>
      <c r="AN278" s="113"/>
    </row>
    <row r="279" spans="2:40" x14ac:dyDescent="0.2">
      <c r="B279" s="7"/>
      <c r="C279" s="8"/>
      <c r="D279" s="8"/>
      <c r="E279" s="9"/>
      <c r="F279" s="6"/>
      <c r="G279" s="8"/>
      <c r="H279" s="32"/>
      <c r="I279" s="10" t="str">
        <f t="shared" si="72"/>
        <v>21</v>
      </c>
      <c r="J279" s="11">
        <v>1</v>
      </c>
      <c r="K279" s="11"/>
      <c r="L279" s="11"/>
      <c r="M279" s="11">
        <f t="shared" si="61"/>
        <v>0</v>
      </c>
      <c r="N279" s="11"/>
      <c r="O279" s="11">
        <f t="shared" si="62"/>
        <v>0</v>
      </c>
      <c r="P279" s="11"/>
      <c r="Q279" s="11"/>
      <c r="R279" s="11"/>
      <c r="S279" s="11">
        <f t="shared" si="63"/>
        <v>0</v>
      </c>
      <c r="T279" s="11">
        <f t="shared" si="64"/>
        <v>1666.6666666666667</v>
      </c>
      <c r="U279" s="11">
        <f t="shared" si="65"/>
        <v>0</v>
      </c>
      <c r="V279" s="24">
        <f t="shared" si="66"/>
        <v>0</v>
      </c>
      <c r="W279" s="11">
        <f>IF(V279&lt;=40000,0,
IF(V279&lt;=55000,(V279-40000)*10%,
IF(V279&lt;=70000,(V279-55000)*15%+1500,
IF(V279&lt;=200000,(V279-70000)*20%+1500+2250,
IF(V279&lt;=400000,(V279-200000)*22.5%+1500+2250+26000,
IF(V279&lt;=600000,(V279-400000)*25%+1500+2250+26000+45000,
IF(AND(V279&gt;600000,V279&lt;=1200000),(V279-400000)*25%+1500+2250+26000+45000
+IFERROR(LOOKUP(V279,{600001;700001;800001;900001},{4000;6750;10250;15250}),0),IF(V279&gt;1200000,((V279-1200000)*27.5%)+300000,0)
)))))))</f>
        <v>0</v>
      </c>
      <c r="X279" s="12">
        <f t="shared" si="67"/>
        <v>0</v>
      </c>
      <c r="Y279" s="12">
        <f t="shared" si="68"/>
        <v>0</v>
      </c>
      <c r="Z279" s="11"/>
      <c r="AA279" s="13">
        <f t="shared" si="69"/>
        <v>0</v>
      </c>
      <c r="AB279" s="12">
        <f t="shared" si="70"/>
        <v>0</v>
      </c>
      <c r="AC279" s="14">
        <f t="shared" si="73"/>
        <v>0</v>
      </c>
      <c r="AE279" s="19">
        <f t="shared" si="71"/>
        <v>0</v>
      </c>
      <c r="AF279" s="19"/>
      <c r="AG279" s="17"/>
      <c r="AK279" s="7"/>
      <c r="AL279" s="108">
        <f t="shared" si="74"/>
        <v>0</v>
      </c>
      <c r="AM279" s="108">
        <f t="shared" si="75"/>
        <v>0</v>
      </c>
      <c r="AN279" s="113"/>
    </row>
    <row r="280" spans="2:40" x14ac:dyDescent="0.2">
      <c r="B280" s="7"/>
      <c r="C280" s="8"/>
      <c r="D280" s="8"/>
      <c r="E280" s="9"/>
      <c r="F280" s="6"/>
      <c r="G280" s="8"/>
      <c r="H280" s="32"/>
      <c r="I280" s="10" t="str">
        <f t="shared" si="72"/>
        <v>21</v>
      </c>
      <c r="J280" s="11">
        <v>1</v>
      </c>
      <c r="K280" s="11"/>
      <c r="L280" s="11"/>
      <c r="M280" s="11">
        <f t="shared" si="61"/>
        <v>0</v>
      </c>
      <c r="N280" s="11"/>
      <c r="O280" s="11">
        <f t="shared" si="62"/>
        <v>0</v>
      </c>
      <c r="P280" s="11"/>
      <c r="Q280" s="11"/>
      <c r="R280" s="11"/>
      <c r="S280" s="11">
        <f t="shared" si="63"/>
        <v>0</v>
      </c>
      <c r="T280" s="11">
        <f t="shared" si="64"/>
        <v>1666.6666666666667</v>
      </c>
      <c r="U280" s="11">
        <f t="shared" si="65"/>
        <v>0</v>
      </c>
      <c r="V280" s="24">
        <f t="shared" si="66"/>
        <v>0</v>
      </c>
      <c r="W280" s="11">
        <f>IF(V280&lt;=40000,0,
IF(V280&lt;=55000,(V280-40000)*10%,
IF(V280&lt;=70000,(V280-55000)*15%+1500,
IF(V280&lt;=200000,(V280-70000)*20%+1500+2250,
IF(V280&lt;=400000,(V280-200000)*22.5%+1500+2250+26000,
IF(V280&lt;=600000,(V280-400000)*25%+1500+2250+26000+45000,
IF(AND(V280&gt;600000,V280&lt;=1200000),(V280-400000)*25%+1500+2250+26000+45000
+IFERROR(LOOKUP(V280,{600001;700001;800001;900001},{4000;6750;10250;15250}),0),IF(V280&gt;1200000,((V280-1200000)*27.5%)+300000,0)
)))))))</f>
        <v>0</v>
      </c>
      <c r="X280" s="12">
        <f t="shared" si="67"/>
        <v>0</v>
      </c>
      <c r="Y280" s="12">
        <f t="shared" si="68"/>
        <v>0</v>
      </c>
      <c r="Z280" s="11"/>
      <c r="AA280" s="13">
        <f t="shared" si="69"/>
        <v>0</v>
      </c>
      <c r="AB280" s="12">
        <f t="shared" si="70"/>
        <v>0</v>
      </c>
      <c r="AC280" s="14">
        <f t="shared" si="73"/>
        <v>0</v>
      </c>
      <c r="AE280" s="19">
        <f t="shared" si="71"/>
        <v>0</v>
      </c>
      <c r="AF280" s="19"/>
      <c r="AG280" s="17"/>
      <c r="AK280" s="7"/>
      <c r="AL280" s="108">
        <f t="shared" si="74"/>
        <v>0</v>
      </c>
      <c r="AM280" s="108">
        <f t="shared" si="75"/>
        <v>0</v>
      </c>
      <c r="AN280" s="113"/>
    </row>
    <row r="281" spans="2:40" x14ac:dyDescent="0.2">
      <c r="B281" s="7"/>
      <c r="C281" s="8"/>
      <c r="D281" s="8"/>
      <c r="E281" s="9"/>
      <c r="F281" s="6"/>
      <c r="G281" s="8"/>
      <c r="H281" s="32"/>
      <c r="I281" s="10" t="str">
        <f t="shared" si="72"/>
        <v>21</v>
      </c>
      <c r="J281" s="11">
        <v>1</v>
      </c>
      <c r="K281" s="11"/>
      <c r="L281" s="11"/>
      <c r="M281" s="11">
        <f t="shared" si="61"/>
        <v>0</v>
      </c>
      <c r="N281" s="11"/>
      <c r="O281" s="11">
        <f t="shared" si="62"/>
        <v>0</v>
      </c>
      <c r="P281" s="11"/>
      <c r="Q281" s="11"/>
      <c r="R281" s="11"/>
      <c r="S281" s="11">
        <f t="shared" si="63"/>
        <v>0</v>
      </c>
      <c r="T281" s="11">
        <f t="shared" si="64"/>
        <v>1666.6666666666667</v>
      </c>
      <c r="U281" s="11">
        <f t="shared" si="65"/>
        <v>0</v>
      </c>
      <c r="V281" s="24">
        <f t="shared" si="66"/>
        <v>0</v>
      </c>
      <c r="W281" s="11">
        <f>IF(V281&lt;=40000,0,
IF(V281&lt;=55000,(V281-40000)*10%,
IF(V281&lt;=70000,(V281-55000)*15%+1500,
IF(V281&lt;=200000,(V281-70000)*20%+1500+2250,
IF(V281&lt;=400000,(V281-200000)*22.5%+1500+2250+26000,
IF(V281&lt;=600000,(V281-400000)*25%+1500+2250+26000+45000,
IF(AND(V281&gt;600000,V281&lt;=1200000),(V281-400000)*25%+1500+2250+26000+45000
+IFERROR(LOOKUP(V281,{600001;700001;800001;900001},{4000;6750;10250;15250}),0),IF(V281&gt;1200000,((V281-1200000)*27.5%)+300000,0)
)))))))</f>
        <v>0</v>
      </c>
      <c r="X281" s="12">
        <f t="shared" si="67"/>
        <v>0</v>
      </c>
      <c r="Y281" s="12">
        <f t="shared" si="68"/>
        <v>0</v>
      </c>
      <c r="Z281" s="11"/>
      <c r="AA281" s="13">
        <f t="shared" si="69"/>
        <v>0</v>
      </c>
      <c r="AB281" s="12">
        <f t="shared" si="70"/>
        <v>0</v>
      </c>
      <c r="AC281" s="14">
        <f t="shared" si="73"/>
        <v>0</v>
      </c>
      <c r="AE281" s="19">
        <f t="shared" si="71"/>
        <v>0</v>
      </c>
      <c r="AF281" s="19"/>
      <c r="AG281" s="17"/>
      <c r="AK281" s="7"/>
      <c r="AL281" s="108">
        <f t="shared" si="74"/>
        <v>0</v>
      </c>
      <c r="AM281" s="108">
        <f t="shared" si="75"/>
        <v>0</v>
      </c>
      <c r="AN281" s="113"/>
    </row>
    <row r="282" spans="2:40" x14ac:dyDescent="0.2">
      <c r="B282" s="7"/>
      <c r="C282" s="8"/>
      <c r="D282" s="8"/>
      <c r="E282" s="9"/>
      <c r="F282" s="6"/>
      <c r="G282" s="8"/>
      <c r="H282" s="32"/>
      <c r="I282" s="10" t="str">
        <f t="shared" si="72"/>
        <v>21</v>
      </c>
      <c r="J282" s="11">
        <v>1</v>
      </c>
      <c r="K282" s="11"/>
      <c r="L282" s="11"/>
      <c r="M282" s="11">
        <f t="shared" si="61"/>
        <v>0</v>
      </c>
      <c r="N282" s="11"/>
      <c r="O282" s="11">
        <f t="shared" si="62"/>
        <v>0</v>
      </c>
      <c r="P282" s="11"/>
      <c r="Q282" s="11"/>
      <c r="R282" s="11"/>
      <c r="S282" s="11">
        <f t="shared" si="63"/>
        <v>0</v>
      </c>
      <c r="T282" s="11">
        <f t="shared" si="64"/>
        <v>1666.6666666666667</v>
      </c>
      <c r="U282" s="11">
        <f t="shared" si="65"/>
        <v>0</v>
      </c>
      <c r="V282" s="24">
        <f t="shared" si="66"/>
        <v>0</v>
      </c>
      <c r="W282" s="11">
        <f>IF(V282&lt;=40000,0,
IF(V282&lt;=55000,(V282-40000)*10%,
IF(V282&lt;=70000,(V282-55000)*15%+1500,
IF(V282&lt;=200000,(V282-70000)*20%+1500+2250,
IF(V282&lt;=400000,(V282-200000)*22.5%+1500+2250+26000,
IF(V282&lt;=600000,(V282-400000)*25%+1500+2250+26000+45000,
IF(AND(V282&gt;600000,V282&lt;=1200000),(V282-400000)*25%+1500+2250+26000+45000
+IFERROR(LOOKUP(V282,{600001;700001;800001;900001},{4000;6750;10250;15250}),0),IF(V282&gt;1200000,((V282-1200000)*27.5%)+300000,0)
)))))))</f>
        <v>0</v>
      </c>
      <c r="X282" s="12">
        <f t="shared" si="67"/>
        <v>0</v>
      </c>
      <c r="Y282" s="12">
        <f t="shared" si="68"/>
        <v>0</v>
      </c>
      <c r="Z282" s="11"/>
      <c r="AA282" s="13">
        <f t="shared" si="69"/>
        <v>0</v>
      </c>
      <c r="AB282" s="12">
        <f t="shared" si="70"/>
        <v>0</v>
      </c>
      <c r="AC282" s="14">
        <f t="shared" si="73"/>
        <v>0</v>
      </c>
      <c r="AE282" s="19">
        <f t="shared" si="71"/>
        <v>0</v>
      </c>
      <c r="AF282" s="19"/>
      <c r="AG282" s="17"/>
      <c r="AK282" s="7"/>
      <c r="AL282" s="108">
        <f t="shared" si="74"/>
        <v>0</v>
      </c>
      <c r="AM282" s="108">
        <f t="shared" si="75"/>
        <v>0</v>
      </c>
      <c r="AN282" s="113"/>
    </row>
    <row r="283" spans="2:40" x14ac:dyDescent="0.2">
      <c r="B283" s="7"/>
      <c r="C283" s="8"/>
      <c r="D283" s="8"/>
      <c r="E283" s="9"/>
      <c r="F283" s="6"/>
      <c r="G283" s="8"/>
      <c r="H283" s="32"/>
      <c r="I283" s="10" t="str">
        <f t="shared" si="72"/>
        <v>21</v>
      </c>
      <c r="J283" s="11">
        <v>1</v>
      </c>
      <c r="K283" s="11"/>
      <c r="L283" s="11"/>
      <c r="M283" s="11">
        <f t="shared" si="61"/>
        <v>0</v>
      </c>
      <c r="N283" s="11"/>
      <c r="O283" s="11">
        <f t="shared" si="62"/>
        <v>0</v>
      </c>
      <c r="P283" s="11"/>
      <c r="Q283" s="11"/>
      <c r="R283" s="11"/>
      <c r="S283" s="11">
        <f t="shared" si="63"/>
        <v>0</v>
      </c>
      <c r="T283" s="11">
        <f t="shared" si="64"/>
        <v>1666.6666666666667</v>
      </c>
      <c r="U283" s="11">
        <f t="shared" si="65"/>
        <v>0</v>
      </c>
      <c r="V283" s="24">
        <f t="shared" si="66"/>
        <v>0</v>
      </c>
      <c r="W283" s="11">
        <f>IF(V283&lt;=40000,0,
IF(V283&lt;=55000,(V283-40000)*10%,
IF(V283&lt;=70000,(V283-55000)*15%+1500,
IF(V283&lt;=200000,(V283-70000)*20%+1500+2250,
IF(V283&lt;=400000,(V283-200000)*22.5%+1500+2250+26000,
IF(V283&lt;=600000,(V283-400000)*25%+1500+2250+26000+45000,
IF(AND(V283&gt;600000,V283&lt;=1200000),(V283-400000)*25%+1500+2250+26000+45000
+IFERROR(LOOKUP(V283,{600001;700001;800001;900001},{4000;6750;10250;15250}),0),IF(V283&gt;1200000,((V283-1200000)*27.5%)+300000,0)
)))))))</f>
        <v>0</v>
      </c>
      <c r="X283" s="12">
        <f t="shared" si="67"/>
        <v>0</v>
      </c>
      <c r="Y283" s="12">
        <f t="shared" si="68"/>
        <v>0</v>
      </c>
      <c r="Z283" s="11"/>
      <c r="AA283" s="13">
        <f t="shared" si="69"/>
        <v>0</v>
      </c>
      <c r="AB283" s="12">
        <f t="shared" si="70"/>
        <v>0</v>
      </c>
      <c r="AC283" s="14">
        <f t="shared" si="73"/>
        <v>0</v>
      </c>
      <c r="AE283" s="19">
        <f t="shared" si="71"/>
        <v>0</v>
      </c>
      <c r="AF283" s="19"/>
      <c r="AG283" s="17"/>
      <c r="AK283" s="7"/>
      <c r="AL283" s="108">
        <f t="shared" si="74"/>
        <v>0</v>
      </c>
      <c r="AM283" s="108">
        <f t="shared" si="75"/>
        <v>0</v>
      </c>
      <c r="AN283" s="113"/>
    </row>
    <row r="284" spans="2:40" x14ac:dyDescent="0.2">
      <c r="B284" s="7"/>
      <c r="C284" s="8"/>
      <c r="D284" s="8"/>
      <c r="E284" s="9"/>
      <c r="F284" s="6"/>
      <c r="G284" s="8"/>
      <c r="H284" s="32"/>
      <c r="I284" s="10" t="str">
        <f t="shared" si="72"/>
        <v>21</v>
      </c>
      <c r="J284" s="11">
        <v>1</v>
      </c>
      <c r="K284" s="11"/>
      <c r="L284" s="11"/>
      <c r="M284" s="11">
        <f t="shared" si="61"/>
        <v>0</v>
      </c>
      <c r="N284" s="11"/>
      <c r="O284" s="11">
        <f t="shared" si="62"/>
        <v>0</v>
      </c>
      <c r="P284" s="11"/>
      <c r="Q284" s="11"/>
      <c r="R284" s="11"/>
      <c r="S284" s="11">
        <f t="shared" si="63"/>
        <v>0</v>
      </c>
      <c r="T284" s="11">
        <f t="shared" si="64"/>
        <v>1666.6666666666667</v>
      </c>
      <c r="U284" s="11">
        <f t="shared" si="65"/>
        <v>0</v>
      </c>
      <c r="V284" s="24">
        <f t="shared" si="66"/>
        <v>0</v>
      </c>
      <c r="W284" s="11">
        <f>IF(V284&lt;=40000,0,
IF(V284&lt;=55000,(V284-40000)*10%,
IF(V284&lt;=70000,(V284-55000)*15%+1500,
IF(V284&lt;=200000,(V284-70000)*20%+1500+2250,
IF(V284&lt;=400000,(V284-200000)*22.5%+1500+2250+26000,
IF(V284&lt;=600000,(V284-400000)*25%+1500+2250+26000+45000,
IF(AND(V284&gt;600000,V284&lt;=1200000),(V284-400000)*25%+1500+2250+26000+45000
+IFERROR(LOOKUP(V284,{600001;700001;800001;900001},{4000;6750;10250;15250}),0),IF(V284&gt;1200000,((V284-1200000)*27.5%)+300000,0)
)))))))</f>
        <v>0</v>
      </c>
      <c r="X284" s="12">
        <f t="shared" si="67"/>
        <v>0</v>
      </c>
      <c r="Y284" s="12">
        <f t="shared" si="68"/>
        <v>0</v>
      </c>
      <c r="Z284" s="11"/>
      <c r="AA284" s="13">
        <f t="shared" si="69"/>
        <v>0</v>
      </c>
      <c r="AB284" s="12">
        <f t="shared" si="70"/>
        <v>0</v>
      </c>
      <c r="AC284" s="14">
        <f t="shared" si="73"/>
        <v>0</v>
      </c>
      <c r="AE284" s="19">
        <f t="shared" si="71"/>
        <v>0</v>
      </c>
      <c r="AF284" s="19"/>
      <c r="AG284" s="17"/>
      <c r="AK284" s="7"/>
      <c r="AL284" s="108">
        <f t="shared" si="74"/>
        <v>0</v>
      </c>
      <c r="AM284" s="108">
        <f t="shared" si="75"/>
        <v>0</v>
      </c>
      <c r="AN284" s="113"/>
    </row>
    <row r="285" spans="2:40" x14ac:dyDescent="0.2">
      <c r="B285" s="7"/>
      <c r="C285" s="8"/>
      <c r="D285" s="8"/>
      <c r="E285" s="9"/>
      <c r="F285" s="6"/>
      <c r="G285" s="8"/>
      <c r="H285" s="32"/>
      <c r="I285" s="10" t="str">
        <f t="shared" si="72"/>
        <v>21</v>
      </c>
      <c r="J285" s="11">
        <v>1</v>
      </c>
      <c r="K285" s="11"/>
      <c r="L285" s="11"/>
      <c r="M285" s="11">
        <f t="shared" ref="M285:M348" si="76">SUM(K285:L285)</f>
        <v>0</v>
      </c>
      <c r="N285" s="11"/>
      <c r="O285" s="11">
        <f t="shared" ref="O285:O348" si="77">+N285+M285</f>
        <v>0</v>
      </c>
      <c r="P285" s="11"/>
      <c r="Q285" s="11"/>
      <c r="R285" s="11"/>
      <c r="S285" s="11">
        <f t="shared" ref="S285:S348" si="78">O285-P285-Q285-R285</f>
        <v>0</v>
      </c>
      <c r="T285" s="11">
        <f t="shared" ref="T285:T348" si="79">IF(J285&gt;0,(20000/12*J285),0)</f>
        <v>1666.6666666666667</v>
      </c>
      <c r="U285" s="11">
        <f t="shared" ref="U285:U348" si="80">IF(AND(J285&gt;0,S285-T285&gt;0),S285-T285,0)</f>
        <v>0</v>
      </c>
      <c r="V285" s="24">
        <f t="shared" ref="V285:V348" si="81">IF(J285=0,0,(U285/J285*12))</f>
        <v>0</v>
      </c>
      <c r="W285" s="11">
        <f>IF(V285&lt;=40000,0,
IF(V285&lt;=55000,(V285-40000)*10%,
IF(V285&lt;=70000,(V285-55000)*15%+1500,
IF(V285&lt;=200000,(V285-70000)*20%+1500+2250,
IF(V285&lt;=400000,(V285-200000)*22.5%+1500+2250+26000,
IF(V285&lt;=600000,(V285-400000)*25%+1500+2250+26000+45000,
IF(AND(V285&gt;600000,V285&lt;=1200000),(V285-400000)*25%+1500+2250+26000+45000
+IFERROR(LOOKUP(V285,{600001;700001;800001;900001},{4000;6750;10250;15250}),0),IF(V285&gt;1200000,((V285-1200000)*27.5%)+300000,0)
)))))))</f>
        <v>0</v>
      </c>
      <c r="X285" s="12">
        <f t="shared" ref="X285:X348" si="82">N285*0.1</f>
        <v>0</v>
      </c>
      <c r="Y285" s="12">
        <f t="shared" ref="Y285:Y348" si="83">(W285/12*J285)-X285</f>
        <v>0</v>
      </c>
      <c r="Z285" s="11"/>
      <c r="AA285" s="13">
        <f t="shared" ref="AA285:AA348" si="84">+O285-P285-Y285-Z285</f>
        <v>0</v>
      </c>
      <c r="AB285" s="12">
        <f t="shared" ref="AB285:AB348" si="85">(P285/0.11)*18.75%</f>
        <v>0</v>
      </c>
      <c r="AC285" s="14">
        <f t="shared" si="73"/>
        <v>0</v>
      </c>
      <c r="AE285" s="19">
        <f t="shared" ref="AE285:AE348" si="86">+AD285-AC285</f>
        <v>0</v>
      </c>
      <c r="AF285" s="19"/>
      <c r="AG285" s="17"/>
      <c r="AK285" s="7"/>
      <c r="AL285" s="108">
        <f t="shared" si="74"/>
        <v>0</v>
      </c>
      <c r="AM285" s="108">
        <f t="shared" si="75"/>
        <v>0</v>
      </c>
      <c r="AN285" s="113"/>
    </row>
    <row r="286" spans="2:40" x14ac:dyDescent="0.2">
      <c r="B286" s="7"/>
      <c r="C286" s="8"/>
      <c r="D286" s="8"/>
      <c r="E286" s="9"/>
      <c r="F286" s="6"/>
      <c r="G286" s="8"/>
      <c r="H286" s="32"/>
      <c r="I286" s="10" t="str">
        <f t="shared" si="72"/>
        <v>21</v>
      </c>
      <c r="J286" s="11">
        <v>1</v>
      </c>
      <c r="K286" s="11"/>
      <c r="L286" s="11"/>
      <c r="M286" s="11">
        <f t="shared" si="76"/>
        <v>0</v>
      </c>
      <c r="N286" s="11"/>
      <c r="O286" s="11">
        <f t="shared" si="77"/>
        <v>0</v>
      </c>
      <c r="P286" s="11"/>
      <c r="Q286" s="11"/>
      <c r="R286" s="11"/>
      <c r="S286" s="11">
        <f t="shared" si="78"/>
        <v>0</v>
      </c>
      <c r="T286" s="11">
        <f t="shared" si="79"/>
        <v>1666.6666666666667</v>
      </c>
      <c r="U286" s="11">
        <f t="shared" si="80"/>
        <v>0</v>
      </c>
      <c r="V286" s="24">
        <f t="shared" si="81"/>
        <v>0</v>
      </c>
      <c r="W286" s="11">
        <f>IF(V286&lt;=40000,0,
IF(V286&lt;=55000,(V286-40000)*10%,
IF(V286&lt;=70000,(V286-55000)*15%+1500,
IF(V286&lt;=200000,(V286-70000)*20%+1500+2250,
IF(V286&lt;=400000,(V286-200000)*22.5%+1500+2250+26000,
IF(V286&lt;=600000,(V286-400000)*25%+1500+2250+26000+45000,
IF(AND(V286&gt;600000,V286&lt;=1200000),(V286-400000)*25%+1500+2250+26000+45000
+IFERROR(LOOKUP(V286,{600001;700001;800001;900001},{4000;6750;10250;15250}),0),IF(V286&gt;1200000,((V286-1200000)*27.5%)+300000,0)
)))))))</f>
        <v>0</v>
      </c>
      <c r="X286" s="12">
        <f t="shared" si="82"/>
        <v>0</v>
      </c>
      <c r="Y286" s="12">
        <f t="shared" si="83"/>
        <v>0</v>
      </c>
      <c r="Z286" s="11"/>
      <c r="AA286" s="13">
        <f t="shared" si="84"/>
        <v>0</v>
      </c>
      <c r="AB286" s="12">
        <f t="shared" si="85"/>
        <v>0</v>
      </c>
      <c r="AC286" s="14">
        <f t="shared" si="73"/>
        <v>0</v>
      </c>
      <c r="AE286" s="19">
        <f t="shared" si="86"/>
        <v>0</v>
      </c>
      <c r="AF286" s="19"/>
      <c r="AG286" s="17"/>
      <c r="AK286" s="7"/>
      <c r="AL286" s="108">
        <f t="shared" si="74"/>
        <v>0</v>
      </c>
      <c r="AM286" s="108">
        <f t="shared" si="75"/>
        <v>0</v>
      </c>
      <c r="AN286" s="113"/>
    </row>
    <row r="287" spans="2:40" x14ac:dyDescent="0.2">
      <c r="B287" s="7"/>
      <c r="C287" s="8"/>
      <c r="D287" s="8"/>
      <c r="E287" s="9"/>
      <c r="F287" s="6"/>
      <c r="G287" s="8"/>
      <c r="H287" s="32"/>
      <c r="I287" s="10" t="str">
        <f t="shared" si="72"/>
        <v>21</v>
      </c>
      <c r="J287" s="11">
        <v>1</v>
      </c>
      <c r="K287" s="11"/>
      <c r="L287" s="11"/>
      <c r="M287" s="11">
        <f t="shared" si="76"/>
        <v>0</v>
      </c>
      <c r="N287" s="11"/>
      <c r="O287" s="11">
        <f t="shared" si="77"/>
        <v>0</v>
      </c>
      <c r="P287" s="11"/>
      <c r="Q287" s="11"/>
      <c r="R287" s="11"/>
      <c r="S287" s="11">
        <f t="shared" si="78"/>
        <v>0</v>
      </c>
      <c r="T287" s="11">
        <f t="shared" si="79"/>
        <v>1666.6666666666667</v>
      </c>
      <c r="U287" s="11">
        <f t="shared" si="80"/>
        <v>0</v>
      </c>
      <c r="V287" s="24">
        <f t="shared" si="81"/>
        <v>0</v>
      </c>
      <c r="W287" s="11">
        <f>IF(V287&lt;=40000,0,
IF(V287&lt;=55000,(V287-40000)*10%,
IF(V287&lt;=70000,(V287-55000)*15%+1500,
IF(V287&lt;=200000,(V287-70000)*20%+1500+2250,
IF(V287&lt;=400000,(V287-200000)*22.5%+1500+2250+26000,
IF(V287&lt;=600000,(V287-400000)*25%+1500+2250+26000+45000,
IF(AND(V287&gt;600000,V287&lt;=1200000),(V287-400000)*25%+1500+2250+26000+45000
+IFERROR(LOOKUP(V287,{600001;700001;800001;900001},{4000;6750;10250;15250}),0),IF(V287&gt;1200000,((V287-1200000)*27.5%)+300000,0)
)))))))</f>
        <v>0</v>
      </c>
      <c r="X287" s="12">
        <f t="shared" si="82"/>
        <v>0</v>
      </c>
      <c r="Y287" s="12">
        <f t="shared" si="83"/>
        <v>0</v>
      </c>
      <c r="Z287" s="11"/>
      <c r="AA287" s="13">
        <f t="shared" si="84"/>
        <v>0</v>
      </c>
      <c r="AB287" s="12">
        <f t="shared" si="85"/>
        <v>0</v>
      </c>
      <c r="AC287" s="14">
        <f t="shared" si="73"/>
        <v>0</v>
      </c>
      <c r="AE287" s="19">
        <f t="shared" si="86"/>
        <v>0</v>
      </c>
      <c r="AF287" s="19"/>
      <c r="AG287" s="17"/>
      <c r="AK287" s="7"/>
      <c r="AL287" s="108">
        <f t="shared" si="74"/>
        <v>0</v>
      </c>
      <c r="AM287" s="108">
        <f t="shared" si="75"/>
        <v>0</v>
      </c>
      <c r="AN287" s="113"/>
    </row>
    <row r="288" spans="2:40" x14ac:dyDescent="0.2">
      <c r="B288" s="7"/>
      <c r="C288" s="8"/>
      <c r="D288" s="8"/>
      <c r="E288" s="9"/>
      <c r="F288" s="6"/>
      <c r="G288" s="8"/>
      <c r="H288" s="32"/>
      <c r="I288" s="10" t="str">
        <f t="shared" si="72"/>
        <v>21</v>
      </c>
      <c r="J288" s="11">
        <v>1</v>
      </c>
      <c r="K288" s="11"/>
      <c r="L288" s="11"/>
      <c r="M288" s="11">
        <f t="shared" si="76"/>
        <v>0</v>
      </c>
      <c r="N288" s="11"/>
      <c r="O288" s="11">
        <f t="shared" si="77"/>
        <v>0</v>
      </c>
      <c r="P288" s="11"/>
      <c r="Q288" s="11"/>
      <c r="R288" s="11"/>
      <c r="S288" s="11">
        <f t="shared" si="78"/>
        <v>0</v>
      </c>
      <c r="T288" s="11">
        <f t="shared" si="79"/>
        <v>1666.6666666666667</v>
      </c>
      <c r="U288" s="11">
        <f t="shared" si="80"/>
        <v>0</v>
      </c>
      <c r="V288" s="24">
        <f t="shared" si="81"/>
        <v>0</v>
      </c>
      <c r="W288" s="11">
        <f>IF(V288&lt;=40000,0,
IF(V288&lt;=55000,(V288-40000)*10%,
IF(V288&lt;=70000,(V288-55000)*15%+1500,
IF(V288&lt;=200000,(V288-70000)*20%+1500+2250,
IF(V288&lt;=400000,(V288-200000)*22.5%+1500+2250+26000,
IF(V288&lt;=600000,(V288-400000)*25%+1500+2250+26000+45000,
IF(AND(V288&gt;600000,V288&lt;=1200000),(V288-400000)*25%+1500+2250+26000+45000
+IFERROR(LOOKUP(V288,{600001;700001;800001;900001},{4000;6750;10250;15250}),0),IF(V288&gt;1200000,((V288-1200000)*27.5%)+300000,0)
)))))))</f>
        <v>0</v>
      </c>
      <c r="X288" s="12">
        <f t="shared" si="82"/>
        <v>0</v>
      </c>
      <c r="Y288" s="12">
        <f t="shared" si="83"/>
        <v>0</v>
      </c>
      <c r="Z288" s="11"/>
      <c r="AA288" s="13">
        <f t="shared" si="84"/>
        <v>0</v>
      </c>
      <c r="AB288" s="12">
        <f t="shared" si="85"/>
        <v>0</v>
      </c>
      <c r="AC288" s="14">
        <f t="shared" si="73"/>
        <v>0</v>
      </c>
      <c r="AE288" s="19">
        <f t="shared" si="86"/>
        <v>0</v>
      </c>
      <c r="AF288" s="19"/>
      <c r="AG288" s="17"/>
      <c r="AK288" s="7"/>
      <c r="AL288" s="108">
        <f t="shared" si="74"/>
        <v>0</v>
      </c>
      <c r="AM288" s="108">
        <f t="shared" si="75"/>
        <v>0</v>
      </c>
      <c r="AN288" s="113"/>
    </row>
    <row r="289" spans="2:40" x14ac:dyDescent="0.2">
      <c r="B289" s="7"/>
      <c r="C289" s="8"/>
      <c r="D289" s="8"/>
      <c r="E289" s="9"/>
      <c r="F289" s="6"/>
      <c r="G289" s="8"/>
      <c r="H289" s="32"/>
      <c r="I289" s="10" t="str">
        <f t="shared" si="72"/>
        <v>21</v>
      </c>
      <c r="J289" s="11">
        <v>1</v>
      </c>
      <c r="K289" s="11"/>
      <c r="L289" s="11"/>
      <c r="M289" s="11">
        <f t="shared" si="76"/>
        <v>0</v>
      </c>
      <c r="N289" s="11"/>
      <c r="O289" s="11">
        <f t="shared" si="77"/>
        <v>0</v>
      </c>
      <c r="P289" s="11"/>
      <c r="Q289" s="11"/>
      <c r="R289" s="11"/>
      <c r="S289" s="11">
        <f t="shared" si="78"/>
        <v>0</v>
      </c>
      <c r="T289" s="11">
        <f t="shared" si="79"/>
        <v>1666.6666666666667</v>
      </c>
      <c r="U289" s="11">
        <f t="shared" si="80"/>
        <v>0</v>
      </c>
      <c r="V289" s="24">
        <f t="shared" si="81"/>
        <v>0</v>
      </c>
      <c r="W289" s="11">
        <f>IF(V289&lt;=40000,0,
IF(V289&lt;=55000,(V289-40000)*10%,
IF(V289&lt;=70000,(V289-55000)*15%+1500,
IF(V289&lt;=200000,(V289-70000)*20%+1500+2250,
IF(V289&lt;=400000,(V289-200000)*22.5%+1500+2250+26000,
IF(V289&lt;=600000,(V289-400000)*25%+1500+2250+26000+45000,
IF(AND(V289&gt;600000,V289&lt;=1200000),(V289-400000)*25%+1500+2250+26000+45000
+IFERROR(LOOKUP(V289,{600001;700001;800001;900001},{4000;6750;10250;15250}),0),IF(V289&gt;1200000,((V289-1200000)*27.5%)+300000,0)
)))))))</f>
        <v>0</v>
      </c>
      <c r="X289" s="12">
        <f t="shared" si="82"/>
        <v>0</v>
      </c>
      <c r="Y289" s="12">
        <f t="shared" si="83"/>
        <v>0</v>
      </c>
      <c r="Z289" s="11"/>
      <c r="AA289" s="13">
        <f t="shared" si="84"/>
        <v>0</v>
      </c>
      <c r="AB289" s="12">
        <f t="shared" si="85"/>
        <v>0</v>
      </c>
      <c r="AC289" s="14">
        <f t="shared" si="73"/>
        <v>0</v>
      </c>
      <c r="AE289" s="19">
        <f t="shared" si="86"/>
        <v>0</v>
      </c>
      <c r="AF289" s="19"/>
      <c r="AG289" s="17"/>
      <c r="AK289" s="7"/>
      <c r="AL289" s="108">
        <f t="shared" si="74"/>
        <v>0</v>
      </c>
      <c r="AM289" s="108">
        <f t="shared" si="75"/>
        <v>0</v>
      </c>
      <c r="AN289" s="113"/>
    </row>
    <row r="290" spans="2:40" x14ac:dyDescent="0.2">
      <c r="B290" s="7"/>
      <c r="C290" s="8"/>
      <c r="D290" s="8"/>
      <c r="E290" s="9"/>
      <c r="F290" s="6"/>
      <c r="G290" s="8"/>
      <c r="H290" s="32"/>
      <c r="I290" s="10" t="str">
        <f t="shared" si="72"/>
        <v>21</v>
      </c>
      <c r="J290" s="11">
        <v>1</v>
      </c>
      <c r="K290" s="11"/>
      <c r="L290" s="11"/>
      <c r="M290" s="11">
        <f t="shared" si="76"/>
        <v>0</v>
      </c>
      <c r="N290" s="11"/>
      <c r="O290" s="11">
        <f t="shared" si="77"/>
        <v>0</v>
      </c>
      <c r="P290" s="11"/>
      <c r="Q290" s="11"/>
      <c r="R290" s="11"/>
      <c r="S290" s="11">
        <f t="shared" si="78"/>
        <v>0</v>
      </c>
      <c r="T290" s="11">
        <f t="shared" si="79"/>
        <v>1666.6666666666667</v>
      </c>
      <c r="U290" s="11">
        <f t="shared" si="80"/>
        <v>0</v>
      </c>
      <c r="V290" s="24">
        <f t="shared" si="81"/>
        <v>0</v>
      </c>
      <c r="W290" s="11">
        <f>IF(V290&lt;=40000,0,
IF(V290&lt;=55000,(V290-40000)*10%,
IF(V290&lt;=70000,(V290-55000)*15%+1500,
IF(V290&lt;=200000,(V290-70000)*20%+1500+2250,
IF(V290&lt;=400000,(V290-200000)*22.5%+1500+2250+26000,
IF(V290&lt;=600000,(V290-400000)*25%+1500+2250+26000+45000,
IF(AND(V290&gt;600000,V290&lt;=1200000),(V290-400000)*25%+1500+2250+26000+45000
+IFERROR(LOOKUP(V290,{600001;700001;800001;900001},{4000;6750;10250;15250}),0),IF(V290&gt;1200000,((V290-1200000)*27.5%)+300000,0)
)))))))</f>
        <v>0</v>
      </c>
      <c r="X290" s="12">
        <f t="shared" si="82"/>
        <v>0</v>
      </c>
      <c r="Y290" s="12">
        <f t="shared" si="83"/>
        <v>0</v>
      </c>
      <c r="Z290" s="11"/>
      <c r="AA290" s="13">
        <f t="shared" si="84"/>
        <v>0</v>
      </c>
      <c r="AB290" s="12">
        <f t="shared" si="85"/>
        <v>0</v>
      </c>
      <c r="AC290" s="14">
        <f t="shared" si="73"/>
        <v>0</v>
      </c>
      <c r="AE290" s="19">
        <f t="shared" si="86"/>
        <v>0</v>
      </c>
      <c r="AF290" s="19"/>
      <c r="AG290" s="17"/>
      <c r="AK290" s="7"/>
      <c r="AL290" s="108">
        <f t="shared" si="74"/>
        <v>0</v>
      </c>
      <c r="AM290" s="108">
        <f t="shared" si="75"/>
        <v>0</v>
      </c>
      <c r="AN290" s="113"/>
    </row>
    <row r="291" spans="2:40" x14ac:dyDescent="0.2">
      <c r="B291" s="7"/>
      <c r="C291" s="8"/>
      <c r="D291" s="8"/>
      <c r="E291" s="9"/>
      <c r="F291" s="6"/>
      <c r="G291" s="8"/>
      <c r="H291" s="32"/>
      <c r="I291" s="10" t="str">
        <f t="shared" si="72"/>
        <v>21</v>
      </c>
      <c r="J291" s="11">
        <v>1</v>
      </c>
      <c r="K291" s="11"/>
      <c r="L291" s="11"/>
      <c r="M291" s="11">
        <f t="shared" si="76"/>
        <v>0</v>
      </c>
      <c r="N291" s="11"/>
      <c r="O291" s="11">
        <f t="shared" si="77"/>
        <v>0</v>
      </c>
      <c r="P291" s="11"/>
      <c r="Q291" s="11"/>
      <c r="R291" s="11"/>
      <c r="S291" s="11">
        <f t="shared" si="78"/>
        <v>0</v>
      </c>
      <c r="T291" s="11">
        <f t="shared" si="79"/>
        <v>1666.6666666666667</v>
      </c>
      <c r="U291" s="11">
        <f t="shared" si="80"/>
        <v>0</v>
      </c>
      <c r="V291" s="24">
        <f t="shared" si="81"/>
        <v>0</v>
      </c>
      <c r="W291" s="11">
        <f>IF(V291&lt;=40000,0,
IF(V291&lt;=55000,(V291-40000)*10%,
IF(V291&lt;=70000,(V291-55000)*15%+1500,
IF(V291&lt;=200000,(V291-70000)*20%+1500+2250,
IF(V291&lt;=400000,(V291-200000)*22.5%+1500+2250+26000,
IF(V291&lt;=600000,(V291-400000)*25%+1500+2250+26000+45000,
IF(AND(V291&gt;600000,V291&lt;=1200000),(V291-400000)*25%+1500+2250+26000+45000
+IFERROR(LOOKUP(V291,{600001;700001;800001;900001},{4000;6750;10250;15250}),0),IF(V291&gt;1200000,((V291-1200000)*27.5%)+300000,0)
)))))))</f>
        <v>0</v>
      </c>
      <c r="X291" s="12">
        <f t="shared" si="82"/>
        <v>0</v>
      </c>
      <c r="Y291" s="12">
        <f t="shared" si="83"/>
        <v>0</v>
      </c>
      <c r="Z291" s="11"/>
      <c r="AA291" s="13">
        <f t="shared" si="84"/>
        <v>0</v>
      </c>
      <c r="AB291" s="12">
        <f t="shared" si="85"/>
        <v>0</v>
      </c>
      <c r="AC291" s="14">
        <f t="shared" si="73"/>
        <v>0</v>
      </c>
      <c r="AE291" s="19">
        <f t="shared" si="86"/>
        <v>0</v>
      </c>
      <c r="AF291" s="19"/>
      <c r="AG291" s="17"/>
      <c r="AK291" s="7"/>
      <c r="AL291" s="108">
        <f t="shared" si="74"/>
        <v>0</v>
      </c>
      <c r="AM291" s="108">
        <f t="shared" si="75"/>
        <v>0</v>
      </c>
      <c r="AN291" s="113"/>
    </row>
    <row r="292" spans="2:40" x14ac:dyDescent="0.2">
      <c r="B292" s="7"/>
      <c r="C292" s="8"/>
      <c r="D292" s="8"/>
      <c r="E292" s="9"/>
      <c r="F292" s="6"/>
      <c r="G292" s="8"/>
      <c r="H292" s="32"/>
      <c r="I292" s="10" t="str">
        <f t="shared" si="72"/>
        <v>21</v>
      </c>
      <c r="J292" s="11">
        <v>1</v>
      </c>
      <c r="K292" s="11"/>
      <c r="L292" s="11"/>
      <c r="M292" s="11">
        <f t="shared" si="76"/>
        <v>0</v>
      </c>
      <c r="N292" s="11"/>
      <c r="O292" s="11">
        <f t="shared" si="77"/>
        <v>0</v>
      </c>
      <c r="P292" s="11"/>
      <c r="Q292" s="11"/>
      <c r="R292" s="11"/>
      <c r="S292" s="11">
        <f t="shared" si="78"/>
        <v>0</v>
      </c>
      <c r="T292" s="11">
        <f t="shared" si="79"/>
        <v>1666.6666666666667</v>
      </c>
      <c r="U292" s="11">
        <f t="shared" si="80"/>
        <v>0</v>
      </c>
      <c r="V292" s="24">
        <f t="shared" si="81"/>
        <v>0</v>
      </c>
      <c r="W292" s="11">
        <f>IF(V292&lt;=40000,0,
IF(V292&lt;=55000,(V292-40000)*10%,
IF(V292&lt;=70000,(V292-55000)*15%+1500,
IF(V292&lt;=200000,(V292-70000)*20%+1500+2250,
IF(V292&lt;=400000,(V292-200000)*22.5%+1500+2250+26000,
IF(V292&lt;=600000,(V292-400000)*25%+1500+2250+26000+45000,
IF(AND(V292&gt;600000,V292&lt;=1200000),(V292-400000)*25%+1500+2250+26000+45000
+IFERROR(LOOKUP(V292,{600001;700001;800001;900001},{4000;6750;10250;15250}),0),IF(V292&gt;1200000,((V292-1200000)*27.5%)+300000,0)
)))))))</f>
        <v>0</v>
      </c>
      <c r="X292" s="12">
        <f t="shared" si="82"/>
        <v>0</v>
      </c>
      <c r="Y292" s="12">
        <f t="shared" si="83"/>
        <v>0</v>
      </c>
      <c r="Z292" s="11"/>
      <c r="AA292" s="13">
        <f t="shared" si="84"/>
        <v>0</v>
      </c>
      <c r="AB292" s="12">
        <f t="shared" si="85"/>
        <v>0</v>
      </c>
      <c r="AC292" s="14">
        <f t="shared" si="73"/>
        <v>0</v>
      </c>
      <c r="AE292" s="19">
        <f t="shared" si="86"/>
        <v>0</v>
      </c>
      <c r="AF292" s="19"/>
      <c r="AG292" s="17"/>
      <c r="AK292" s="7"/>
      <c r="AL292" s="108">
        <f t="shared" si="74"/>
        <v>0</v>
      </c>
      <c r="AM292" s="108">
        <f t="shared" si="75"/>
        <v>0</v>
      </c>
      <c r="AN292" s="113"/>
    </row>
    <row r="293" spans="2:40" x14ac:dyDescent="0.2">
      <c r="B293" s="7"/>
      <c r="C293" s="8"/>
      <c r="D293" s="8"/>
      <c r="E293" s="9"/>
      <c r="F293" s="6"/>
      <c r="G293" s="8"/>
      <c r="H293" s="32"/>
      <c r="I293" s="10" t="str">
        <f t="shared" si="72"/>
        <v>21</v>
      </c>
      <c r="J293" s="11">
        <v>1</v>
      </c>
      <c r="K293" s="11"/>
      <c r="L293" s="11"/>
      <c r="M293" s="11">
        <f t="shared" si="76"/>
        <v>0</v>
      </c>
      <c r="N293" s="11"/>
      <c r="O293" s="11">
        <f t="shared" si="77"/>
        <v>0</v>
      </c>
      <c r="P293" s="11"/>
      <c r="Q293" s="11"/>
      <c r="R293" s="11"/>
      <c r="S293" s="11">
        <f t="shared" si="78"/>
        <v>0</v>
      </c>
      <c r="T293" s="11">
        <f t="shared" si="79"/>
        <v>1666.6666666666667</v>
      </c>
      <c r="U293" s="11">
        <f t="shared" si="80"/>
        <v>0</v>
      </c>
      <c r="V293" s="24">
        <f t="shared" si="81"/>
        <v>0</v>
      </c>
      <c r="W293" s="11">
        <f>IF(V293&lt;=40000,0,
IF(V293&lt;=55000,(V293-40000)*10%,
IF(V293&lt;=70000,(V293-55000)*15%+1500,
IF(V293&lt;=200000,(V293-70000)*20%+1500+2250,
IF(V293&lt;=400000,(V293-200000)*22.5%+1500+2250+26000,
IF(V293&lt;=600000,(V293-400000)*25%+1500+2250+26000+45000,
IF(AND(V293&gt;600000,V293&lt;=1200000),(V293-400000)*25%+1500+2250+26000+45000
+IFERROR(LOOKUP(V293,{600001;700001;800001;900001},{4000;6750;10250;15250}),0),IF(V293&gt;1200000,((V293-1200000)*27.5%)+300000,0)
)))))))</f>
        <v>0</v>
      </c>
      <c r="X293" s="12">
        <f t="shared" si="82"/>
        <v>0</v>
      </c>
      <c r="Y293" s="12">
        <f t="shared" si="83"/>
        <v>0</v>
      </c>
      <c r="Z293" s="11"/>
      <c r="AA293" s="13">
        <f t="shared" si="84"/>
        <v>0</v>
      </c>
      <c r="AB293" s="12">
        <f t="shared" si="85"/>
        <v>0</v>
      </c>
      <c r="AC293" s="14">
        <f t="shared" si="73"/>
        <v>0</v>
      </c>
      <c r="AE293" s="19">
        <f t="shared" si="86"/>
        <v>0</v>
      </c>
      <c r="AF293" s="19"/>
      <c r="AG293" s="17"/>
      <c r="AK293" s="7"/>
      <c r="AL293" s="108">
        <f t="shared" si="74"/>
        <v>0</v>
      </c>
      <c r="AM293" s="108">
        <f t="shared" si="75"/>
        <v>0</v>
      </c>
      <c r="AN293" s="113"/>
    </row>
    <row r="294" spans="2:40" x14ac:dyDescent="0.2">
      <c r="B294" s="7"/>
      <c r="C294" s="8"/>
      <c r="D294" s="8"/>
      <c r="E294" s="9"/>
      <c r="F294" s="6"/>
      <c r="G294" s="8"/>
      <c r="H294" s="32"/>
      <c r="I294" s="10" t="str">
        <f t="shared" si="72"/>
        <v>21</v>
      </c>
      <c r="J294" s="11">
        <v>1</v>
      </c>
      <c r="K294" s="11"/>
      <c r="L294" s="11"/>
      <c r="M294" s="11">
        <f t="shared" si="76"/>
        <v>0</v>
      </c>
      <c r="N294" s="11"/>
      <c r="O294" s="11">
        <f t="shared" si="77"/>
        <v>0</v>
      </c>
      <c r="P294" s="11"/>
      <c r="Q294" s="11"/>
      <c r="R294" s="11"/>
      <c r="S294" s="11">
        <f t="shared" si="78"/>
        <v>0</v>
      </c>
      <c r="T294" s="11">
        <f t="shared" si="79"/>
        <v>1666.6666666666667</v>
      </c>
      <c r="U294" s="11">
        <f t="shared" si="80"/>
        <v>0</v>
      </c>
      <c r="V294" s="24">
        <f t="shared" si="81"/>
        <v>0</v>
      </c>
      <c r="W294" s="11">
        <f>IF(V294&lt;=40000,0,
IF(V294&lt;=55000,(V294-40000)*10%,
IF(V294&lt;=70000,(V294-55000)*15%+1500,
IF(V294&lt;=200000,(V294-70000)*20%+1500+2250,
IF(V294&lt;=400000,(V294-200000)*22.5%+1500+2250+26000,
IF(V294&lt;=600000,(V294-400000)*25%+1500+2250+26000+45000,
IF(AND(V294&gt;600000,V294&lt;=1200000),(V294-400000)*25%+1500+2250+26000+45000
+IFERROR(LOOKUP(V294,{600001;700001;800001;900001},{4000;6750;10250;15250}),0),IF(V294&gt;1200000,((V294-1200000)*27.5%)+300000,0)
)))))))</f>
        <v>0</v>
      </c>
      <c r="X294" s="12">
        <f t="shared" si="82"/>
        <v>0</v>
      </c>
      <c r="Y294" s="12">
        <f t="shared" si="83"/>
        <v>0</v>
      </c>
      <c r="Z294" s="11"/>
      <c r="AA294" s="13">
        <f t="shared" si="84"/>
        <v>0</v>
      </c>
      <c r="AB294" s="12">
        <f t="shared" si="85"/>
        <v>0</v>
      </c>
      <c r="AC294" s="14">
        <f t="shared" si="73"/>
        <v>0</v>
      </c>
      <c r="AE294" s="19">
        <f t="shared" si="86"/>
        <v>0</v>
      </c>
      <c r="AF294" s="19"/>
      <c r="AG294" s="17"/>
      <c r="AK294" s="7"/>
      <c r="AL294" s="108">
        <f t="shared" si="74"/>
        <v>0</v>
      </c>
      <c r="AM294" s="108">
        <f t="shared" si="75"/>
        <v>0</v>
      </c>
      <c r="AN294" s="113"/>
    </row>
    <row r="295" spans="2:40" x14ac:dyDescent="0.2">
      <c r="B295" s="7"/>
      <c r="C295" s="8"/>
      <c r="D295" s="8"/>
      <c r="E295" s="9"/>
      <c r="F295" s="6"/>
      <c r="G295" s="8"/>
      <c r="H295" s="32"/>
      <c r="I295" s="10" t="str">
        <f t="shared" si="72"/>
        <v>21</v>
      </c>
      <c r="J295" s="11">
        <v>1</v>
      </c>
      <c r="K295" s="11"/>
      <c r="L295" s="11"/>
      <c r="M295" s="11">
        <f t="shared" si="76"/>
        <v>0</v>
      </c>
      <c r="N295" s="11"/>
      <c r="O295" s="11">
        <f t="shared" si="77"/>
        <v>0</v>
      </c>
      <c r="P295" s="11"/>
      <c r="Q295" s="11"/>
      <c r="R295" s="11"/>
      <c r="S295" s="11">
        <f t="shared" si="78"/>
        <v>0</v>
      </c>
      <c r="T295" s="11">
        <f t="shared" si="79"/>
        <v>1666.6666666666667</v>
      </c>
      <c r="U295" s="11">
        <f t="shared" si="80"/>
        <v>0</v>
      </c>
      <c r="V295" s="24">
        <f t="shared" si="81"/>
        <v>0</v>
      </c>
      <c r="W295" s="11">
        <f>IF(V295&lt;=40000,0,
IF(V295&lt;=55000,(V295-40000)*10%,
IF(V295&lt;=70000,(V295-55000)*15%+1500,
IF(V295&lt;=200000,(V295-70000)*20%+1500+2250,
IF(V295&lt;=400000,(V295-200000)*22.5%+1500+2250+26000,
IF(V295&lt;=600000,(V295-400000)*25%+1500+2250+26000+45000,
IF(AND(V295&gt;600000,V295&lt;=1200000),(V295-400000)*25%+1500+2250+26000+45000
+IFERROR(LOOKUP(V295,{600001;700001;800001;900001},{4000;6750;10250;15250}),0),IF(V295&gt;1200000,((V295-1200000)*27.5%)+300000,0)
)))))))</f>
        <v>0</v>
      </c>
      <c r="X295" s="12">
        <f t="shared" si="82"/>
        <v>0</v>
      </c>
      <c r="Y295" s="12">
        <f t="shared" si="83"/>
        <v>0</v>
      </c>
      <c r="Z295" s="11"/>
      <c r="AA295" s="13">
        <f t="shared" si="84"/>
        <v>0</v>
      </c>
      <c r="AB295" s="12">
        <f t="shared" si="85"/>
        <v>0</v>
      </c>
      <c r="AC295" s="14">
        <f t="shared" si="73"/>
        <v>0</v>
      </c>
      <c r="AE295" s="19">
        <f t="shared" si="86"/>
        <v>0</v>
      </c>
      <c r="AF295" s="19"/>
      <c r="AG295" s="17"/>
      <c r="AK295" s="7"/>
      <c r="AL295" s="108">
        <f t="shared" si="74"/>
        <v>0</v>
      </c>
      <c r="AM295" s="108">
        <f t="shared" si="75"/>
        <v>0</v>
      </c>
      <c r="AN295" s="113"/>
    </row>
    <row r="296" spans="2:40" x14ac:dyDescent="0.2">
      <c r="B296" s="7"/>
      <c r="C296" s="8"/>
      <c r="D296" s="8"/>
      <c r="E296" s="9"/>
      <c r="F296" s="6"/>
      <c r="G296" s="8"/>
      <c r="H296" s="32"/>
      <c r="I296" s="10" t="str">
        <f t="shared" si="72"/>
        <v>21</v>
      </c>
      <c r="J296" s="11">
        <v>1</v>
      </c>
      <c r="K296" s="11"/>
      <c r="L296" s="11"/>
      <c r="M296" s="11">
        <f t="shared" si="76"/>
        <v>0</v>
      </c>
      <c r="N296" s="11"/>
      <c r="O296" s="11">
        <f t="shared" si="77"/>
        <v>0</v>
      </c>
      <c r="P296" s="11"/>
      <c r="Q296" s="11"/>
      <c r="R296" s="11"/>
      <c r="S296" s="11">
        <f t="shared" si="78"/>
        <v>0</v>
      </c>
      <c r="T296" s="11">
        <f t="shared" si="79"/>
        <v>1666.6666666666667</v>
      </c>
      <c r="U296" s="11">
        <f t="shared" si="80"/>
        <v>0</v>
      </c>
      <c r="V296" s="24">
        <f t="shared" si="81"/>
        <v>0</v>
      </c>
      <c r="W296" s="11">
        <f>IF(V296&lt;=40000,0,
IF(V296&lt;=55000,(V296-40000)*10%,
IF(V296&lt;=70000,(V296-55000)*15%+1500,
IF(V296&lt;=200000,(V296-70000)*20%+1500+2250,
IF(V296&lt;=400000,(V296-200000)*22.5%+1500+2250+26000,
IF(V296&lt;=600000,(V296-400000)*25%+1500+2250+26000+45000,
IF(AND(V296&gt;600000,V296&lt;=1200000),(V296-400000)*25%+1500+2250+26000+45000
+IFERROR(LOOKUP(V296,{600001;700001;800001;900001},{4000;6750;10250;15250}),0),IF(V296&gt;1200000,((V296-1200000)*27.5%)+300000,0)
)))))))</f>
        <v>0</v>
      </c>
      <c r="X296" s="12">
        <f t="shared" si="82"/>
        <v>0</v>
      </c>
      <c r="Y296" s="12">
        <f t="shared" si="83"/>
        <v>0</v>
      </c>
      <c r="Z296" s="11"/>
      <c r="AA296" s="13">
        <f t="shared" si="84"/>
        <v>0</v>
      </c>
      <c r="AB296" s="12">
        <f t="shared" si="85"/>
        <v>0</v>
      </c>
      <c r="AC296" s="14">
        <f t="shared" si="73"/>
        <v>0</v>
      </c>
      <c r="AE296" s="19">
        <f t="shared" si="86"/>
        <v>0</v>
      </c>
      <c r="AF296" s="19"/>
      <c r="AG296" s="17"/>
      <c r="AK296" s="7"/>
      <c r="AL296" s="108">
        <f t="shared" si="74"/>
        <v>0</v>
      </c>
      <c r="AM296" s="108">
        <f t="shared" si="75"/>
        <v>0</v>
      </c>
      <c r="AN296" s="113"/>
    </row>
    <row r="297" spans="2:40" x14ac:dyDescent="0.2">
      <c r="B297" s="7"/>
      <c r="C297" s="8"/>
      <c r="D297" s="8"/>
      <c r="E297" s="9"/>
      <c r="F297" s="6"/>
      <c r="G297" s="8"/>
      <c r="H297" s="32"/>
      <c r="I297" s="10" t="str">
        <f t="shared" si="72"/>
        <v>21</v>
      </c>
      <c r="J297" s="11">
        <v>1</v>
      </c>
      <c r="K297" s="11"/>
      <c r="L297" s="11"/>
      <c r="M297" s="11">
        <f t="shared" si="76"/>
        <v>0</v>
      </c>
      <c r="N297" s="11"/>
      <c r="O297" s="11">
        <f t="shared" si="77"/>
        <v>0</v>
      </c>
      <c r="P297" s="11"/>
      <c r="Q297" s="11"/>
      <c r="R297" s="11"/>
      <c r="S297" s="11">
        <f t="shared" si="78"/>
        <v>0</v>
      </c>
      <c r="T297" s="11">
        <f t="shared" si="79"/>
        <v>1666.6666666666667</v>
      </c>
      <c r="U297" s="11">
        <f t="shared" si="80"/>
        <v>0</v>
      </c>
      <c r="V297" s="24">
        <f t="shared" si="81"/>
        <v>0</v>
      </c>
      <c r="W297" s="11">
        <f>IF(V297&lt;=40000,0,
IF(V297&lt;=55000,(V297-40000)*10%,
IF(V297&lt;=70000,(V297-55000)*15%+1500,
IF(V297&lt;=200000,(V297-70000)*20%+1500+2250,
IF(V297&lt;=400000,(V297-200000)*22.5%+1500+2250+26000,
IF(V297&lt;=600000,(V297-400000)*25%+1500+2250+26000+45000,
IF(AND(V297&gt;600000,V297&lt;=1200000),(V297-400000)*25%+1500+2250+26000+45000
+IFERROR(LOOKUP(V297,{600001;700001;800001;900001},{4000;6750;10250;15250}),0),IF(V297&gt;1200000,((V297-1200000)*27.5%)+300000,0)
)))))))</f>
        <v>0</v>
      </c>
      <c r="X297" s="12">
        <f t="shared" si="82"/>
        <v>0</v>
      </c>
      <c r="Y297" s="12">
        <f t="shared" si="83"/>
        <v>0</v>
      </c>
      <c r="Z297" s="11"/>
      <c r="AA297" s="13">
        <f t="shared" si="84"/>
        <v>0</v>
      </c>
      <c r="AB297" s="12">
        <f t="shared" si="85"/>
        <v>0</v>
      </c>
      <c r="AC297" s="14">
        <f t="shared" si="73"/>
        <v>0</v>
      </c>
      <c r="AE297" s="19">
        <f t="shared" si="86"/>
        <v>0</v>
      </c>
      <c r="AF297" s="19"/>
      <c r="AG297" s="17"/>
      <c r="AK297" s="7"/>
      <c r="AL297" s="108">
        <f t="shared" si="74"/>
        <v>0</v>
      </c>
      <c r="AM297" s="108">
        <f t="shared" si="75"/>
        <v>0</v>
      </c>
      <c r="AN297" s="113"/>
    </row>
    <row r="298" spans="2:40" x14ac:dyDescent="0.2">
      <c r="B298" s="7"/>
      <c r="C298" s="8"/>
      <c r="D298" s="8"/>
      <c r="E298" s="9"/>
      <c r="F298" s="6"/>
      <c r="G298" s="8"/>
      <c r="H298" s="32"/>
      <c r="I298" s="10" t="str">
        <f t="shared" si="72"/>
        <v>21</v>
      </c>
      <c r="J298" s="11">
        <v>1</v>
      </c>
      <c r="K298" s="11"/>
      <c r="L298" s="11"/>
      <c r="M298" s="11">
        <f t="shared" si="76"/>
        <v>0</v>
      </c>
      <c r="N298" s="11"/>
      <c r="O298" s="11">
        <f t="shared" si="77"/>
        <v>0</v>
      </c>
      <c r="P298" s="11"/>
      <c r="Q298" s="11"/>
      <c r="R298" s="11"/>
      <c r="S298" s="11">
        <f t="shared" si="78"/>
        <v>0</v>
      </c>
      <c r="T298" s="11">
        <f t="shared" si="79"/>
        <v>1666.6666666666667</v>
      </c>
      <c r="U298" s="11">
        <f t="shared" si="80"/>
        <v>0</v>
      </c>
      <c r="V298" s="24">
        <f t="shared" si="81"/>
        <v>0</v>
      </c>
      <c r="W298" s="11">
        <f>IF(V298&lt;=40000,0,
IF(V298&lt;=55000,(V298-40000)*10%,
IF(V298&lt;=70000,(V298-55000)*15%+1500,
IF(V298&lt;=200000,(V298-70000)*20%+1500+2250,
IF(V298&lt;=400000,(V298-200000)*22.5%+1500+2250+26000,
IF(V298&lt;=600000,(V298-400000)*25%+1500+2250+26000+45000,
IF(AND(V298&gt;600000,V298&lt;=1200000),(V298-400000)*25%+1500+2250+26000+45000
+IFERROR(LOOKUP(V298,{600001;700001;800001;900001},{4000;6750;10250;15250}),0),IF(V298&gt;1200000,((V298-1200000)*27.5%)+300000,0)
)))))))</f>
        <v>0</v>
      </c>
      <c r="X298" s="12">
        <f t="shared" si="82"/>
        <v>0</v>
      </c>
      <c r="Y298" s="12">
        <f t="shared" si="83"/>
        <v>0</v>
      </c>
      <c r="Z298" s="11"/>
      <c r="AA298" s="13">
        <f t="shared" si="84"/>
        <v>0</v>
      </c>
      <c r="AB298" s="12">
        <f t="shared" si="85"/>
        <v>0</v>
      </c>
      <c r="AC298" s="14">
        <f t="shared" si="73"/>
        <v>0</v>
      </c>
      <c r="AE298" s="19">
        <f t="shared" si="86"/>
        <v>0</v>
      </c>
      <c r="AF298" s="19"/>
      <c r="AG298" s="17"/>
      <c r="AK298" s="7"/>
      <c r="AL298" s="108">
        <f t="shared" si="74"/>
        <v>0</v>
      </c>
      <c r="AM298" s="108">
        <f t="shared" si="75"/>
        <v>0</v>
      </c>
      <c r="AN298" s="113"/>
    </row>
    <row r="299" spans="2:40" x14ac:dyDescent="0.2">
      <c r="B299" s="7"/>
      <c r="C299" s="8"/>
      <c r="D299" s="8"/>
      <c r="E299" s="9"/>
      <c r="F299" s="6"/>
      <c r="G299" s="8"/>
      <c r="H299" s="32"/>
      <c r="I299" s="10" t="str">
        <f t="shared" si="72"/>
        <v>21</v>
      </c>
      <c r="J299" s="11">
        <v>1</v>
      </c>
      <c r="K299" s="11"/>
      <c r="L299" s="11"/>
      <c r="M299" s="11">
        <f t="shared" si="76"/>
        <v>0</v>
      </c>
      <c r="N299" s="11"/>
      <c r="O299" s="11">
        <f t="shared" si="77"/>
        <v>0</v>
      </c>
      <c r="P299" s="11"/>
      <c r="Q299" s="11"/>
      <c r="R299" s="11"/>
      <c r="S299" s="11">
        <f t="shared" si="78"/>
        <v>0</v>
      </c>
      <c r="T299" s="11">
        <f t="shared" si="79"/>
        <v>1666.6666666666667</v>
      </c>
      <c r="U299" s="11">
        <f t="shared" si="80"/>
        <v>0</v>
      </c>
      <c r="V299" s="24">
        <f t="shared" si="81"/>
        <v>0</v>
      </c>
      <c r="W299" s="11">
        <f>IF(V299&lt;=40000,0,
IF(V299&lt;=55000,(V299-40000)*10%,
IF(V299&lt;=70000,(V299-55000)*15%+1500,
IF(V299&lt;=200000,(V299-70000)*20%+1500+2250,
IF(V299&lt;=400000,(V299-200000)*22.5%+1500+2250+26000,
IF(V299&lt;=600000,(V299-400000)*25%+1500+2250+26000+45000,
IF(AND(V299&gt;600000,V299&lt;=1200000),(V299-400000)*25%+1500+2250+26000+45000
+IFERROR(LOOKUP(V299,{600001;700001;800001;900001},{4000;6750;10250;15250}),0),IF(V299&gt;1200000,((V299-1200000)*27.5%)+300000,0)
)))))))</f>
        <v>0</v>
      </c>
      <c r="X299" s="12">
        <f t="shared" si="82"/>
        <v>0</v>
      </c>
      <c r="Y299" s="12">
        <f t="shared" si="83"/>
        <v>0</v>
      </c>
      <c r="Z299" s="11"/>
      <c r="AA299" s="13">
        <f t="shared" si="84"/>
        <v>0</v>
      </c>
      <c r="AB299" s="12">
        <f t="shared" si="85"/>
        <v>0</v>
      </c>
      <c r="AC299" s="14">
        <f t="shared" si="73"/>
        <v>0</v>
      </c>
      <c r="AE299" s="19">
        <f t="shared" si="86"/>
        <v>0</v>
      </c>
      <c r="AF299" s="19"/>
      <c r="AG299" s="17"/>
      <c r="AK299" s="7"/>
      <c r="AL299" s="108">
        <f t="shared" si="74"/>
        <v>0</v>
      </c>
      <c r="AM299" s="108">
        <f t="shared" si="75"/>
        <v>0</v>
      </c>
      <c r="AN299" s="113"/>
    </row>
    <row r="300" spans="2:40" x14ac:dyDescent="0.2">
      <c r="B300" s="7"/>
      <c r="C300" s="8"/>
      <c r="D300" s="8"/>
      <c r="E300" s="9"/>
      <c r="F300" s="6"/>
      <c r="G300" s="8"/>
      <c r="H300" s="32"/>
      <c r="I300" s="10" t="str">
        <f t="shared" si="72"/>
        <v>21</v>
      </c>
      <c r="J300" s="11">
        <v>1</v>
      </c>
      <c r="K300" s="11"/>
      <c r="L300" s="11"/>
      <c r="M300" s="11">
        <f t="shared" si="76"/>
        <v>0</v>
      </c>
      <c r="N300" s="11"/>
      <c r="O300" s="11">
        <f t="shared" si="77"/>
        <v>0</v>
      </c>
      <c r="P300" s="11"/>
      <c r="Q300" s="11"/>
      <c r="R300" s="11"/>
      <c r="S300" s="11">
        <f t="shared" si="78"/>
        <v>0</v>
      </c>
      <c r="T300" s="11">
        <f t="shared" si="79"/>
        <v>1666.6666666666667</v>
      </c>
      <c r="U300" s="11">
        <f t="shared" si="80"/>
        <v>0</v>
      </c>
      <c r="V300" s="24">
        <f t="shared" si="81"/>
        <v>0</v>
      </c>
      <c r="W300" s="11">
        <f>IF(V300&lt;=40000,0,
IF(V300&lt;=55000,(V300-40000)*10%,
IF(V300&lt;=70000,(V300-55000)*15%+1500,
IF(V300&lt;=200000,(V300-70000)*20%+1500+2250,
IF(V300&lt;=400000,(V300-200000)*22.5%+1500+2250+26000,
IF(V300&lt;=600000,(V300-400000)*25%+1500+2250+26000+45000,
IF(AND(V300&gt;600000,V300&lt;=1200000),(V300-400000)*25%+1500+2250+26000+45000
+IFERROR(LOOKUP(V300,{600001;700001;800001;900001},{4000;6750;10250;15250}),0),IF(V300&gt;1200000,((V300-1200000)*27.5%)+300000,0)
)))))))</f>
        <v>0</v>
      </c>
      <c r="X300" s="12">
        <f t="shared" si="82"/>
        <v>0</v>
      </c>
      <c r="Y300" s="12">
        <f t="shared" si="83"/>
        <v>0</v>
      </c>
      <c r="Z300" s="11"/>
      <c r="AA300" s="13">
        <f t="shared" si="84"/>
        <v>0</v>
      </c>
      <c r="AB300" s="12">
        <f t="shared" si="85"/>
        <v>0</v>
      </c>
      <c r="AC300" s="14">
        <f t="shared" si="73"/>
        <v>0</v>
      </c>
      <c r="AE300" s="19">
        <f t="shared" si="86"/>
        <v>0</v>
      </c>
      <c r="AF300" s="19"/>
      <c r="AG300" s="17"/>
      <c r="AK300" s="7"/>
      <c r="AL300" s="108">
        <f t="shared" si="74"/>
        <v>0</v>
      </c>
      <c r="AM300" s="108">
        <f t="shared" si="75"/>
        <v>0</v>
      </c>
      <c r="AN300" s="113"/>
    </row>
    <row r="301" spans="2:40" x14ac:dyDescent="0.2">
      <c r="B301" s="7"/>
      <c r="C301" s="8"/>
      <c r="D301" s="8"/>
      <c r="E301" s="9"/>
      <c r="F301" s="6"/>
      <c r="G301" s="8"/>
      <c r="H301" s="32"/>
      <c r="I301" s="10" t="str">
        <f t="shared" si="72"/>
        <v>21</v>
      </c>
      <c r="J301" s="11">
        <v>1</v>
      </c>
      <c r="K301" s="11"/>
      <c r="L301" s="11"/>
      <c r="M301" s="11">
        <f t="shared" si="76"/>
        <v>0</v>
      </c>
      <c r="N301" s="11"/>
      <c r="O301" s="11">
        <f t="shared" si="77"/>
        <v>0</v>
      </c>
      <c r="P301" s="11"/>
      <c r="Q301" s="11"/>
      <c r="R301" s="11"/>
      <c r="S301" s="11">
        <f t="shared" si="78"/>
        <v>0</v>
      </c>
      <c r="T301" s="11">
        <f t="shared" si="79"/>
        <v>1666.6666666666667</v>
      </c>
      <c r="U301" s="11">
        <f t="shared" si="80"/>
        <v>0</v>
      </c>
      <c r="V301" s="24">
        <f t="shared" si="81"/>
        <v>0</v>
      </c>
      <c r="W301" s="11">
        <f>IF(V301&lt;=40000,0,
IF(V301&lt;=55000,(V301-40000)*10%,
IF(V301&lt;=70000,(V301-55000)*15%+1500,
IF(V301&lt;=200000,(V301-70000)*20%+1500+2250,
IF(V301&lt;=400000,(V301-200000)*22.5%+1500+2250+26000,
IF(V301&lt;=600000,(V301-400000)*25%+1500+2250+26000+45000,
IF(AND(V301&gt;600000,V301&lt;=1200000),(V301-400000)*25%+1500+2250+26000+45000
+IFERROR(LOOKUP(V301,{600001;700001;800001;900001},{4000;6750;10250;15250}),0),IF(V301&gt;1200000,((V301-1200000)*27.5%)+300000,0)
)))))))</f>
        <v>0</v>
      </c>
      <c r="X301" s="12">
        <f t="shared" si="82"/>
        <v>0</v>
      </c>
      <c r="Y301" s="12">
        <f t="shared" si="83"/>
        <v>0</v>
      </c>
      <c r="Z301" s="11"/>
      <c r="AA301" s="13">
        <f t="shared" si="84"/>
        <v>0</v>
      </c>
      <c r="AB301" s="12">
        <f t="shared" si="85"/>
        <v>0</v>
      </c>
      <c r="AC301" s="14">
        <f t="shared" si="73"/>
        <v>0</v>
      </c>
      <c r="AE301" s="19">
        <f t="shared" si="86"/>
        <v>0</v>
      </c>
      <c r="AF301" s="19"/>
      <c r="AG301" s="17"/>
      <c r="AK301" s="7"/>
      <c r="AL301" s="108">
        <f t="shared" si="74"/>
        <v>0</v>
      </c>
      <c r="AM301" s="108">
        <f t="shared" si="75"/>
        <v>0</v>
      </c>
      <c r="AN301" s="113"/>
    </row>
    <row r="302" spans="2:40" x14ac:dyDescent="0.2">
      <c r="B302" s="7"/>
      <c r="C302" s="8"/>
      <c r="D302" s="8"/>
      <c r="E302" s="9"/>
      <c r="F302" s="6"/>
      <c r="G302" s="8"/>
      <c r="H302" s="32"/>
      <c r="I302" s="10" t="str">
        <f t="shared" si="72"/>
        <v>21</v>
      </c>
      <c r="J302" s="11">
        <v>1</v>
      </c>
      <c r="K302" s="11"/>
      <c r="L302" s="11"/>
      <c r="M302" s="11">
        <f t="shared" si="76"/>
        <v>0</v>
      </c>
      <c r="N302" s="11"/>
      <c r="O302" s="11">
        <f t="shared" si="77"/>
        <v>0</v>
      </c>
      <c r="P302" s="11"/>
      <c r="Q302" s="11"/>
      <c r="R302" s="11"/>
      <c r="S302" s="11">
        <f t="shared" si="78"/>
        <v>0</v>
      </c>
      <c r="T302" s="11">
        <f t="shared" si="79"/>
        <v>1666.6666666666667</v>
      </c>
      <c r="U302" s="11">
        <f t="shared" si="80"/>
        <v>0</v>
      </c>
      <c r="V302" s="24">
        <f t="shared" si="81"/>
        <v>0</v>
      </c>
      <c r="W302" s="11">
        <f>IF(V302&lt;=40000,0,
IF(V302&lt;=55000,(V302-40000)*10%,
IF(V302&lt;=70000,(V302-55000)*15%+1500,
IF(V302&lt;=200000,(V302-70000)*20%+1500+2250,
IF(V302&lt;=400000,(V302-200000)*22.5%+1500+2250+26000,
IF(V302&lt;=600000,(V302-400000)*25%+1500+2250+26000+45000,
IF(AND(V302&gt;600000,V302&lt;=1200000),(V302-400000)*25%+1500+2250+26000+45000
+IFERROR(LOOKUP(V302,{600001;700001;800001;900001},{4000;6750;10250;15250}),0),IF(V302&gt;1200000,((V302-1200000)*27.5%)+300000,0)
)))))))</f>
        <v>0</v>
      </c>
      <c r="X302" s="12">
        <f t="shared" si="82"/>
        <v>0</v>
      </c>
      <c r="Y302" s="12">
        <f t="shared" si="83"/>
        <v>0</v>
      </c>
      <c r="Z302" s="11"/>
      <c r="AA302" s="13">
        <f t="shared" si="84"/>
        <v>0</v>
      </c>
      <c r="AB302" s="12">
        <f t="shared" si="85"/>
        <v>0</v>
      </c>
      <c r="AC302" s="14">
        <f t="shared" si="73"/>
        <v>0</v>
      </c>
      <c r="AE302" s="19">
        <f t="shared" si="86"/>
        <v>0</v>
      </c>
      <c r="AF302" s="19"/>
      <c r="AG302" s="17"/>
      <c r="AK302" s="7"/>
      <c r="AL302" s="108">
        <f t="shared" si="74"/>
        <v>0</v>
      </c>
      <c r="AM302" s="108">
        <f t="shared" si="75"/>
        <v>0</v>
      </c>
      <c r="AN302" s="113"/>
    </row>
    <row r="303" spans="2:40" x14ac:dyDescent="0.2">
      <c r="B303" s="7"/>
      <c r="C303" s="8"/>
      <c r="D303" s="8"/>
      <c r="E303" s="9"/>
      <c r="F303" s="6"/>
      <c r="G303" s="8"/>
      <c r="H303" s="32"/>
      <c r="I303" s="10" t="str">
        <f t="shared" si="72"/>
        <v>21</v>
      </c>
      <c r="J303" s="11">
        <v>1</v>
      </c>
      <c r="K303" s="11"/>
      <c r="L303" s="11"/>
      <c r="M303" s="11">
        <f t="shared" si="76"/>
        <v>0</v>
      </c>
      <c r="N303" s="11"/>
      <c r="O303" s="11">
        <f t="shared" si="77"/>
        <v>0</v>
      </c>
      <c r="P303" s="11"/>
      <c r="Q303" s="11"/>
      <c r="R303" s="11"/>
      <c r="S303" s="11">
        <f t="shared" si="78"/>
        <v>0</v>
      </c>
      <c r="T303" s="11">
        <f t="shared" si="79"/>
        <v>1666.6666666666667</v>
      </c>
      <c r="U303" s="11">
        <f t="shared" si="80"/>
        <v>0</v>
      </c>
      <c r="V303" s="24">
        <f t="shared" si="81"/>
        <v>0</v>
      </c>
      <c r="W303" s="11">
        <f>IF(V303&lt;=40000,0,
IF(V303&lt;=55000,(V303-40000)*10%,
IF(V303&lt;=70000,(V303-55000)*15%+1500,
IF(V303&lt;=200000,(V303-70000)*20%+1500+2250,
IF(V303&lt;=400000,(V303-200000)*22.5%+1500+2250+26000,
IF(V303&lt;=600000,(V303-400000)*25%+1500+2250+26000+45000,
IF(AND(V303&gt;600000,V303&lt;=1200000),(V303-400000)*25%+1500+2250+26000+45000
+IFERROR(LOOKUP(V303,{600001;700001;800001;900001},{4000;6750;10250;15250}),0),IF(V303&gt;1200000,((V303-1200000)*27.5%)+300000,0)
)))))))</f>
        <v>0</v>
      </c>
      <c r="X303" s="12">
        <f t="shared" si="82"/>
        <v>0</v>
      </c>
      <c r="Y303" s="12">
        <f t="shared" si="83"/>
        <v>0</v>
      </c>
      <c r="Z303" s="11"/>
      <c r="AA303" s="13">
        <f t="shared" si="84"/>
        <v>0</v>
      </c>
      <c r="AB303" s="12">
        <f t="shared" si="85"/>
        <v>0</v>
      </c>
      <c r="AC303" s="14">
        <f t="shared" si="73"/>
        <v>0</v>
      </c>
      <c r="AE303" s="19">
        <f t="shared" si="86"/>
        <v>0</v>
      </c>
      <c r="AF303" s="19"/>
      <c r="AG303" s="17"/>
      <c r="AK303" s="7"/>
      <c r="AL303" s="108">
        <f t="shared" si="74"/>
        <v>0</v>
      </c>
      <c r="AM303" s="108">
        <f t="shared" si="75"/>
        <v>0</v>
      </c>
      <c r="AN303" s="113"/>
    </row>
    <row r="304" spans="2:40" x14ac:dyDescent="0.2">
      <c r="B304" s="7"/>
      <c r="C304" s="8"/>
      <c r="D304" s="8"/>
      <c r="E304" s="9"/>
      <c r="F304" s="6"/>
      <c r="G304" s="8"/>
      <c r="H304" s="32"/>
      <c r="I304" s="10" t="str">
        <f t="shared" si="72"/>
        <v>21</v>
      </c>
      <c r="J304" s="11">
        <v>1</v>
      </c>
      <c r="K304" s="11"/>
      <c r="L304" s="11"/>
      <c r="M304" s="11">
        <f t="shared" si="76"/>
        <v>0</v>
      </c>
      <c r="N304" s="11"/>
      <c r="O304" s="11">
        <f t="shared" si="77"/>
        <v>0</v>
      </c>
      <c r="P304" s="11"/>
      <c r="Q304" s="11"/>
      <c r="R304" s="11"/>
      <c r="S304" s="11">
        <f t="shared" si="78"/>
        <v>0</v>
      </c>
      <c r="T304" s="11">
        <f t="shared" si="79"/>
        <v>1666.6666666666667</v>
      </c>
      <c r="U304" s="11">
        <f t="shared" si="80"/>
        <v>0</v>
      </c>
      <c r="V304" s="24">
        <f t="shared" si="81"/>
        <v>0</v>
      </c>
      <c r="W304" s="11">
        <f>IF(V304&lt;=40000,0,
IF(V304&lt;=55000,(V304-40000)*10%,
IF(V304&lt;=70000,(V304-55000)*15%+1500,
IF(V304&lt;=200000,(V304-70000)*20%+1500+2250,
IF(V304&lt;=400000,(V304-200000)*22.5%+1500+2250+26000,
IF(V304&lt;=600000,(V304-400000)*25%+1500+2250+26000+45000,
IF(AND(V304&gt;600000,V304&lt;=1200000),(V304-400000)*25%+1500+2250+26000+45000
+IFERROR(LOOKUP(V304,{600001;700001;800001;900001},{4000;6750;10250;15250}),0),IF(V304&gt;1200000,((V304-1200000)*27.5%)+300000,0)
)))))))</f>
        <v>0</v>
      </c>
      <c r="X304" s="12">
        <f t="shared" si="82"/>
        <v>0</v>
      </c>
      <c r="Y304" s="12">
        <f t="shared" si="83"/>
        <v>0</v>
      </c>
      <c r="Z304" s="11"/>
      <c r="AA304" s="13">
        <f t="shared" si="84"/>
        <v>0</v>
      </c>
      <c r="AB304" s="12">
        <f t="shared" si="85"/>
        <v>0</v>
      </c>
      <c r="AC304" s="14">
        <f t="shared" si="73"/>
        <v>0</v>
      </c>
      <c r="AE304" s="19">
        <f t="shared" si="86"/>
        <v>0</v>
      </c>
      <c r="AF304" s="19"/>
      <c r="AG304" s="17"/>
      <c r="AK304" s="7"/>
      <c r="AL304" s="108">
        <f t="shared" si="74"/>
        <v>0</v>
      </c>
      <c r="AM304" s="108">
        <f t="shared" si="75"/>
        <v>0</v>
      </c>
      <c r="AN304" s="113"/>
    </row>
    <row r="305" spans="2:40" x14ac:dyDescent="0.2">
      <c r="B305" s="7"/>
      <c r="C305" s="8"/>
      <c r="D305" s="8"/>
      <c r="E305" s="9"/>
      <c r="F305" s="6"/>
      <c r="G305" s="8"/>
      <c r="H305" s="32"/>
      <c r="I305" s="10" t="str">
        <f t="shared" si="72"/>
        <v>21</v>
      </c>
      <c r="J305" s="11">
        <v>1</v>
      </c>
      <c r="K305" s="11"/>
      <c r="L305" s="11"/>
      <c r="M305" s="11">
        <f t="shared" si="76"/>
        <v>0</v>
      </c>
      <c r="N305" s="11"/>
      <c r="O305" s="11">
        <f t="shared" si="77"/>
        <v>0</v>
      </c>
      <c r="P305" s="11"/>
      <c r="Q305" s="11"/>
      <c r="R305" s="11"/>
      <c r="S305" s="11">
        <f t="shared" si="78"/>
        <v>0</v>
      </c>
      <c r="T305" s="11">
        <f t="shared" si="79"/>
        <v>1666.6666666666667</v>
      </c>
      <c r="U305" s="11">
        <f t="shared" si="80"/>
        <v>0</v>
      </c>
      <c r="V305" s="24">
        <f t="shared" si="81"/>
        <v>0</v>
      </c>
      <c r="W305" s="11">
        <f>IF(V305&lt;=40000,0,
IF(V305&lt;=55000,(V305-40000)*10%,
IF(V305&lt;=70000,(V305-55000)*15%+1500,
IF(V305&lt;=200000,(V305-70000)*20%+1500+2250,
IF(V305&lt;=400000,(V305-200000)*22.5%+1500+2250+26000,
IF(V305&lt;=600000,(V305-400000)*25%+1500+2250+26000+45000,
IF(AND(V305&gt;600000,V305&lt;=1200000),(V305-400000)*25%+1500+2250+26000+45000
+IFERROR(LOOKUP(V305,{600001;700001;800001;900001},{4000;6750;10250;15250}),0),IF(V305&gt;1200000,((V305-1200000)*27.5%)+300000,0)
)))))))</f>
        <v>0</v>
      </c>
      <c r="X305" s="12">
        <f t="shared" si="82"/>
        <v>0</v>
      </c>
      <c r="Y305" s="12">
        <f t="shared" si="83"/>
        <v>0</v>
      </c>
      <c r="Z305" s="11"/>
      <c r="AA305" s="13">
        <f t="shared" si="84"/>
        <v>0</v>
      </c>
      <c r="AB305" s="12">
        <f t="shared" si="85"/>
        <v>0</v>
      </c>
      <c r="AC305" s="14">
        <f t="shared" si="73"/>
        <v>0</v>
      </c>
      <c r="AE305" s="19">
        <f t="shared" si="86"/>
        <v>0</v>
      </c>
      <c r="AF305" s="19"/>
      <c r="AG305" s="17"/>
      <c r="AK305" s="7"/>
      <c r="AL305" s="108">
        <f t="shared" si="74"/>
        <v>0</v>
      </c>
      <c r="AM305" s="108">
        <f t="shared" si="75"/>
        <v>0</v>
      </c>
      <c r="AN305" s="113"/>
    </row>
    <row r="306" spans="2:40" x14ac:dyDescent="0.2">
      <c r="B306" s="7"/>
      <c r="C306" s="8"/>
      <c r="D306" s="8"/>
      <c r="E306" s="9"/>
      <c r="F306" s="6"/>
      <c r="G306" s="8"/>
      <c r="H306" s="32"/>
      <c r="I306" s="10" t="str">
        <f t="shared" si="72"/>
        <v>21</v>
      </c>
      <c r="J306" s="11">
        <v>1</v>
      </c>
      <c r="K306" s="11"/>
      <c r="L306" s="11"/>
      <c r="M306" s="11">
        <f t="shared" si="76"/>
        <v>0</v>
      </c>
      <c r="N306" s="11"/>
      <c r="O306" s="11">
        <f t="shared" si="77"/>
        <v>0</v>
      </c>
      <c r="P306" s="11"/>
      <c r="Q306" s="11"/>
      <c r="R306" s="11"/>
      <c r="S306" s="11">
        <f t="shared" si="78"/>
        <v>0</v>
      </c>
      <c r="T306" s="11">
        <f t="shared" si="79"/>
        <v>1666.6666666666667</v>
      </c>
      <c r="U306" s="11">
        <f t="shared" si="80"/>
        <v>0</v>
      </c>
      <c r="V306" s="24">
        <f t="shared" si="81"/>
        <v>0</v>
      </c>
      <c r="W306" s="11">
        <f>IF(V306&lt;=40000,0,
IF(V306&lt;=55000,(V306-40000)*10%,
IF(V306&lt;=70000,(V306-55000)*15%+1500,
IF(V306&lt;=200000,(V306-70000)*20%+1500+2250,
IF(V306&lt;=400000,(V306-200000)*22.5%+1500+2250+26000,
IF(V306&lt;=600000,(V306-400000)*25%+1500+2250+26000+45000,
IF(AND(V306&gt;600000,V306&lt;=1200000),(V306-400000)*25%+1500+2250+26000+45000
+IFERROR(LOOKUP(V306,{600001;700001;800001;900001},{4000;6750;10250;15250}),0),IF(V306&gt;1200000,((V306-1200000)*27.5%)+300000,0)
)))))))</f>
        <v>0</v>
      </c>
      <c r="X306" s="12">
        <f t="shared" si="82"/>
        <v>0</v>
      </c>
      <c r="Y306" s="12">
        <f t="shared" si="83"/>
        <v>0</v>
      </c>
      <c r="Z306" s="11"/>
      <c r="AA306" s="13">
        <f t="shared" si="84"/>
        <v>0</v>
      </c>
      <c r="AB306" s="12">
        <f t="shared" si="85"/>
        <v>0</v>
      </c>
      <c r="AC306" s="14">
        <f t="shared" si="73"/>
        <v>0</v>
      </c>
      <c r="AE306" s="19">
        <f t="shared" si="86"/>
        <v>0</v>
      </c>
      <c r="AF306" s="19"/>
      <c r="AG306" s="17"/>
      <c r="AK306" s="7"/>
      <c r="AL306" s="108">
        <f t="shared" si="74"/>
        <v>0</v>
      </c>
      <c r="AM306" s="108">
        <f t="shared" si="75"/>
        <v>0</v>
      </c>
      <c r="AN306" s="113"/>
    </row>
    <row r="307" spans="2:40" x14ac:dyDescent="0.2">
      <c r="B307" s="7"/>
      <c r="C307" s="8"/>
      <c r="D307" s="8"/>
      <c r="E307" s="9"/>
      <c r="F307" s="6"/>
      <c r="G307" s="8"/>
      <c r="H307" s="32"/>
      <c r="I307" s="10" t="str">
        <f t="shared" si="72"/>
        <v>21</v>
      </c>
      <c r="J307" s="11">
        <v>1</v>
      </c>
      <c r="K307" s="11"/>
      <c r="L307" s="11"/>
      <c r="M307" s="11">
        <f t="shared" si="76"/>
        <v>0</v>
      </c>
      <c r="N307" s="11"/>
      <c r="O307" s="11">
        <f t="shared" si="77"/>
        <v>0</v>
      </c>
      <c r="P307" s="11"/>
      <c r="Q307" s="11"/>
      <c r="R307" s="11"/>
      <c r="S307" s="11">
        <f t="shared" si="78"/>
        <v>0</v>
      </c>
      <c r="T307" s="11">
        <f t="shared" si="79"/>
        <v>1666.6666666666667</v>
      </c>
      <c r="U307" s="11">
        <f t="shared" si="80"/>
        <v>0</v>
      </c>
      <c r="V307" s="24">
        <f t="shared" si="81"/>
        <v>0</v>
      </c>
      <c r="W307" s="11">
        <f>IF(V307&lt;=40000,0,
IF(V307&lt;=55000,(V307-40000)*10%,
IF(V307&lt;=70000,(V307-55000)*15%+1500,
IF(V307&lt;=200000,(V307-70000)*20%+1500+2250,
IF(V307&lt;=400000,(V307-200000)*22.5%+1500+2250+26000,
IF(V307&lt;=600000,(V307-400000)*25%+1500+2250+26000+45000,
IF(AND(V307&gt;600000,V307&lt;=1200000),(V307-400000)*25%+1500+2250+26000+45000
+IFERROR(LOOKUP(V307,{600001;700001;800001;900001},{4000;6750;10250;15250}),0),IF(V307&gt;1200000,((V307-1200000)*27.5%)+300000,0)
)))))))</f>
        <v>0</v>
      </c>
      <c r="X307" s="12">
        <f t="shared" si="82"/>
        <v>0</v>
      </c>
      <c r="Y307" s="12">
        <f t="shared" si="83"/>
        <v>0</v>
      </c>
      <c r="Z307" s="11"/>
      <c r="AA307" s="13">
        <f t="shared" si="84"/>
        <v>0</v>
      </c>
      <c r="AB307" s="12">
        <f t="shared" si="85"/>
        <v>0</v>
      </c>
      <c r="AC307" s="14">
        <f t="shared" si="73"/>
        <v>0</v>
      </c>
      <c r="AE307" s="19">
        <f t="shared" si="86"/>
        <v>0</v>
      </c>
      <c r="AF307" s="19"/>
      <c r="AG307" s="17"/>
      <c r="AK307" s="7"/>
      <c r="AL307" s="108">
        <f t="shared" si="74"/>
        <v>0</v>
      </c>
      <c r="AM307" s="108">
        <f t="shared" si="75"/>
        <v>0</v>
      </c>
      <c r="AN307" s="113"/>
    </row>
    <row r="308" spans="2:40" x14ac:dyDescent="0.2">
      <c r="B308" s="7"/>
      <c r="C308" s="8"/>
      <c r="D308" s="8"/>
      <c r="E308" s="9"/>
      <c r="F308" s="6"/>
      <c r="G308" s="8"/>
      <c r="H308" s="32"/>
      <c r="I308" s="10" t="str">
        <f t="shared" si="72"/>
        <v>21</v>
      </c>
      <c r="J308" s="11">
        <v>1</v>
      </c>
      <c r="K308" s="11"/>
      <c r="L308" s="11"/>
      <c r="M308" s="11">
        <f t="shared" si="76"/>
        <v>0</v>
      </c>
      <c r="N308" s="11"/>
      <c r="O308" s="11">
        <f t="shared" si="77"/>
        <v>0</v>
      </c>
      <c r="P308" s="11"/>
      <c r="Q308" s="11"/>
      <c r="R308" s="11"/>
      <c r="S308" s="11">
        <f t="shared" si="78"/>
        <v>0</v>
      </c>
      <c r="T308" s="11">
        <f t="shared" si="79"/>
        <v>1666.6666666666667</v>
      </c>
      <c r="U308" s="11">
        <f t="shared" si="80"/>
        <v>0</v>
      </c>
      <c r="V308" s="24">
        <f t="shared" si="81"/>
        <v>0</v>
      </c>
      <c r="W308" s="11">
        <f>IF(V308&lt;=40000,0,
IF(V308&lt;=55000,(V308-40000)*10%,
IF(V308&lt;=70000,(V308-55000)*15%+1500,
IF(V308&lt;=200000,(V308-70000)*20%+1500+2250,
IF(V308&lt;=400000,(V308-200000)*22.5%+1500+2250+26000,
IF(V308&lt;=600000,(V308-400000)*25%+1500+2250+26000+45000,
IF(AND(V308&gt;600000,V308&lt;=1200000),(V308-400000)*25%+1500+2250+26000+45000
+IFERROR(LOOKUP(V308,{600001;700001;800001;900001},{4000;6750;10250;15250}),0),IF(V308&gt;1200000,((V308-1200000)*27.5%)+300000,0)
)))))))</f>
        <v>0</v>
      </c>
      <c r="X308" s="12">
        <f t="shared" si="82"/>
        <v>0</v>
      </c>
      <c r="Y308" s="12">
        <f t="shared" si="83"/>
        <v>0</v>
      </c>
      <c r="Z308" s="11"/>
      <c r="AA308" s="13">
        <f t="shared" si="84"/>
        <v>0</v>
      </c>
      <c r="AB308" s="12">
        <f t="shared" si="85"/>
        <v>0</v>
      </c>
      <c r="AC308" s="14">
        <f t="shared" si="73"/>
        <v>0</v>
      </c>
      <c r="AE308" s="19">
        <f t="shared" si="86"/>
        <v>0</v>
      </c>
      <c r="AF308" s="19"/>
      <c r="AG308" s="17"/>
      <c r="AK308" s="7"/>
      <c r="AL308" s="108">
        <f t="shared" si="74"/>
        <v>0</v>
      </c>
      <c r="AM308" s="108">
        <f t="shared" si="75"/>
        <v>0</v>
      </c>
      <c r="AN308" s="113"/>
    </row>
    <row r="309" spans="2:40" x14ac:dyDescent="0.2">
      <c r="B309" s="7"/>
      <c r="C309" s="8"/>
      <c r="D309" s="8"/>
      <c r="E309" s="9"/>
      <c r="F309" s="6"/>
      <c r="G309" s="8"/>
      <c r="H309" s="32"/>
      <c r="I309" s="10" t="str">
        <f t="shared" si="72"/>
        <v>21</v>
      </c>
      <c r="J309" s="11">
        <v>1</v>
      </c>
      <c r="K309" s="11"/>
      <c r="L309" s="11"/>
      <c r="M309" s="11">
        <f t="shared" si="76"/>
        <v>0</v>
      </c>
      <c r="N309" s="11"/>
      <c r="O309" s="11">
        <f t="shared" si="77"/>
        <v>0</v>
      </c>
      <c r="P309" s="11"/>
      <c r="Q309" s="11"/>
      <c r="R309" s="11"/>
      <c r="S309" s="11">
        <f t="shared" si="78"/>
        <v>0</v>
      </c>
      <c r="T309" s="11">
        <f t="shared" si="79"/>
        <v>1666.6666666666667</v>
      </c>
      <c r="U309" s="11">
        <f t="shared" si="80"/>
        <v>0</v>
      </c>
      <c r="V309" s="24">
        <f t="shared" si="81"/>
        <v>0</v>
      </c>
      <c r="W309" s="11">
        <f>IF(V309&lt;=40000,0,
IF(V309&lt;=55000,(V309-40000)*10%,
IF(V309&lt;=70000,(V309-55000)*15%+1500,
IF(V309&lt;=200000,(V309-70000)*20%+1500+2250,
IF(V309&lt;=400000,(V309-200000)*22.5%+1500+2250+26000,
IF(V309&lt;=600000,(V309-400000)*25%+1500+2250+26000+45000,
IF(AND(V309&gt;600000,V309&lt;=1200000),(V309-400000)*25%+1500+2250+26000+45000
+IFERROR(LOOKUP(V309,{600001;700001;800001;900001},{4000;6750;10250;15250}),0),IF(V309&gt;1200000,((V309-1200000)*27.5%)+300000,0)
)))))))</f>
        <v>0</v>
      </c>
      <c r="X309" s="12">
        <f t="shared" si="82"/>
        <v>0</v>
      </c>
      <c r="Y309" s="12">
        <f t="shared" si="83"/>
        <v>0</v>
      </c>
      <c r="Z309" s="11"/>
      <c r="AA309" s="13">
        <f t="shared" si="84"/>
        <v>0</v>
      </c>
      <c r="AB309" s="12">
        <f t="shared" si="85"/>
        <v>0</v>
      </c>
      <c r="AC309" s="14">
        <f t="shared" si="73"/>
        <v>0</v>
      </c>
      <c r="AE309" s="19">
        <f t="shared" si="86"/>
        <v>0</v>
      </c>
      <c r="AF309" s="19"/>
      <c r="AG309" s="17"/>
      <c r="AK309" s="7"/>
      <c r="AL309" s="108">
        <f t="shared" si="74"/>
        <v>0</v>
      </c>
      <c r="AM309" s="108">
        <f t="shared" si="75"/>
        <v>0</v>
      </c>
      <c r="AN309" s="113"/>
    </row>
    <row r="310" spans="2:40" x14ac:dyDescent="0.2">
      <c r="B310" s="7"/>
      <c r="C310" s="8"/>
      <c r="D310" s="8"/>
      <c r="E310" s="9"/>
      <c r="F310" s="6"/>
      <c r="G310" s="8"/>
      <c r="H310" s="32"/>
      <c r="I310" s="10" t="str">
        <f t="shared" si="72"/>
        <v>21</v>
      </c>
      <c r="J310" s="11">
        <v>1</v>
      </c>
      <c r="K310" s="11"/>
      <c r="L310" s="11"/>
      <c r="M310" s="11">
        <f t="shared" si="76"/>
        <v>0</v>
      </c>
      <c r="N310" s="11"/>
      <c r="O310" s="11">
        <f t="shared" si="77"/>
        <v>0</v>
      </c>
      <c r="P310" s="11"/>
      <c r="Q310" s="11"/>
      <c r="R310" s="11"/>
      <c r="S310" s="11">
        <f t="shared" si="78"/>
        <v>0</v>
      </c>
      <c r="T310" s="11">
        <f t="shared" si="79"/>
        <v>1666.6666666666667</v>
      </c>
      <c r="U310" s="11">
        <f t="shared" si="80"/>
        <v>0</v>
      </c>
      <c r="V310" s="24">
        <f t="shared" si="81"/>
        <v>0</v>
      </c>
      <c r="W310" s="11">
        <f>IF(V310&lt;=40000,0,
IF(V310&lt;=55000,(V310-40000)*10%,
IF(V310&lt;=70000,(V310-55000)*15%+1500,
IF(V310&lt;=200000,(V310-70000)*20%+1500+2250,
IF(V310&lt;=400000,(V310-200000)*22.5%+1500+2250+26000,
IF(V310&lt;=600000,(V310-400000)*25%+1500+2250+26000+45000,
IF(AND(V310&gt;600000,V310&lt;=1200000),(V310-400000)*25%+1500+2250+26000+45000
+IFERROR(LOOKUP(V310,{600001;700001;800001;900001},{4000;6750;10250;15250}),0),IF(V310&gt;1200000,((V310-1200000)*27.5%)+300000,0)
)))))))</f>
        <v>0</v>
      </c>
      <c r="X310" s="12">
        <f t="shared" si="82"/>
        <v>0</v>
      </c>
      <c r="Y310" s="12">
        <f t="shared" si="83"/>
        <v>0</v>
      </c>
      <c r="Z310" s="11"/>
      <c r="AA310" s="13">
        <f t="shared" si="84"/>
        <v>0</v>
      </c>
      <c r="AB310" s="12">
        <f t="shared" si="85"/>
        <v>0</v>
      </c>
      <c r="AC310" s="14">
        <f t="shared" si="73"/>
        <v>0</v>
      </c>
      <c r="AE310" s="19">
        <f t="shared" si="86"/>
        <v>0</v>
      </c>
      <c r="AF310" s="19"/>
      <c r="AG310" s="17"/>
      <c r="AK310" s="7"/>
      <c r="AL310" s="108">
        <f t="shared" si="74"/>
        <v>0</v>
      </c>
      <c r="AM310" s="108">
        <f t="shared" si="75"/>
        <v>0</v>
      </c>
      <c r="AN310" s="113"/>
    </row>
    <row r="311" spans="2:40" x14ac:dyDescent="0.2">
      <c r="B311" s="7"/>
      <c r="C311" s="8"/>
      <c r="D311" s="8"/>
      <c r="E311" s="9"/>
      <c r="F311" s="6"/>
      <c r="G311" s="8"/>
      <c r="H311" s="32"/>
      <c r="I311" s="10" t="str">
        <f t="shared" si="72"/>
        <v>21</v>
      </c>
      <c r="J311" s="11">
        <v>1</v>
      </c>
      <c r="K311" s="11"/>
      <c r="L311" s="11"/>
      <c r="M311" s="11">
        <f t="shared" si="76"/>
        <v>0</v>
      </c>
      <c r="N311" s="11"/>
      <c r="O311" s="11">
        <f t="shared" si="77"/>
        <v>0</v>
      </c>
      <c r="P311" s="11"/>
      <c r="Q311" s="11"/>
      <c r="R311" s="11"/>
      <c r="S311" s="11">
        <f t="shared" si="78"/>
        <v>0</v>
      </c>
      <c r="T311" s="11">
        <f t="shared" si="79"/>
        <v>1666.6666666666667</v>
      </c>
      <c r="U311" s="11">
        <f t="shared" si="80"/>
        <v>0</v>
      </c>
      <c r="V311" s="24">
        <f t="shared" si="81"/>
        <v>0</v>
      </c>
      <c r="W311" s="11">
        <f>IF(V311&lt;=40000,0,
IF(V311&lt;=55000,(V311-40000)*10%,
IF(V311&lt;=70000,(V311-55000)*15%+1500,
IF(V311&lt;=200000,(V311-70000)*20%+1500+2250,
IF(V311&lt;=400000,(V311-200000)*22.5%+1500+2250+26000,
IF(V311&lt;=600000,(V311-400000)*25%+1500+2250+26000+45000,
IF(AND(V311&gt;600000,V311&lt;=1200000),(V311-400000)*25%+1500+2250+26000+45000
+IFERROR(LOOKUP(V311,{600001;700001;800001;900001},{4000;6750;10250;15250}),0),IF(V311&gt;1200000,((V311-1200000)*27.5%)+300000,0)
)))))))</f>
        <v>0</v>
      </c>
      <c r="X311" s="12">
        <f t="shared" si="82"/>
        <v>0</v>
      </c>
      <c r="Y311" s="12">
        <f t="shared" si="83"/>
        <v>0</v>
      </c>
      <c r="Z311" s="11"/>
      <c r="AA311" s="13">
        <f t="shared" si="84"/>
        <v>0</v>
      </c>
      <c r="AB311" s="12">
        <f t="shared" si="85"/>
        <v>0</v>
      </c>
      <c r="AC311" s="14">
        <f t="shared" si="73"/>
        <v>0</v>
      </c>
      <c r="AE311" s="19">
        <f t="shared" si="86"/>
        <v>0</v>
      </c>
      <c r="AF311" s="19"/>
      <c r="AG311" s="17"/>
      <c r="AK311" s="7"/>
      <c r="AL311" s="108">
        <f t="shared" si="74"/>
        <v>0</v>
      </c>
      <c r="AM311" s="108">
        <f t="shared" si="75"/>
        <v>0</v>
      </c>
      <c r="AN311" s="113"/>
    </row>
    <row r="312" spans="2:40" x14ac:dyDescent="0.2">
      <c r="B312" s="7"/>
      <c r="C312" s="8"/>
      <c r="D312" s="8"/>
      <c r="E312" s="9"/>
      <c r="F312" s="6"/>
      <c r="G312" s="8"/>
      <c r="H312" s="32"/>
      <c r="I312" s="10" t="str">
        <f t="shared" si="72"/>
        <v>21</v>
      </c>
      <c r="J312" s="11">
        <v>1</v>
      </c>
      <c r="K312" s="11"/>
      <c r="L312" s="11"/>
      <c r="M312" s="11">
        <f t="shared" si="76"/>
        <v>0</v>
      </c>
      <c r="N312" s="11"/>
      <c r="O312" s="11">
        <f t="shared" si="77"/>
        <v>0</v>
      </c>
      <c r="P312" s="11"/>
      <c r="Q312" s="11"/>
      <c r="R312" s="11"/>
      <c r="S312" s="11">
        <f t="shared" si="78"/>
        <v>0</v>
      </c>
      <c r="T312" s="11">
        <f t="shared" si="79"/>
        <v>1666.6666666666667</v>
      </c>
      <c r="U312" s="11">
        <f t="shared" si="80"/>
        <v>0</v>
      </c>
      <c r="V312" s="24">
        <f t="shared" si="81"/>
        <v>0</v>
      </c>
      <c r="W312" s="11">
        <f>IF(V312&lt;=40000,0,
IF(V312&lt;=55000,(V312-40000)*10%,
IF(V312&lt;=70000,(V312-55000)*15%+1500,
IF(V312&lt;=200000,(V312-70000)*20%+1500+2250,
IF(V312&lt;=400000,(V312-200000)*22.5%+1500+2250+26000,
IF(V312&lt;=600000,(V312-400000)*25%+1500+2250+26000+45000,
IF(AND(V312&gt;600000,V312&lt;=1200000),(V312-400000)*25%+1500+2250+26000+45000
+IFERROR(LOOKUP(V312,{600001;700001;800001;900001},{4000;6750;10250;15250}),0),IF(V312&gt;1200000,((V312-1200000)*27.5%)+300000,0)
)))))))</f>
        <v>0</v>
      </c>
      <c r="X312" s="12">
        <f t="shared" si="82"/>
        <v>0</v>
      </c>
      <c r="Y312" s="12">
        <f t="shared" si="83"/>
        <v>0</v>
      </c>
      <c r="Z312" s="11"/>
      <c r="AA312" s="13">
        <f t="shared" si="84"/>
        <v>0</v>
      </c>
      <c r="AB312" s="12">
        <f t="shared" si="85"/>
        <v>0</v>
      </c>
      <c r="AC312" s="14">
        <f t="shared" si="73"/>
        <v>0</v>
      </c>
      <c r="AE312" s="19">
        <f t="shared" si="86"/>
        <v>0</v>
      </c>
      <c r="AF312" s="19"/>
      <c r="AG312" s="17"/>
      <c r="AK312" s="7"/>
      <c r="AL312" s="108">
        <f t="shared" si="74"/>
        <v>0</v>
      </c>
      <c r="AM312" s="108">
        <f t="shared" si="75"/>
        <v>0</v>
      </c>
      <c r="AN312" s="113"/>
    </row>
    <row r="313" spans="2:40" x14ac:dyDescent="0.2">
      <c r="B313" s="7"/>
      <c r="C313" s="8"/>
      <c r="D313" s="8"/>
      <c r="E313" s="9"/>
      <c r="F313" s="6"/>
      <c r="G313" s="8"/>
      <c r="H313" s="32"/>
      <c r="I313" s="10" t="str">
        <f t="shared" si="72"/>
        <v>21</v>
      </c>
      <c r="J313" s="11">
        <v>1</v>
      </c>
      <c r="K313" s="11"/>
      <c r="L313" s="11"/>
      <c r="M313" s="11">
        <f t="shared" si="76"/>
        <v>0</v>
      </c>
      <c r="N313" s="11"/>
      <c r="O313" s="11">
        <f t="shared" si="77"/>
        <v>0</v>
      </c>
      <c r="P313" s="11"/>
      <c r="Q313" s="11"/>
      <c r="R313" s="11"/>
      <c r="S313" s="11">
        <f t="shared" si="78"/>
        <v>0</v>
      </c>
      <c r="T313" s="11">
        <f t="shared" si="79"/>
        <v>1666.6666666666667</v>
      </c>
      <c r="U313" s="11">
        <f t="shared" si="80"/>
        <v>0</v>
      </c>
      <c r="V313" s="24">
        <f t="shared" si="81"/>
        <v>0</v>
      </c>
      <c r="W313" s="11">
        <f>IF(V313&lt;=40000,0,
IF(V313&lt;=55000,(V313-40000)*10%,
IF(V313&lt;=70000,(V313-55000)*15%+1500,
IF(V313&lt;=200000,(V313-70000)*20%+1500+2250,
IF(V313&lt;=400000,(V313-200000)*22.5%+1500+2250+26000,
IF(V313&lt;=600000,(V313-400000)*25%+1500+2250+26000+45000,
IF(AND(V313&gt;600000,V313&lt;=1200000),(V313-400000)*25%+1500+2250+26000+45000
+IFERROR(LOOKUP(V313,{600001;700001;800001;900001},{4000;6750;10250;15250}),0),IF(V313&gt;1200000,((V313-1200000)*27.5%)+300000,0)
)))))))</f>
        <v>0</v>
      </c>
      <c r="X313" s="12">
        <f t="shared" si="82"/>
        <v>0</v>
      </c>
      <c r="Y313" s="12">
        <f t="shared" si="83"/>
        <v>0</v>
      </c>
      <c r="Z313" s="11"/>
      <c r="AA313" s="13">
        <f t="shared" si="84"/>
        <v>0</v>
      </c>
      <c r="AB313" s="12">
        <f t="shared" si="85"/>
        <v>0</v>
      </c>
      <c r="AC313" s="14">
        <f t="shared" si="73"/>
        <v>0</v>
      </c>
      <c r="AE313" s="19">
        <f t="shared" si="86"/>
        <v>0</v>
      </c>
      <c r="AF313" s="19"/>
      <c r="AG313" s="17"/>
      <c r="AK313" s="7"/>
      <c r="AL313" s="108">
        <f t="shared" si="74"/>
        <v>0</v>
      </c>
      <c r="AM313" s="108">
        <f t="shared" si="75"/>
        <v>0</v>
      </c>
      <c r="AN313" s="113"/>
    </row>
    <row r="314" spans="2:40" x14ac:dyDescent="0.2">
      <c r="B314" s="7"/>
      <c r="C314" s="8"/>
      <c r="D314" s="8"/>
      <c r="E314" s="9"/>
      <c r="F314" s="6"/>
      <c r="G314" s="8"/>
      <c r="H314" s="32"/>
      <c r="I314" s="10" t="str">
        <f t="shared" si="72"/>
        <v>21</v>
      </c>
      <c r="J314" s="11">
        <v>1</v>
      </c>
      <c r="K314" s="11"/>
      <c r="L314" s="11"/>
      <c r="M314" s="11">
        <f t="shared" si="76"/>
        <v>0</v>
      </c>
      <c r="N314" s="11"/>
      <c r="O314" s="11">
        <f t="shared" si="77"/>
        <v>0</v>
      </c>
      <c r="P314" s="11"/>
      <c r="Q314" s="11"/>
      <c r="R314" s="11"/>
      <c r="S314" s="11">
        <f t="shared" si="78"/>
        <v>0</v>
      </c>
      <c r="T314" s="11">
        <f t="shared" si="79"/>
        <v>1666.6666666666667</v>
      </c>
      <c r="U314" s="11">
        <f t="shared" si="80"/>
        <v>0</v>
      </c>
      <c r="V314" s="24">
        <f t="shared" si="81"/>
        <v>0</v>
      </c>
      <c r="W314" s="11">
        <f>IF(V314&lt;=40000,0,
IF(V314&lt;=55000,(V314-40000)*10%,
IF(V314&lt;=70000,(V314-55000)*15%+1500,
IF(V314&lt;=200000,(V314-70000)*20%+1500+2250,
IF(V314&lt;=400000,(V314-200000)*22.5%+1500+2250+26000,
IF(V314&lt;=600000,(V314-400000)*25%+1500+2250+26000+45000,
IF(AND(V314&gt;600000,V314&lt;=1200000),(V314-400000)*25%+1500+2250+26000+45000
+IFERROR(LOOKUP(V314,{600001;700001;800001;900001},{4000;6750;10250;15250}),0),IF(V314&gt;1200000,((V314-1200000)*27.5%)+300000,0)
)))))))</f>
        <v>0</v>
      </c>
      <c r="X314" s="12">
        <f t="shared" si="82"/>
        <v>0</v>
      </c>
      <c r="Y314" s="12">
        <f t="shared" si="83"/>
        <v>0</v>
      </c>
      <c r="Z314" s="11"/>
      <c r="AA314" s="13">
        <f t="shared" si="84"/>
        <v>0</v>
      </c>
      <c r="AB314" s="12">
        <f t="shared" si="85"/>
        <v>0</v>
      </c>
      <c r="AC314" s="14">
        <f t="shared" si="73"/>
        <v>0</v>
      </c>
      <c r="AE314" s="19">
        <f t="shared" si="86"/>
        <v>0</v>
      </c>
      <c r="AF314" s="19"/>
      <c r="AG314" s="17"/>
      <c r="AK314" s="7"/>
      <c r="AL314" s="108">
        <f t="shared" si="74"/>
        <v>0</v>
      </c>
      <c r="AM314" s="108">
        <f t="shared" si="75"/>
        <v>0</v>
      </c>
      <c r="AN314" s="113"/>
    </row>
    <row r="315" spans="2:40" x14ac:dyDescent="0.2">
      <c r="B315" s="7"/>
      <c r="C315" s="8"/>
      <c r="D315" s="8"/>
      <c r="E315" s="9"/>
      <c r="F315" s="6"/>
      <c r="G315" s="8"/>
      <c r="H315" s="32"/>
      <c r="I315" s="10" t="str">
        <f t="shared" si="72"/>
        <v>21</v>
      </c>
      <c r="J315" s="11">
        <v>1</v>
      </c>
      <c r="K315" s="11"/>
      <c r="L315" s="11"/>
      <c r="M315" s="11">
        <f t="shared" si="76"/>
        <v>0</v>
      </c>
      <c r="N315" s="11"/>
      <c r="O315" s="11">
        <f t="shared" si="77"/>
        <v>0</v>
      </c>
      <c r="P315" s="11"/>
      <c r="Q315" s="11"/>
      <c r="R315" s="11"/>
      <c r="S315" s="11">
        <f t="shared" si="78"/>
        <v>0</v>
      </c>
      <c r="T315" s="11">
        <f t="shared" si="79"/>
        <v>1666.6666666666667</v>
      </c>
      <c r="U315" s="11">
        <f t="shared" si="80"/>
        <v>0</v>
      </c>
      <c r="V315" s="24">
        <f t="shared" si="81"/>
        <v>0</v>
      </c>
      <c r="W315" s="11">
        <f>IF(V315&lt;=40000,0,
IF(V315&lt;=55000,(V315-40000)*10%,
IF(V315&lt;=70000,(V315-55000)*15%+1500,
IF(V315&lt;=200000,(V315-70000)*20%+1500+2250,
IF(V315&lt;=400000,(V315-200000)*22.5%+1500+2250+26000,
IF(V315&lt;=600000,(V315-400000)*25%+1500+2250+26000+45000,
IF(AND(V315&gt;600000,V315&lt;=1200000),(V315-400000)*25%+1500+2250+26000+45000
+IFERROR(LOOKUP(V315,{600001;700001;800001;900001},{4000;6750;10250;15250}),0),IF(V315&gt;1200000,((V315-1200000)*27.5%)+300000,0)
)))))))</f>
        <v>0</v>
      </c>
      <c r="X315" s="12">
        <f t="shared" si="82"/>
        <v>0</v>
      </c>
      <c r="Y315" s="12">
        <f t="shared" si="83"/>
        <v>0</v>
      </c>
      <c r="Z315" s="11"/>
      <c r="AA315" s="13">
        <f t="shared" si="84"/>
        <v>0</v>
      </c>
      <c r="AB315" s="12">
        <f t="shared" si="85"/>
        <v>0</v>
      </c>
      <c r="AC315" s="14">
        <f t="shared" si="73"/>
        <v>0</v>
      </c>
      <c r="AE315" s="19">
        <f t="shared" si="86"/>
        <v>0</v>
      </c>
      <c r="AF315" s="19"/>
      <c r="AG315" s="17"/>
      <c r="AK315" s="7"/>
      <c r="AL315" s="108">
        <f t="shared" si="74"/>
        <v>0</v>
      </c>
      <c r="AM315" s="108">
        <f t="shared" si="75"/>
        <v>0</v>
      </c>
      <c r="AN315" s="113"/>
    </row>
    <row r="316" spans="2:40" x14ac:dyDescent="0.2">
      <c r="B316" s="7"/>
      <c r="C316" s="8"/>
      <c r="D316" s="8"/>
      <c r="E316" s="9"/>
      <c r="F316" s="6"/>
      <c r="G316" s="8"/>
      <c r="H316" s="32"/>
      <c r="I316" s="10" t="str">
        <f t="shared" si="72"/>
        <v>21</v>
      </c>
      <c r="J316" s="11">
        <v>1</v>
      </c>
      <c r="K316" s="11"/>
      <c r="L316" s="11"/>
      <c r="M316" s="11">
        <f t="shared" si="76"/>
        <v>0</v>
      </c>
      <c r="N316" s="11"/>
      <c r="O316" s="11">
        <f t="shared" si="77"/>
        <v>0</v>
      </c>
      <c r="P316" s="11"/>
      <c r="Q316" s="11"/>
      <c r="R316" s="11"/>
      <c r="S316" s="11">
        <f t="shared" si="78"/>
        <v>0</v>
      </c>
      <c r="T316" s="11">
        <f t="shared" si="79"/>
        <v>1666.6666666666667</v>
      </c>
      <c r="U316" s="11">
        <f t="shared" si="80"/>
        <v>0</v>
      </c>
      <c r="V316" s="24">
        <f t="shared" si="81"/>
        <v>0</v>
      </c>
      <c r="W316" s="11">
        <f>IF(V316&lt;=40000,0,
IF(V316&lt;=55000,(V316-40000)*10%,
IF(V316&lt;=70000,(V316-55000)*15%+1500,
IF(V316&lt;=200000,(V316-70000)*20%+1500+2250,
IF(V316&lt;=400000,(V316-200000)*22.5%+1500+2250+26000,
IF(V316&lt;=600000,(V316-400000)*25%+1500+2250+26000+45000,
IF(AND(V316&gt;600000,V316&lt;=1200000),(V316-400000)*25%+1500+2250+26000+45000
+IFERROR(LOOKUP(V316,{600001;700001;800001;900001},{4000;6750;10250;15250}),0),IF(V316&gt;1200000,((V316-1200000)*27.5%)+300000,0)
)))))))</f>
        <v>0</v>
      </c>
      <c r="X316" s="12">
        <f t="shared" si="82"/>
        <v>0</v>
      </c>
      <c r="Y316" s="12">
        <f t="shared" si="83"/>
        <v>0</v>
      </c>
      <c r="Z316" s="11"/>
      <c r="AA316" s="13">
        <f t="shared" si="84"/>
        <v>0</v>
      </c>
      <c r="AB316" s="12">
        <f t="shared" si="85"/>
        <v>0</v>
      </c>
      <c r="AC316" s="14">
        <f t="shared" si="73"/>
        <v>0</v>
      </c>
      <c r="AE316" s="19">
        <f t="shared" si="86"/>
        <v>0</v>
      </c>
      <c r="AF316" s="19"/>
      <c r="AG316" s="17"/>
      <c r="AK316" s="7"/>
      <c r="AL316" s="108">
        <f t="shared" si="74"/>
        <v>0</v>
      </c>
      <c r="AM316" s="108">
        <f t="shared" si="75"/>
        <v>0</v>
      </c>
      <c r="AN316" s="113"/>
    </row>
    <row r="317" spans="2:40" x14ac:dyDescent="0.2">
      <c r="B317" s="7"/>
      <c r="C317" s="8"/>
      <c r="D317" s="8"/>
      <c r="E317" s="9"/>
      <c r="F317" s="6"/>
      <c r="G317" s="8"/>
      <c r="H317" s="32"/>
      <c r="I317" s="10" t="str">
        <f t="shared" si="72"/>
        <v>21</v>
      </c>
      <c r="J317" s="11">
        <v>1</v>
      </c>
      <c r="K317" s="11"/>
      <c r="L317" s="11"/>
      <c r="M317" s="11">
        <f t="shared" si="76"/>
        <v>0</v>
      </c>
      <c r="N317" s="11"/>
      <c r="O317" s="11">
        <f t="shared" si="77"/>
        <v>0</v>
      </c>
      <c r="P317" s="11"/>
      <c r="Q317" s="11"/>
      <c r="R317" s="11"/>
      <c r="S317" s="11">
        <f t="shared" si="78"/>
        <v>0</v>
      </c>
      <c r="T317" s="11">
        <f t="shared" si="79"/>
        <v>1666.6666666666667</v>
      </c>
      <c r="U317" s="11">
        <f t="shared" si="80"/>
        <v>0</v>
      </c>
      <c r="V317" s="24">
        <f t="shared" si="81"/>
        <v>0</v>
      </c>
      <c r="W317" s="11">
        <f>IF(V317&lt;=40000,0,
IF(V317&lt;=55000,(V317-40000)*10%,
IF(V317&lt;=70000,(V317-55000)*15%+1500,
IF(V317&lt;=200000,(V317-70000)*20%+1500+2250,
IF(V317&lt;=400000,(V317-200000)*22.5%+1500+2250+26000,
IF(V317&lt;=600000,(V317-400000)*25%+1500+2250+26000+45000,
IF(AND(V317&gt;600000,V317&lt;=1200000),(V317-400000)*25%+1500+2250+26000+45000
+IFERROR(LOOKUP(V317,{600001;700001;800001;900001},{4000;6750;10250;15250}),0),IF(V317&gt;1200000,((V317-1200000)*27.5%)+300000,0)
)))))))</f>
        <v>0</v>
      </c>
      <c r="X317" s="12">
        <f t="shared" si="82"/>
        <v>0</v>
      </c>
      <c r="Y317" s="12">
        <f t="shared" si="83"/>
        <v>0</v>
      </c>
      <c r="Z317" s="11"/>
      <c r="AA317" s="13">
        <f t="shared" si="84"/>
        <v>0</v>
      </c>
      <c r="AB317" s="12">
        <f t="shared" si="85"/>
        <v>0</v>
      </c>
      <c r="AC317" s="14">
        <f t="shared" si="73"/>
        <v>0</v>
      </c>
      <c r="AE317" s="19">
        <f t="shared" si="86"/>
        <v>0</v>
      </c>
      <c r="AF317" s="19"/>
      <c r="AG317" s="17"/>
      <c r="AK317" s="7"/>
      <c r="AL317" s="108">
        <f t="shared" si="74"/>
        <v>0</v>
      </c>
      <c r="AM317" s="108">
        <f t="shared" si="75"/>
        <v>0</v>
      </c>
      <c r="AN317" s="113"/>
    </row>
    <row r="318" spans="2:40" x14ac:dyDescent="0.2">
      <c r="B318" s="7"/>
      <c r="C318" s="8"/>
      <c r="D318" s="8"/>
      <c r="E318" s="9"/>
      <c r="F318" s="6"/>
      <c r="G318" s="8"/>
      <c r="H318" s="32"/>
      <c r="I318" s="10" t="str">
        <f t="shared" si="72"/>
        <v>21</v>
      </c>
      <c r="J318" s="11">
        <v>1</v>
      </c>
      <c r="K318" s="11"/>
      <c r="L318" s="11"/>
      <c r="M318" s="11">
        <f t="shared" si="76"/>
        <v>0</v>
      </c>
      <c r="N318" s="11"/>
      <c r="O318" s="11">
        <f t="shared" si="77"/>
        <v>0</v>
      </c>
      <c r="P318" s="11"/>
      <c r="Q318" s="11"/>
      <c r="R318" s="11"/>
      <c r="S318" s="11">
        <f t="shared" si="78"/>
        <v>0</v>
      </c>
      <c r="T318" s="11">
        <f t="shared" si="79"/>
        <v>1666.6666666666667</v>
      </c>
      <c r="U318" s="11">
        <f t="shared" si="80"/>
        <v>0</v>
      </c>
      <c r="V318" s="24">
        <f t="shared" si="81"/>
        <v>0</v>
      </c>
      <c r="W318" s="11">
        <f>IF(V318&lt;=40000,0,
IF(V318&lt;=55000,(V318-40000)*10%,
IF(V318&lt;=70000,(V318-55000)*15%+1500,
IF(V318&lt;=200000,(V318-70000)*20%+1500+2250,
IF(V318&lt;=400000,(V318-200000)*22.5%+1500+2250+26000,
IF(V318&lt;=600000,(V318-400000)*25%+1500+2250+26000+45000,
IF(AND(V318&gt;600000,V318&lt;=1200000),(V318-400000)*25%+1500+2250+26000+45000
+IFERROR(LOOKUP(V318,{600001;700001;800001;900001},{4000;6750;10250;15250}),0),IF(V318&gt;1200000,((V318-1200000)*27.5%)+300000,0)
)))))))</f>
        <v>0</v>
      </c>
      <c r="X318" s="12">
        <f t="shared" si="82"/>
        <v>0</v>
      </c>
      <c r="Y318" s="12">
        <f t="shared" si="83"/>
        <v>0</v>
      </c>
      <c r="Z318" s="11"/>
      <c r="AA318" s="13">
        <f t="shared" si="84"/>
        <v>0</v>
      </c>
      <c r="AB318" s="12">
        <f t="shared" si="85"/>
        <v>0</v>
      </c>
      <c r="AC318" s="14">
        <f t="shared" si="73"/>
        <v>0</v>
      </c>
      <c r="AE318" s="19">
        <f t="shared" si="86"/>
        <v>0</v>
      </c>
      <c r="AF318" s="19"/>
      <c r="AG318" s="17"/>
      <c r="AK318" s="7"/>
      <c r="AL318" s="108">
        <f t="shared" si="74"/>
        <v>0</v>
      </c>
      <c r="AM318" s="108">
        <f t="shared" si="75"/>
        <v>0</v>
      </c>
      <c r="AN318" s="113"/>
    </row>
    <row r="319" spans="2:40" x14ac:dyDescent="0.2">
      <c r="B319" s="7"/>
      <c r="C319" s="8"/>
      <c r="D319" s="8"/>
      <c r="E319" s="9"/>
      <c r="F319" s="6"/>
      <c r="G319" s="8"/>
      <c r="H319" s="32"/>
      <c r="I319" s="10" t="str">
        <f t="shared" si="72"/>
        <v>21</v>
      </c>
      <c r="J319" s="11">
        <v>1</v>
      </c>
      <c r="K319" s="11"/>
      <c r="L319" s="11"/>
      <c r="M319" s="11">
        <f t="shared" si="76"/>
        <v>0</v>
      </c>
      <c r="N319" s="11"/>
      <c r="O319" s="11">
        <f t="shared" si="77"/>
        <v>0</v>
      </c>
      <c r="P319" s="11"/>
      <c r="Q319" s="11"/>
      <c r="R319" s="11"/>
      <c r="S319" s="11">
        <f t="shared" si="78"/>
        <v>0</v>
      </c>
      <c r="T319" s="11">
        <f t="shared" si="79"/>
        <v>1666.6666666666667</v>
      </c>
      <c r="U319" s="11">
        <f t="shared" si="80"/>
        <v>0</v>
      </c>
      <c r="V319" s="24">
        <f t="shared" si="81"/>
        <v>0</v>
      </c>
      <c r="W319" s="11">
        <f>IF(V319&lt;=40000,0,
IF(V319&lt;=55000,(V319-40000)*10%,
IF(V319&lt;=70000,(V319-55000)*15%+1500,
IF(V319&lt;=200000,(V319-70000)*20%+1500+2250,
IF(V319&lt;=400000,(V319-200000)*22.5%+1500+2250+26000,
IF(V319&lt;=600000,(V319-400000)*25%+1500+2250+26000+45000,
IF(AND(V319&gt;600000,V319&lt;=1200000),(V319-400000)*25%+1500+2250+26000+45000
+IFERROR(LOOKUP(V319,{600001;700001;800001;900001},{4000;6750;10250;15250}),0),IF(V319&gt;1200000,((V319-1200000)*27.5%)+300000,0)
)))))))</f>
        <v>0</v>
      </c>
      <c r="X319" s="12">
        <f t="shared" si="82"/>
        <v>0</v>
      </c>
      <c r="Y319" s="12">
        <f t="shared" si="83"/>
        <v>0</v>
      </c>
      <c r="Z319" s="11"/>
      <c r="AA319" s="13">
        <f t="shared" si="84"/>
        <v>0</v>
      </c>
      <c r="AB319" s="12">
        <f t="shared" si="85"/>
        <v>0</v>
      </c>
      <c r="AC319" s="14">
        <f t="shared" si="73"/>
        <v>0</v>
      </c>
      <c r="AE319" s="19">
        <f t="shared" si="86"/>
        <v>0</v>
      </c>
      <c r="AF319" s="19"/>
      <c r="AG319" s="17"/>
      <c r="AK319" s="7"/>
      <c r="AL319" s="108">
        <f t="shared" si="74"/>
        <v>0</v>
      </c>
      <c r="AM319" s="108">
        <f t="shared" si="75"/>
        <v>0</v>
      </c>
      <c r="AN319" s="113"/>
    </row>
    <row r="320" spans="2:40" x14ac:dyDescent="0.2">
      <c r="B320" s="7"/>
      <c r="C320" s="8"/>
      <c r="D320" s="8"/>
      <c r="E320" s="9"/>
      <c r="F320" s="6"/>
      <c r="G320" s="8"/>
      <c r="H320" s="32"/>
      <c r="I320" s="10" t="str">
        <f t="shared" si="72"/>
        <v>21</v>
      </c>
      <c r="J320" s="11">
        <v>1</v>
      </c>
      <c r="K320" s="11"/>
      <c r="L320" s="11"/>
      <c r="M320" s="11">
        <f t="shared" si="76"/>
        <v>0</v>
      </c>
      <c r="N320" s="11"/>
      <c r="O320" s="11">
        <f t="shared" si="77"/>
        <v>0</v>
      </c>
      <c r="P320" s="11"/>
      <c r="Q320" s="11"/>
      <c r="R320" s="11"/>
      <c r="S320" s="11">
        <f t="shared" si="78"/>
        <v>0</v>
      </c>
      <c r="T320" s="11">
        <f t="shared" si="79"/>
        <v>1666.6666666666667</v>
      </c>
      <c r="U320" s="11">
        <f t="shared" si="80"/>
        <v>0</v>
      </c>
      <c r="V320" s="24">
        <f t="shared" si="81"/>
        <v>0</v>
      </c>
      <c r="W320" s="11">
        <f>IF(V320&lt;=40000,0,
IF(V320&lt;=55000,(V320-40000)*10%,
IF(V320&lt;=70000,(V320-55000)*15%+1500,
IF(V320&lt;=200000,(V320-70000)*20%+1500+2250,
IF(V320&lt;=400000,(V320-200000)*22.5%+1500+2250+26000,
IF(V320&lt;=600000,(V320-400000)*25%+1500+2250+26000+45000,
IF(AND(V320&gt;600000,V320&lt;=1200000),(V320-400000)*25%+1500+2250+26000+45000
+IFERROR(LOOKUP(V320,{600001;700001;800001;900001},{4000;6750;10250;15250}),0),IF(V320&gt;1200000,((V320-1200000)*27.5%)+300000,0)
)))))))</f>
        <v>0</v>
      </c>
      <c r="X320" s="12">
        <f t="shared" si="82"/>
        <v>0</v>
      </c>
      <c r="Y320" s="12">
        <f t="shared" si="83"/>
        <v>0</v>
      </c>
      <c r="Z320" s="11"/>
      <c r="AA320" s="13">
        <f t="shared" si="84"/>
        <v>0</v>
      </c>
      <c r="AB320" s="12">
        <f t="shared" si="85"/>
        <v>0</v>
      </c>
      <c r="AC320" s="14">
        <f t="shared" si="73"/>
        <v>0</v>
      </c>
      <c r="AE320" s="19">
        <f t="shared" si="86"/>
        <v>0</v>
      </c>
      <c r="AF320" s="19"/>
      <c r="AG320" s="17"/>
      <c r="AK320" s="7"/>
      <c r="AL320" s="108">
        <f t="shared" si="74"/>
        <v>0</v>
      </c>
      <c r="AM320" s="108">
        <f t="shared" si="75"/>
        <v>0</v>
      </c>
      <c r="AN320" s="113"/>
    </row>
    <row r="321" spans="2:40" x14ac:dyDescent="0.2">
      <c r="B321" s="7"/>
      <c r="C321" s="8"/>
      <c r="D321" s="8"/>
      <c r="E321" s="9"/>
      <c r="F321" s="6"/>
      <c r="G321" s="8"/>
      <c r="H321" s="32"/>
      <c r="I321" s="10" t="str">
        <f t="shared" si="72"/>
        <v>21</v>
      </c>
      <c r="J321" s="11">
        <v>1</v>
      </c>
      <c r="K321" s="11"/>
      <c r="L321" s="11"/>
      <c r="M321" s="11">
        <f t="shared" si="76"/>
        <v>0</v>
      </c>
      <c r="N321" s="11"/>
      <c r="O321" s="11">
        <f t="shared" si="77"/>
        <v>0</v>
      </c>
      <c r="P321" s="11"/>
      <c r="Q321" s="11"/>
      <c r="R321" s="11"/>
      <c r="S321" s="11">
        <f t="shared" si="78"/>
        <v>0</v>
      </c>
      <c r="T321" s="11">
        <f t="shared" si="79"/>
        <v>1666.6666666666667</v>
      </c>
      <c r="U321" s="11">
        <f t="shared" si="80"/>
        <v>0</v>
      </c>
      <c r="V321" s="24">
        <f t="shared" si="81"/>
        <v>0</v>
      </c>
      <c r="W321" s="11">
        <f>IF(V321&lt;=40000,0,
IF(V321&lt;=55000,(V321-40000)*10%,
IF(V321&lt;=70000,(V321-55000)*15%+1500,
IF(V321&lt;=200000,(V321-70000)*20%+1500+2250,
IF(V321&lt;=400000,(V321-200000)*22.5%+1500+2250+26000,
IF(V321&lt;=600000,(V321-400000)*25%+1500+2250+26000+45000,
IF(AND(V321&gt;600000,V321&lt;=1200000),(V321-400000)*25%+1500+2250+26000+45000
+IFERROR(LOOKUP(V321,{600001;700001;800001;900001},{4000;6750;10250;15250}),0),IF(V321&gt;1200000,((V321-1200000)*27.5%)+300000,0)
)))))))</f>
        <v>0</v>
      </c>
      <c r="X321" s="12">
        <f t="shared" si="82"/>
        <v>0</v>
      </c>
      <c r="Y321" s="12">
        <f t="shared" si="83"/>
        <v>0</v>
      </c>
      <c r="Z321" s="11"/>
      <c r="AA321" s="13">
        <f t="shared" si="84"/>
        <v>0</v>
      </c>
      <c r="AB321" s="12">
        <f t="shared" si="85"/>
        <v>0</v>
      </c>
      <c r="AC321" s="14">
        <f t="shared" si="73"/>
        <v>0</v>
      </c>
      <c r="AE321" s="19">
        <f t="shared" si="86"/>
        <v>0</v>
      </c>
      <c r="AF321" s="19"/>
      <c r="AG321" s="17"/>
      <c r="AK321" s="7"/>
      <c r="AL321" s="108">
        <f t="shared" si="74"/>
        <v>0</v>
      </c>
      <c r="AM321" s="108">
        <f t="shared" si="75"/>
        <v>0</v>
      </c>
      <c r="AN321" s="113"/>
    </row>
    <row r="322" spans="2:40" x14ac:dyDescent="0.2">
      <c r="B322" s="7"/>
      <c r="C322" s="8"/>
      <c r="D322" s="8"/>
      <c r="E322" s="9"/>
      <c r="F322" s="6"/>
      <c r="G322" s="8"/>
      <c r="H322" s="32"/>
      <c r="I322" s="10" t="str">
        <f t="shared" si="72"/>
        <v>21</v>
      </c>
      <c r="J322" s="11">
        <v>1</v>
      </c>
      <c r="K322" s="11"/>
      <c r="L322" s="11"/>
      <c r="M322" s="11">
        <f t="shared" si="76"/>
        <v>0</v>
      </c>
      <c r="N322" s="11"/>
      <c r="O322" s="11">
        <f t="shared" si="77"/>
        <v>0</v>
      </c>
      <c r="P322" s="11"/>
      <c r="Q322" s="11"/>
      <c r="R322" s="11"/>
      <c r="S322" s="11">
        <f t="shared" si="78"/>
        <v>0</v>
      </c>
      <c r="T322" s="11">
        <f t="shared" si="79"/>
        <v>1666.6666666666667</v>
      </c>
      <c r="U322" s="11">
        <f t="shared" si="80"/>
        <v>0</v>
      </c>
      <c r="V322" s="24">
        <f t="shared" si="81"/>
        <v>0</v>
      </c>
      <c r="W322" s="11">
        <f>IF(V322&lt;=40000,0,
IF(V322&lt;=55000,(V322-40000)*10%,
IF(V322&lt;=70000,(V322-55000)*15%+1500,
IF(V322&lt;=200000,(V322-70000)*20%+1500+2250,
IF(V322&lt;=400000,(V322-200000)*22.5%+1500+2250+26000,
IF(V322&lt;=600000,(V322-400000)*25%+1500+2250+26000+45000,
IF(AND(V322&gt;600000,V322&lt;=1200000),(V322-400000)*25%+1500+2250+26000+45000
+IFERROR(LOOKUP(V322,{600001;700001;800001;900001},{4000;6750;10250;15250}),0),IF(V322&gt;1200000,((V322-1200000)*27.5%)+300000,0)
)))))))</f>
        <v>0</v>
      </c>
      <c r="X322" s="12">
        <f t="shared" si="82"/>
        <v>0</v>
      </c>
      <c r="Y322" s="12">
        <f t="shared" si="83"/>
        <v>0</v>
      </c>
      <c r="Z322" s="11"/>
      <c r="AA322" s="13">
        <f t="shared" si="84"/>
        <v>0</v>
      </c>
      <c r="AB322" s="12">
        <f t="shared" si="85"/>
        <v>0</v>
      </c>
      <c r="AC322" s="14">
        <f t="shared" si="73"/>
        <v>0</v>
      </c>
      <c r="AE322" s="19">
        <f t="shared" si="86"/>
        <v>0</v>
      </c>
      <c r="AF322" s="19"/>
      <c r="AG322" s="17"/>
      <c r="AK322" s="7"/>
      <c r="AL322" s="108">
        <f t="shared" si="74"/>
        <v>0</v>
      </c>
      <c r="AM322" s="108">
        <f t="shared" si="75"/>
        <v>0</v>
      </c>
      <c r="AN322" s="113"/>
    </row>
    <row r="323" spans="2:40" x14ac:dyDescent="0.2">
      <c r="B323" s="7"/>
      <c r="C323" s="8"/>
      <c r="D323" s="8"/>
      <c r="E323" s="9"/>
      <c r="F323" s="6"/>
      <c r="G323" s="8"/>
      <c r="H323" s="32"/>
      <c r="I323" s="10" t="str">
        <f t="shared" si="72"/>
        <v>21</v>
      </c>
      <c r="J323" s="11">
        <v>1</v>
      </c>
      <c r="K323" s="11"/>
      <c r="L323" s="11"/>
      <c r="M323" s="11">
        <f t="shared" si="76"/>
        <v>0</v>
      </c>
      <c r="N323" s="11"/>
      <c r="O323" s="11">
        <f t="shared" si="77"/>
        <v>0</v>
      </c>
      <c r="P323" s="11"/>
      <c r="Q323" s="11"/>
      <c r="R323" s="11"/>
      <c r="S323" s="11">
        <f t="shared" si="78"/>
        <v>0</v>
      </c>
      <c r="T323" s="11">
        <f t="shared" si="79"/>
        <v>1666.6666666666667</v>
      </c>
      <c r="U323" s="11">
        <f t="shared" si="80"/>
        <v>0</v>
      </c>
      <c r="V323" s="24">
        <f t="shared" si="81"/>
        <v>0</v>
      </c>
      <c r="W323" s="11">
        <f>IF(V323&lt;=40000,0,
IF(V323&lt;=55000,(V323-40000)*10%,
IF(V323&lt;=70000,(V323-55000)*15%+1500,
IF(V323&lt;=200000,(V323-70000)*20%+1500+2250,
IF(V323&lt;=400000,(V323-200000)*22.5%+1500+2250+26000,
IF(V323&lt;=600000,(V323-400000)*25%+1500+2250+26000+45000,
IF(AND(V323&gt;600000,V323&lt;=1200000),(V323-400000)*25%+1500+2250+26000+45000
+IFERROR(LOOKUP(V323,{600001;700001;800001;900001},{4000;6750;10250;15250}),0),IF(V323&gt;1200000,((V323-1200000)*27.5%)+300000,0)
)))))))</f>
        <v>0</v>
      </c>
      <c r="X323" s="12">
        <f t="shared" si="82"/>
        <v>0</v>
      </c>
      <c r="Y323" s="12">
        <f t="shared" si="83"/>
        <v>0</v>
      </c>
      <c r="Z323" s="11"/>
      <c r="AA323" s="13">
        <f t="shared" si="84"/>
        <v>0</v>
      </c>
      <c r="AB323" s="12">
        <f t="shared" si="85"/>
        <v>0</v>
      </c>
      <c r="AC323" s="14">
        <f t="shared" si="73"/>
        <v>0</v>
      </c>
      <c r="AE323" s="19">
        <f t="shared" si="86"/>
        <v>0</v>
      </c>
      <c r="AF323" s="19"/>
      <c r="AG323" s="17"/>
      <c r="AK323" s="7"/>
      <c r="AL323" s="108">
        <f t="shared" si="74"/>
        <v>0</v>
      </c>
      <c r="AM323" s="108">
        <f t="shared" si="75"/>
        <v>0</v>
      </c>
      <c r="AN323" s="113"/>
    </row>
    <row r="324" spans="2:40" x14ac:dyDescent="0.2">
      <c r="B324" s="7"/>
      <c r="C324" s="8"/>
      <c r="D324" s="8"/>
      <c r="E324" s="9"/>
      <c r="F324" s="6"/>
      <c r="G324" s="8"/>
      <c r="H324" s="32"/>
      <c r="I324" s="10" t="str">
        <f t="shared" si="72"/>
        <v>21</v>
      </c>
      <c r="J324" s="11">
        <v>1</v>
      </c>
      <c r="K324" s="11"/>
      <c r="L324" s="11"/>
      <c r="M324" s="11">
        <f t="shared" si="76"/>
        <v>0</v>
      </c>
      <c r="N324" s="11"/>
      <c r="O324" s="11">
        <f t="shared" si="77"/>
        <v>0</v>
      </c>
      <c r="P324" s="11"/>
      <c r="Q324" s="11"/>
      <c r="R324" s="11"/>
      <c r="S324" s="11">
        <f t="shared" si="78"/>
        <v>0</v>
      </c>
      <c r="T324" s="11">
        <f t="shared" si="79"/>
        <v>1666.6666666666667</v>
      </c>
      <c r="U324" s="11">
        <f t="shared" si="80"/>
        <v>0</v>
      </c>
      <c r="V324" s="24">
        <f t="shared" si="81"/>
        <v>0</v>
      </c>
      <c r="W324" s="11">
        <f>IF(V324&lt;=40000,0,
IF(V324&lt;=55000,(V324-40000)*10%,
IF(V324&lt;=70000,(V324-55000)*15%+1500,
IF(V324&lt;=200000,(V324-70000)*20%+1500+2250,
IF(V324&lt;=400000,(V324-200000)*22.5%+1500+2250+26000,
IF(V324&lt;=600000,(V324-400000)*25%+1500+2250+26000+45000,
IF(AND(V324&gt;600000,V324&lt;=1200000),(V324-400000)*25%+1500+2250+26000+45000
+IFERROR(LOOKUP(V324,{600001;700001;800001;900001},{4000;6750;10250;15250}),0),IF(V324&gt;1200000,((V324-1200000)*27.5%)+300000,0)
)))))))</f>
        <v>0</v>
      </c>
      <c r="X324" s="12">
        <f t="shared" si="82"/>
        <v>0</v>
      </c>
      <c r="Y324" s="12">
        <f t="shared" si="83"/>
        <v>0</v>
      </c>
      <c r="Z324" s="11"/>
      <c r="AA324" s="13">
        <f t="shared" si="84"/>
        <v>0</v>
      </c>
      <c r="AB324" s="12">
        <f t="shared" si="85"/>
        <v>0</v>
      </c>
      <c r="AC324" s="14">
        <f t="shared" si="73"/>
        <v>0</v>
      </c>
      <c r="AE324" s="19">
        <f t="shared" si="86"/>
        <v>0</v>
      </c>
      <c r="AF324" s="19"/>
      <c r="AG324" s="17"/>
      <c r="AK324" s="7"/>
      <c r="AL324" s="108">
        <f t="shared" si="74"/>
        <v>0</v>
      </c>
      <c r="AM324" s="108">
        <f t="shared" si="75"/>
        <v>0</v>
      </c>
      <c r="AN324" s="113"/>
    </row>
    <row r="325" spans="2:40" x14ac:dyDescent="0.2">
      <c r="B325" s="7"/>
      <c r="C325" s="8"/>
      <c r="D325" s="8"/>
      <c r="E325" s="9"/>
      <c r="F325" s="6"/>
      <c r="G325" s="8"/>
      <c r="H325" s="32"/>
      <c r="I325" s="10" t="str">
        <f t="shared" ref="I325:I388" si="87">IF(G325&gt;0,"1","21")</f>
        <v>21</v>
      </c>
      <c r="J325" s="11">
        <v>1</v>
      </c>
      <c r="K325" s="11"/>
      <c r="L325" s="11"/>
      <c r="M325" s="11">
        <f t="shared" si="76"/>
        <v>0</v>
      </c>
      <c r="N325" s="11"/>
      <c r="O325" s="11">
        <f t="shared" si="77"/>
        <v>0</v>
      </c>
      <c r="P325" s="11"/>
      <c r="Q325" s="11"/>
      <c r="R325" s="11"/>
      <c r="S325" s="11">
        <f t="shared" si="78"/>
        <v>0</v>
      </c>
      <c r="T325" s="11">
        <f t="shared" si="79"/>
        <v>1666.6666666666667</v>
      </c>
      <c r="U325" s="11">
        <f t="shared" si="80"/>
        <v>0</v>
      </c>
      <c r="V325" s="24">
        <f t="shared" si="81"/>
        <v>0</v>
      </c>
      <c r="W325" s="11">
        <f>IF(V325&lt;=40000,0,
IF(V325&lt;=55000,(V325-40000)*10%,
IF(V325&lt;=70000,(V325-55000)*15%+1500,
IF(V325&lt;=200000,(V325-70000)*20%+1500+2250,
IF(V325&lt;=400000,(V325-200000)*22.5%+1500+2250+26000,
IF(V325&lt;=600000,(V325-400000)*25%+1500+2250+26000+45000,
IF(AND(V325&gt;600000,V325&lt;=1200000),(V325-400000)*25%+1500+2250+26000+45000
+IFERROR(LOOKUP(V325,{600001;700001;800001;900001},{4000;6750;10250;15250}),0),IF(V325&gt;1200000,((V325-1200000)*27.5%)+300000,0)
)))))))</f>
        <v>0</v>
      </c>
      <c r="X325" s="12">
        <f t="shared" si="82"/>
        <v>0</v>
      </c>
      <c r="Y325" s="12">
        <f t="shared" si="83"/>
        <v>0</v>
      </c>
      <c r="Z325" s="11"/>
      <c r="AA325" s="13">
        <f t="shared" si="84"/>
        <v>0</v>
      </c>
      <c r="AB325" s="12">
        <f t="shared" si="85"/>
        <v>0</v>
      </c>
      <c r="AC325" s="14">
        <f t="shared" ref="AC325:AC388" si="88">+M325-P325-Y325</f>
        <v>0</v>
      </c>
      <c r="AE325" s="19">
        <f t="shared" si="86"/>
        <v>0</v>
      </c>
      <c r="AF325" s="19"/>
      <c r="AG325" s="17"/>
      <c r="AK325" s="7"/>
      <c r="AL325" s="108">
        <f t="shared" ref="AL325:AL388" si="89">+AK325+AD325</f>
        <v>0</v>
      </c>
      <c r="AM325" s="108">
        <f t="shared" ref="AM325:AM388" si="90">+AL325-AC325</f>
        <v>0</v>
      </c>
      <c r="AN325" s="113"/>
    </row>
    <row r="326" spans="2:40" x14ac:dyDescent="0.2">
      <c r="B326" s="7"/>
      <c r="C326" s="8"/>
      <c r="D326" s="8"/>
      <c r="E326" s="9"/>
      <c r="F326" s="6"/>
      <c r="G326" s="8"/>
      <c r="H326" s="32"/>
      <c r="I326" s="10" t="str">
        <f t="shared" si="87"/>
        <v>21</v>
      </c>
      <c r="J326" s="11">
        <v>1</v>
      </c>
      <c r="K326" s="11"/>
      <c r="L326" s="11"/>
      <c r="M326" s="11">
        <f t="shared" si="76"/>
        <v>0</v>
      </c>
      <c r="N326" s="11"/>
      <c r="O326" s="11">
        <f t="shared" si="77"/>
        <v>0</v>
      </c>
      <c r="P326" s="11"/>
      <c r="Q326" s="11"/>
      <c r="R326" s="11"/>
      <c r="S326" s="11">
        <f t="shared" si="78"/>
        <v>0</v>
      </c>
      <c r="T326" s="11">
        <f t="shared" si="79"/>
        <v>1666.6666666666667</v>
      </c>
      <c r="U326" s="11">
        <f t="shared" si="80"/>
        <v>0</v>
      </c>
      <c r="V326" s="24">
        <f t="shared" si="81"/>
        <v>0</v>
      </c>
      <c r="W326" s="11">
        <f>IF(V326&lt;=40000,0,
IF(V326&lt;=55000,(V326-40000)*10%,
IF(V326&lt;=70000,(V326-55000)*15%+1500,
IF(V326&lt;=200000,(V326-70000)*20%+1500+2250,
IF(V326&lt;=400000,(V326-200000)*22.5%+1500+2250+26000,
IF(V326&lt;=600000,(V326-400000)*25%+1500+2250+26000+45000,
IF(AND(V326&gt;600000,V326&lt;=1200000),(V326-400000)*25%+1500+2250+26000+45000
+IFERROR(LOOKUP(V326,{600001;700001;800001;900001},{4000;6750;10250;15250}),0),IF(V326&gt;1200000,((V326-1200000)*27.5%)+300000,0)
)))))))</f>
        <v>0</v>
      </c>
      <c r="X326" s="12">
        <f t="shared" si="82"/>
        <v>0</v>
      </c>
      <c r="Y326" s="12">
        <f t="shared" si="83"/>
        <v>0</v>
      </c>
      <c r="Z326" s="11"/>
      <c r="AA326" s="13">
        <f t="shared" si="84"/>
        <v>0</v>
      </c>
      <c r="AB326" s="12">
        <f t="shared" si="85"/>
        <v>0</v>
      </c>
      <c r="AC326" s="14">
        <f t="shared" si="88"/>
        <v>0</v>
      </c>
      <c r="AE326" s="19">
        <f t="shared" si="86"/>
        <v>0</v>
      </c>
      <c r="AF326" s="19"/>
      <c r="AG326" s="17"/>
      <c r="AK326" s="7"/>
      <c r="AL326" s="108">
        <f t="shared" si="89"/>
        <v>0</v>
      </c>
      <c r="AM326" s="108">
        <f t="shared" si="90"/>
        <v>0</v>
      </c>
      <c r="AN326" s="113"/>
    </row>
    <row r="327" spans="2:40" x14ac:dyDescent="0.2">
      <c r="B327" s="7"/>
      <c r="C327" s="8"/>
      <c r="D327" s="8"/>
      <c r="E327" s="9"/>
      <c r="F327" s="6"/>
      <c r="G327" s="8"/>
      <c r="H327" s="32"/>
      <c r="I327" s="10" t="str">
        <f t="shared" si="87"/>
        <v>21</v>
      </c>
      <c r="J327" s="11">
        <v>1</v>
      </c>
      <c r="K327" s="11"/>
      <c r="L327" s="11"/>
      <c r="M327" s="11">
        <f t="shared" si="76"/>
        <v>0</v>
      </c>
      <c r="N327" s="11"/>
      <c r="O327" s="11">
        <f t="shared" si="77"/>
        <v>0</v>
      </c>
      <c r="P327" s="11"/>
      <c r="Q327" s="11"/>
      <c r="R327" s="11"/>
      <c r="S327" s="11">
        <f t="shared" si="78"/>
        <v>0</v>
      </c>
      <c r="T327" s="11">
        <f t="shared" si="79"/>
        <v>1666.6666666666667</v>
      </c>
      <c r="U327" s="11">
        <f t="shared" si="80"/>
        <v>0</v>
      </c>
      <c r="V327" s="24">
        <f t="shared" si="81"/>
        <v>0</v>
      </c>
      <c r="W327" s="11">
        <f>IF(V327&lt;=40000,0,
IF(V327&lt;=55000,(V327-40000)*10%,
IF(V327&lt;=70000,(V327-55000)*15%+1500,
IF(V327&lt;=200000,(V327-70000)*20%+1500+2250,
IF(V327&lt;=400000,(V327-200000)*22.5%+1500+2250+26000,
IF(V327&lt;=600000,(V327-400000)*25%+1500+2250+26000+45000,
IF(AND(V327&gt;600000,V327&lt;=1200000),(V327-400000)*25%+1500+2250+26000+45000
+IFERROR(LOOKUP(V327,{600001;700001;800001;900001},{4000;6750;10250;15250}),0),IF(V327&gt;1200000,((V327-1200000)*27.5%)+300000,0)
)))))))</f>
        <v>0</v>
      </c>
      <c r="X327" s="12">
        <f t="shared" si="82"/>
        <v>0</v>
      </c>
      <c r="Y327" s="12">
        <f t="shared" si="83"/>
        <v>0</v>
      </c>
      <c r="Z327" s="11"/>
      <c r="AA327" s="13">
        <f t="shared" si="84"/>
        <v>0</v>
      </c>
      <c r="AB327" s="12">
        <f t="shared" si="85"/>
        <v>0</v>
      </c>
      <c r="AC327" s="14">
        <f t="shared" si="88"/>
        <v>0</v>
      </c>
      <c r="AE327" s="19">
        <f t="shared" si="86"/>
        <v>0</v>
      </c>
      <c r="AF327" s="19"/>
      <c r="AG327" s="17"/>
      <c r="AK327" s="7"/>
      <c r="AL327" s="108">
        <f t="shared" si="89"/>
        <v>0</v>
      </c>
      <c r="AM327" s="108">
        <f t="shared" si="90"/>
        <v>0</v>
      </c>
      <c r="AN327" s="113"/>
    </row>
    <row r="328" spans="2:40" x14ac:dyDescent="0.2">
      <c r="B328" s="7"/>
      <c r="C328" s="8"/>
      <c r="D328" s="8"/>
      <c r="E328" s="9"/>
      <c r="F328" s="6"/>
      <c r="G328" s="8"/>
      <c r="H328" s="32"/>
      <c r="I328" s="10" t="str">
        <f t="shared" si="87"/>
        <v>21</v>
      </c>
      <c r="J328" s="11">
        <v>1</v>
      </c>
      <c r="K328" s="11"/>
      <c r="L328" s="11"/>
      <c r="M328" s="11">
        <f t="shared" si="76"/>
        <v>0</v>
      </c>
      <c r="N328" s="11"/>
      <c r="O328" s="11">
        <f t="shared" si="77"/>
        <v>0</v>
      </c>
      <c r="P328" s="11"/>
      <c r="Q328" s="11"/>
      <c r="R328" s="11"/>
      <c r="S328" s="11">
        <f t="shared" si="78"/>
        <v>0</v>
      </c>
      <c r="T328" s="11">
        <f t="shared" si="79"/>
        <v>1666.6666666666667</v>
      </c>
      <c r="U328" s="11">
        <f t="shared" si="80"/>
        <v>0</v>
      </c>
      <c r="V328" s="24">
        <f t="shared" si="81"/>
        <v>0</v>
      </c>
      <c r="W328" s="11">
        <f>IF(V328&lt;=40000,0,
IF(V328&lt;=55000,(V328-40000)*10%,
IF(V328&lt;=70000,(V328-55000)*15%+1500,
IF(V328&lt;=200000,(V328-70000)*20%+1500+2250,
IF(V328&lt;=400000,(V328-200000)*22.5%+1500+2250+26000,
IF(V328&lt;=600000,(V328-400000)*25%+1500+2250+26000+45000,
IF(AND(V328&gt;600000,V328&lt;=1200000),(V328-400000)*25%+1500+2250+26000+45000
+IFERROR(LOOKUP(V328,{600001;700001;800001;900001},{4000;6750;10250;15250}),0),IF(V328&gt;1200000,((V328-1200000)*27.5%)+300000,0)
)))))))</f>
        <v>0</v>
      </c>
      <c r="X328" s="12">
        <f t="shared" si="82"/>
        <v>0</v>
      </c>
      <c r="Y328" s="12">
        <f t="shared" si="83"/>
        <v>0</v>
      </c>
      <c r="Z328" s="11"/>
      <c r="AA328" s="13">
        <f t="shared" si="84"/>
        <v>0</v>
      </c>
      <c r="AB328" s="12">
        <f t="shared" si="85"/>
        <v>0</v>
      </c>
      <c r="AC328" s="14">
        <f t="shared" si="88"/>
        <v>0</v>
      </c>
      <c r="AE328" s="19">
        <f t="shared" si="86"/>
        <v>0</v>
      </c>
      <c r="AF328" s="19"/>
      <c r="AG328" s="17"/>
      <c r="AK328" s="7"/>
      <c r="AL328" s="108">
        <f t="shared" si="89"/>
        <v>0</v>
      </c>
      <c r="AM328" s="108">
        <f t="shared" si="90"/>
        <v>0</v>
      </c>
      <c r="AN328" s="113"/>
    </row>
    <row r="329" spans="2:40" x14ac:dyDescent="0.2">
      <c r="B329" s="7"/>
      <c r="C329" s="8"/>
      <c r="D329" s="8"/>
      <c r="E329" s="9"/>
      <c r="F329" s="6"/>
      <c r="G329" s="8"/>
      <c r="H329" s="32"/>
      <c r="I329" s="10" t="str">
        <f t="shared" si="87"/>
        <v>21</v>
      </c>
      <c r="J329" s="11">
        <v>1</v>
      </c>
      <c r="K329" s="11"/>
      <c r="L329" s="11"/>
      <c r="M329" s="11">
        <f t="shared" si="76"/>
        <v>0</v>
      </c>
      <c r="N329" s="11"/>
      <c r="O329" s="11">
        <f t="shared" si="77"/>
        <v>0</v>
      </c>
      <c r="P329" s="11"/>
      <c r="Q329" s="11"/>
      <c r="R329" s="11"/>
      <c r="S329" s="11">
        <f t="shared" si="78"/>
        <v>0</v>
      </c>
      <c r="T329" s="11">
        <f t="shared" si="79"/>
        <v>1666.6666666666667</v>
      </c>
      <c r="U329" s="11">
        <f t="shared" si="80"/>
        <v>0</v>
      </c>
      <c r="V329" s="24">
        <f t="shared" si="81"/>
        <v>0</v>
      </c>
      <c r="W329" s="11">
        <f>IF(V329&lt;=40000,0,
IF(V329&lt;=55000,(V329-40000)*10%,
IF(V329&lt;=70000,(V329-55000)*15%+1500,
IF(V329&lt;=200000,(V329-70000)*20%+1500+2250,
IF(V329&lt;=400000,(V329-200000)*22.5%+1500+2250+26000,
IF(V329&lt;=600000,(V329-400000)*25%+1500+2250+26000+45000,
IF(AND(V329&gt;600000,V329&lt;=1200000),(V329-400000)*25%+1500+2250+26000+45000
+IFERROR(LOOKUP(V329,{600001;700001;800001;900001},{4000;6750;10250;15250}),0),IF(V329&gt;1200000,((V329-1200000)*27.5%)+300000,0)
)))))))</f>
        <v>0</v>
      </c>
      <c r="X329" s="12">
        <f t="shared" si="82"/>
        <v>0</v>
      </c>
      <c r="Y329" s="12">
        <f t="shared" si="83"/>
        <v>0</v>
      </c>
      <c r="Z329" s="11"/>
      <c r="AA329" s="13">
        <f t="shared" si="84"/>
        <v>0</v>
      </c>
      <c r="AB329" s="12">
        <f t="shared" si="85"/>
        <v>0</v>
      </c>
      <c r="AC329" s="14">
        <f t="shared" si="88"/>
        <v>0</v>
      </c>
      <c r="AE329" s="19">
        <f t="shared" si="86"/>
        <v>0</v>
      </c>
      <c r="AF329" s="19"/>
      <c r="AG329" s="17"/>
      <c r="AK329" s="7"/>
      <c r="AL329" s="108">
        <f t="shared" si="89"/>
        <v>0</v>
      </c>
      <c r="AM329" s="108">
        <f t="shared" si="90"/>
        <v>0</v>
      </c>
      <c r="AN329" s="113"/>
    </row>
    <row r="330" spans="2:40" x14ac:dyDescent="0.2">
      <c r="B330" s="7"/>
      <c r="C330" s="8"/>
      <c r="D330" s="8"/>
      <c r="E330" s="9"/>
      <c r="F330" s="6"/>
      <c r="G330" s="8"/>
      <c r="H330" s="32"/>
      <c r="I330" s="10" t="str">
        <f t="shared" si="87"/>
        <v>21</v>
      </c>
      <c r="J330" s="11">
        <v>1</v>
      </c>
      <c r="K330" s="11"/>
      <c r="L330" s="11"/>
      <c r="M330" s="11">
        <f t="shared" si="76"/>
        <v>0</v>
      </c>
      <c r="N330" s="11"/>
      <c r="O330" s="11">
        <f t="shared" si="77"/>
        <v>0</v>
      </c>
      <c r="P330" s="11"/>
      <c r="Q330" s="11"/>
      <c r="R330" s="11"/>
      <c r="S330" s="11">
        <f t="shared" si="78"/>
        <v>0</v>
      </c>
      <c r="T330" s="11">
        <f t="shared" si="79"/>
        <v>1666.6666666666667</v>
      </c>
      <c r="U330" s="11">
        <f t="shared" si="80"/>
        <v>0</v>
      </c>
      <c r="V330" s="24">
        <f t="shared" si="81"/>
        <v>0</v>
      </c>
      <c r="W330" s="11">
        <f>IF(V330&lt;=40000,0,
IF(V330&lt;=55000,(V330-40000)*10%,
IF(V330&lt;=70000,(V330-55000)*15%+1500,
IF(V330&lt;=200000,(V330-70000)*20%+1500+2250,
IF(V330&lt;=400000,(V330-200000)*22.5%+1500+2250+26000,
IF(V330&lt;=600000,(V330-400000)*25%+1500+2250+26000+45000,
IF(AND(V330&gt;600000,V330&lt;=1200000),(V330-400000)*25%+1500+2250+26000+45000
+IFERROR(LOOKUP(V330,{600001;700001;800001;900001},{4000;6750;10250;15250}),0),IF(V330&gt;1200000,((V330-1200000)*27.5%)+300000,0)
)))))))</f>
        <v>0</v>
      </c>
      <c r="X330" s="12">
        <f t="shared" si="82"/>
        <v>0</v>
      </c>
      <c r="Y330" s="12">
        <f t="shared" si="83"/>
        <v>0</v>
      </c>
      <c r="Z330" s="11"/>
      <c r="AA330" s="13">
        <f t="shared" si="84"/>
        <v>0</v>
      </c>
      <c r="AB330" s="12">
        <f t="shared" si="85"/>
        <v>0</v>
      </c>
      <c r="AC330" s="14">
        <f t="shared" si="88"/>
        <v>0</v>
      </c>
      <c r="AE330" s="19">
        <f t="shared" si="86"/>
        <v>0</v>
      </c>
      <c r="AF330" s="19"/>
      <c r="AG330" s="17"/>
      <c r="AK330" s="7"/>
      <c r="AL330" s="108">
        <f t="shared" si="89"/>
        <v>0</v>
      </c>
      <c r="AM330" s="108">
        <f t="shared" si="90"/>
        <v>0</v>
      </c>
      <c r="AN330" s="113"/>
    </row>
    <row r="331" spans="2:40" x14ac:dyDescent="0.2">
      <c r="B331" s="7"/>
      <c r="C331" s="8"/>
      <c r="D331" s="8"/>
      <c r="E331" s="9"/>
      <c r="F331" s="6"/>
      <c r="G331" s="8"/>
      <c r="H331" s="32"/>
      <c r="I331" s="10" t="str">
        <f t="shared" si="87"/>
        <v>21</v>
      </c>
      <c r="J331" s="11">
        <v>1</v>
      </c>
      <c r="K331" s="11"/>
      <c r="L331" s="11"/>
      <c r="M331" s="11">
        <f t="shared" si="76"/>
        <v>0</v>
      </c>
      <c r="N331" s="11"/>
      <c r="O331" s="11">
        <f t="shared" si="77"/>
        <v>0</v>
      </c>
      <c r="P331" s="11"/>
      <c r="Q331" s="11"/>
      <c r="R331" s="11"/>
      <c r="S331" s="11">
        <f t="shared" si="78"/>
        <v>0</v>
      </c>
      <c r="T331" s="11">
        <f t="shared" si="79"/>
        <v>1666.6666666666667</v>
      </c>
      <c r="U331" s="11">
        <f t="shared" si="80"/>
        <v>0</v>
      </c>
      <c r="V331" s="24">
        <f t="shared" si="81"/>
        <v>0</v>
      </c>
      <c r="W331" s="11">
        <f>IF(V331&lt;=40000,0,
IF(V331&lt;=55000,(V331-40000)*10%,
IF(V331&lt;=70000,(V331-55000)*15%+1500,
IF(V331&lt;=200000,(V331-70000)*20%+1500+2250,
IF(V331&lt;=400000,(V331-200000)*22.5%+1500+2250+26000,
IF(V331&lt;=600000,(V331-400000)*25%+1500+2250+26000+45000,
IF(AND(V331&gt;600000,V331&lt;=1200000),(V331-400000)*25%+1500+2250+26000+45000
+IFERROR(LOOKUP(V331,{600001;700001;800001;900001},{4000;6750;10250;15250}),0),IF(V331&gt;1200000,((V331-1200000)*27.5%)+300000,0)
)))))))</f>
        <v>0</v>
      </c>
      <c r="X331" s="12">
        <f t="shared" si="82"/>
        <v>0</v>
      </c>
      <c r="Y331" s="12">
        <f t="shared" si="83"/>
        <v>0</v>
      </c>
      <c r="Z331" s="11"/>
      <c r="AA331" s="13">
        <f t="shared" si="84"/>
        <v>0</v>
      </c>
      <c r="AB331" s="12">
        <f t="shared" si="85"/>
        <v>0</v>
      </c>
      <c r="AC331" s="14">
        <f t="shared" si="88"/>
        <v>0</v>
      </c>
      <c r="AE331" s="19">
        <f t="shared" si="86"/>
        <v>0</v>
      </c>
      <c r="AF331" s="19"/>
      <c r="AG331" s="17"/>
      <c r="AK331" s="7"/>
      <c r="AL331" s="108">
        <f t="shared" si="89"/>
        <v>0</v>
      </c>
      <c r="AM331" s="108">
        <f t="shared" si="90"/>
        <v>0</v>
      </c>
      <c r="AN331" s="113"/>
    </row>
    <row r="332" spans="2:40" x14ac:dyDescent="0.2">
      <c r="B332" s="7"/>
      <c r="C332" s="8"/>
      <c r="D332" s="8"/>
      <c r="E332" s="9"/>
      <c r="F332" s="6"/>
      <c r="G332" s="8"/>
      <c r="H332" s="32"/>
      <c r="I332" s="10" t="str">
        <f t="shared" si="87"/>
        <v>21</v>
      </c>
      <c r="J332" s="11">
        <v>1</v>
      </c>
      <c r="K332" s="11"/>
      <c r="L332" s="11"/>
      <c r="M332" s="11">
        <f t="shared" si="76"/>
        <v>0</v>
      </c>
      <c r="N332" s="11"/>
      <c r="O332" s="11">
        <f t="shared" si="77"/>
        <v>0</v>
      </c>
      <c r="P332" s="11"/>
      <c r="Q332" s="11"/>
      <c r="R332" s="11"/>
      <c r="S332" s="11">
        <f t="shared" si="78"/>
        <v>0</v>
      </c>
      <c r="T332" s="11">
        <f t="shared" si="79"/>
        <v>1666.6666666666667</v>
      </c>
      <c r="U332" s="11">
        <f t="shared" si="80"/>
        <v>0</v>
      </c>
      <c r="V332" s="24">
        <f t="shared" si="81"/>
        <v>0</v>
      </c>
      <c r="W332" s="11">
        <f>IF(V332&lt;=40000,0,
IF(V332&lt;=55000,(V332-40000)*10%,
IF(V332&lt;=70000,(V332-55000)*15%+1500,
IF(V332&lt;=200000,(V332-70000)*20%+1500+2250,
IF(V332&lt;=400000,(V332-200000)*22.5%+1500+2250+26000,
IF(V332&lt;=600000,(V332-400000)*25%+1500+2250+26000+45000,
IF(AND(V332&gt;600000,V332&lt;=1200000),(V332-400000)*25%+1500+2250+26000+45000
+IFERROR(LOOKUP(V332,{600001;700001;800001;900001},{4000;6750;10250;15250}),0),IF(V332&gt;1200000,((V332-1200000)*27.5%)+300000,0)
)))))))</f>
        <v>0</v>
      </c>
      <c r="X332" s="12">
        <f t="shared" si="82"/>
        <v>0</v>
      </c>
      <c r="Y332" s="12">
        <f t="shared" si="83"/>
        <v>0</v>
      </c>
      <c r="Z332" s="11"/>
      <c r="AA332" s="13">
        <f t="shared" si="84"/>
        <v>0</v>
      </c>
      <c r="AB332" s="12">
        <f t="shared" si="85"/>
        <v>0</v>
      </c>
      <c r="AC332" s="14">
        <f t="shared" si="88"/>
        <v>0</v>
      </c>
      <c r="AE332" s="19">
        <f t="shared" si="86"/>
        <v>0</v>
      </c>
      <c r="AF332" s="19"/>
      <c r="AG332" s="17"/>
      <c r="AK332" s="7"/>
      <c r="AL332" s="108">
        <f t="shared" si="89"/>
        <v>0</v>
      </c>
      <c r="AM332" s="108">
        <f t="shared" si="90"/>
        <v>0</v>
      </c>
      <c r="AN332" s="113"/>
    </row>
    <row r="333" spans="2:40" x14ac:dyDescent="0.2">
      <c r="B333" s="7"/>
      <c r="C333" s="8"/>
      <c r="D333" s="8"/>
      <c r="E333" s="9"/>
      <c r="F333" s="6"/>
      <c r="G333" s="8"/>
      <c r="H333" s="32"/>
      <c r="I333" s="10" t="str">
        <f t="shared" si="87"/>
        <v>21</v>
      </c>
      <c r="J333" s="11">
        <v>1</v>
      </c>
      <c r="K333" s="11"/>
      <c r="L333" s="11"/>
      <c r="M333" s="11">
        <f t="shared" si="76"/>
        <v>0</v>
      </c>
      <c r="N333" s="11"/>
      <c r="O333" s="11">
        <f t="shared" si="77"/>
        <v>0</v>
      </c>
      <c r="P333" s="11"/>
      <c r="Q333" s="11"/>
      <c r="R333" s="11"/>
      <c r="S333" s="11">
        <f t="shared" si="78"/>
        <v>0</v>
      </c>
      <c r="T333" s="11">
        <f t="shared" si="79"/>
        <v>1666.6666666666667</v>
      </c>
      <c r="U333" s="11">
        <f t="shared" si="80"/>
        <v>0</v>
      </c>
      <c r="V333" s="24">
        <f t="shared" si="81"/>
        <v>0</v>
      </c>
      <c r="W333" s="11">
        <f>IF(V333&lt;=40000,0,
IF(V333&lt;=55000,(V333-40000)*10%,
IF(V333&lt;=70000,(V333-55000)*15%+1500,
IF(V333&lt;=200000,(V333-70000)*20%+1500+2250,
IF(V333&lt;=400000,(V333-200000)*22.5%+1500+2250+26000,
IF(V333&lt;=600000,(V333-400000)*25%+1500+2250+26000+45000,
IF(AND(V333&gt;600000,V333&lt;=1200000),(V333-400000)*25%+1500+2250+26000+45000
+IFERROR(LOOKUP(V333,{600001;700001;800001;900001},{4000;6750;10250;15250}),0),IF(V333&gt;1200000,((V333-1200000)*27.5%)+300000,0)
)))))))</f>
        <v>0</v>
      </c>
      <c r="X333" s="12">
        <f t="shared" si="82"/>
        <v>0</v>
      </c>
      <c r="Y333" s="12">
        <f t="shared" si="83"/>
        <v>0</v>
      </c>
      <c r="Z333" s="11"/>
      <c r="AA333" s="13">
        <f t="shared" si="84"/>
        <v>0</v>
      </c>
      <c r="AB333" s="12">
        <f t="shared" si="85"/>
        <v>0</v>
      </c>
      <c r="AC333" s="14">
        <f t="shared" si="88"/>
        <v>0</v>
      </c>
      <c r="AE333" s="19">
        <f t="shared" si="86"/>
        <v>0</v>
      </c>
      <c r="AF333" s="19"/>
      <c r="AG333" s="17"/>
      <c r="AK333" s="7"/>
      <c r="AL333" s="108">
        <f t="shared" si="89"/>
        <v>0</v>
      </c>
      <c r="AM333" s="108">
        <f t="shared" si="90"/>
        <v>0</v>
      </c>
      <c r="AN333" s="113"/>
    </row>
    <row r="334" spans="2:40" x14ac:dyDescent="0.2">
      <c r="B334" s="7"/>
      <c r="C334" s="8"/>
      <c r="D334" s="8"/>
      <c r="E334" s="9"/>
      <c r="F334" s="6"/>
      <c r="G334" s="8"/>
      <c r="H334" s="32"/>
      <c r="I334" s="10" t="str">
        <f t="shared" si="87"/>
        <v>21</v>
      </c>
      <c r="J334" s="11">
        <v>1</v>
      </c>
      <c r="K334" s="11"/>
      <c r="L334" s="11"/>
      <c r="M334" s="11">
        <f t="shared" si="76"/>
        <v>0</v>
      </c>
      <c r="N334" s="11"/>
      <c r="O334" s="11">
        <f t="shared" si="77"/>
        <v>0</v>
      </c>
      <c r="P334" s="11"/>
      <c r="Q334" s="11"/>
      <c r="R334" s="11"/>
      <c r="S334" s="11">
        <f t="shared" si="78"/>
        <v>0</v>
      </c>
      <c r="T334" s="11">
        <f t="shared" si="79"/>
        <v>1666.6666666666667</v>
      </c>
      <c r="U334" s="11">
        <f t="shared" si="80"/>
        <v>0</v>
      </c>
      <c r="V334" s="24">
        <f t="shared" si="81"/>
        <v>0</v>
      </c>
      <c r="W334" s="11">
        <f>IF(V334&lt;=40000,0,
IF(V334&lt;=55000,(V334-40000)*10%,
IF(V334&lt;=70000,(V334-55000)*15%+1500,
IF(V334&lt;=200000,(V334-70000)*20%+1500+2250,
IF(V334&lt;=400000,(V334-200000)*22.5%+1500+2250+26000,
IF(V334&lt;=600000,(V334-400000)*25%+1500+2250+26000+45000,
IF(AND(V334&gt;600000,V334&lt;=1200000),(V334-400000)*25%+1500+2250+26000+45000
+IFERROR(LOOKUP(V334,{600001;700001;800001;900001},{4000;6750;10250;15250}),0),IF(V334&gt;1200000,((V334-1200000)*27.5%)+300000,0)
)))))))</f>
        <v>0</v>
      </c>
      <c r="X334" s="12">
        <f t="shared" si="82"/>
        <v>0</v>
      </c>
      <c r="Y334" s="12">
        <f t="shared" si="83"/>
        <v>0</v>
      </c>
      <c r="Z334" s="11"/>
      <c r="AA334" s="13">
        <f t="shared" si="84"/>
        <v>0</v>
      </c>
      <c r="AB334" s="12">
        <f t="shared" si="85"/>
        <v>0</v>
      </c>
      <c r="AC334" s="14">
        <f t="shared" si="88"/>
        <v>0</v>
      </c>
      <c r="AE334" s="19">
        <f t="shared" si="86"/>
        <v>0</v>
      </c>
      <c r="AF334" s="19"/>
      <c r="AG334" s="17"/>
      <c r="AK334" s="7"/>
      <c r="AL334" s="108">
        <f t="shared" si="89"/>
        <v>0</v>
      </c>
      <c r="AM334" s="108">
        <f t="shared" si="90"/>
        <v>0</v>
      </c>
      <c r="AN334" s="113"/>
    </row>
    <row r="335" spans="2:40" x14ac:dyDescent="0.2">
      <c r="B335" s="7"/>
      <c r="C335" s="8"/>
      <c r="D335" s="8"/>
      <c r="E335" s="9"/>
      <c r="F335" s="6"/>
      <c r="G335" s="8"/>
      <c r="H335" s="32"/>
      <c r="I335" s="10" t="str">
        <f t="shared" si="87"/>
        <v>21</v>
      </c>
      <c r="J335" s="11">
        <v>1</v>
      </c>
      <c r="K335" s="11"/>
      <c r="L335" s="11"/>
      <c r="M335" s="11">
        <f t="shared" si="76"/>
        <v>0</v>
      </c>
      <c r="N335" s="11"/>
      <c r="O335" s="11">
        <f t="shared" si="77"/>
        <v>0</v>
      </c>
      <c r="P335" s="11"/>
      <c r="Q335" s="11"/>
      <c r="R335" s="11"/>
      <c r="S335" s="11">
        <f t="shared" si="78"/>
        <v>0</v>
      </c>
      <c r="T335" s="11">
        <f t="shared" si="79"/>
        <v>1666.6666666666667</v>
      </c>
      <c r="U335" s="11">
        <f t="shared" si="80"/>
        <v>0</v>
      </c>
      <c r="V335" s="24">
        <f t="shared" si="81"/>
        <v>0</v>
      </c>
      <c r="W335" s="11">
        <f>IF(V335&lt;=40000,0,
IF(V335&lt;=55000,(V335-40000)*10%,
IF(V335&lt;=70000,(V335-55000)*15%+1500,
IF(V335&lt;=200000,(V335-70000)*20%+1500+2250,
IF(V335&lt;=400000,(V335-200000)*22.5%+1500+2250+26000,
IF(V335&lt;=600000,(V335-400000)*25%+1500+2250+26000+45000,
IF(AND(V335&gt;600000,V335&lt;=1200000),(V335-400000)*25%+1500+2250+26000+45000
+IFERROR(LOOKUP(V335,{600001;700001;800001;900001},{4000;6750;10250;15250}),0),IF(V335&gt;1200000,((V335-1200000)*27.5%)+300000,0)
)))))))</f>
        <v>0</v>
      </c>
      <c r="X335" s="12">
        <f t="shared" si="82"/>
        <v>0</v>
      </c>
      <c r="Y335" s="12">
        <f t="shared" si="83"/>
        <v>0</v>
      </c>
      <c r="Z335" s="11"/>
      <c r="AA335" s="13">
        <f t="shared" si="84"/>
        <v>0</v>
      </c>
      <c r="AB335" s="12">
        <f t="shared" si="85"/>
        <v>0</v>
      </c>
      <c r="AC335" s="14">
        <f t="shared" si="88"/>
        <v>0</v>
      </c>
      <c r="AE335" s="19">
        <f t="shared" si="86"/>
        <v>0</v>
      </c>
      <c r="AF335" s="19"/>
      <c r="AG335" s="17"/>
      <c r="AK335" s="7"/>
      <c r="AL335" s="108">
        <f t="shared" si="89"/>
        <v>0</v>
      </c>
      <c r="AM335" s="108">
        <f t="shared" si="90"/>
        <v>0</v>
      </c>
      <c r="AN335" s="113"/>
    </row>
    <row r="336" spans="2:40" x14ac:dyDescent="0.2">
      <c r="B336" s="7"/>
      <c r="C336" s="8"/>
      <c r="D336" s="8"/>
      <c r="E336" s="9"/>
      <c r="F336" s="6"/>
      <c r="G336" s="8"/>
      <c r="H336" s="32"/>
      <c r="I336" s="10" t="str">
        <f t="shared" si="87"/>
        <v>21</v>
      </c>
      <c r="J336" s="11">
        <v>1</v>
      </c>
      <c r="K336" s="11"/>
      <c r="L336" s="11"/>
      <c r="M336" s="11">
        <f t="shared" si="76"/>
        <v>0</v>
      </c>
      <c r="N336" s="11"/>
      <c r="O336" s="11">
        <f t="shared" si="77"/>
        <v>0</v>
      </c>
      <c r="P336" s="11"/>
      <c r="Q336" s="11"/>
      <c r="R336" s="11"/>
      <c r="S336" s="11">
        <f t="shared" si="78"/>
        <v>0</v>
      </c>
      <c r="T336" s="11">
        <f t="shared" si="79"/>
        <v>1666.6666666666667</v>
      </c>
      <c r="U336" s="11">
        <f t="shared" si="80"/>
        <v>0</v>
      </c>
      <c r="V336" s="24">
        <f t="shared" si="81"/>
        <v>0</v>
      </c>
      <c r="W336" s="11">
        <f>IF(V336&lt;=40000,0,
IF(V336&lt;=55000,(V336-40000)*10%,
IF(V336&lt;=70000,(V336-55000)*15%+1500,
IF(V336&lt;=200000,(V336-70000)*20%+1500+2250,
IF(V336&lt;=400000,(V336-200000)*22.5%+1500+2250+26000,
IF(V336&lt;=600000,(V336-400000)*25%+1500+2250+26000+45000,
IF(AND(V336&gt;600000,V336&lt;=1200000),(V336-400000)*25%+1500+2250+26000+45000
+IFERROR(LOOKUP(V336,{600001;700001;800001;900001},{4000;6750;10250;15250}),0),IF(V336&gt;1200000,((V336-1200000)*27.5%)+300000,0)
)))))))</f>
        <v>0</v>
      </c>
      <c r="X336" s="12">
        <f t="shared" si="82"/>
        <v>0</v>
      </c>
      <c r="Y336" s="12">
        <f t="shared" si="83"/>
        <v>0</v>
      </c>
      <c r="Z336" s="11"/>
      <c r="AA336" s="13">
        <f t="shared" si="84"/>
        <v>0</v>
      </c>
      <c r="AB336" s="12">
        <f t="shared" si="85"/>
        <v>0</v>
      </c>
      <c r="AC336" s="14">
        <f t="shared" si="88"/>
        <v>0</v>
      </c>
      <c r="AE336" s="19">
        <f t="shared" si="86"/>
        <v>0</v>
      </c>
      <c r="AF336" s="19"/>
      <c r="AG336" s="17"/>
      <c r="AK336" s="7"/>
      <c r="AL336" s="108">
        <f t="shared" si="89"/>
        <v>0</v>
      </c>
      <c r="AM336" s="108">
        <f t="shared" si="90"/>
        <v>0</v>
      </c>
      <c r="AN336" s="113"/>
    </row>
    <row r="337" spans="2:40" x14ac:dyDescent="0.2">
      <c r="B337" s="7"/>
      <c r="C337" s="8"/>
      <c r="D337" s="8"/>
      <c r="E337" s="9"/>
      <c r="F337" s="6"/>
      <c r="G337" s="8"/>
      <c r="H337" s="32"/>
      <c r="I337" s="10" t="str">
        <f t="shared" si="87"/>
        <v>21</v>
      </c>
      <c r="J337" s="11">
        <v>1</v>
      </c>
      <c r="K337" s="11"/>
      <c r="L337" s="11"/>
      <c r="M337" s="11">
        <f t="shared" si="76"/>
        <v>0</v>
      </c>
      <c r="N337" s="11"/>
      <c r="O337" s="11">
        <f t="shared" si="77"/>
        <v>0</v>
      </c>
      <c r="P337" s="11"/>
      <c r="Q337" s="11"/>
      <c r="R337" s="11"/>
      <c r="S337" s="11">
        <f t="shared" si="78"/>
        <v>0</v>
      </c>
      <c r="T337" s="11">
        <f t="shared" si="79"/>
        <v>1666.6666666666667</v>
      </c>
      <c r="U337" s="11">
        <f t="shared" si="80"/>
        <v>0</v>
      </c>
      <c r="V337" s="24">
        <f t="shared" si="81"/>
        <v>0</v>
      </c>
      <c r="W337" s="11">
        <f>IF(V337&lt;=40000,0,
IF(V337&lt;=55000,(V337-40000)*10%,
IF(V337&lt;=70000,(V337-55000)*15%+1500,
IF(V337&lt;=200000,(V337-70000)*20%+1500+2250,
IF(V337&lt;=400000,(V337-200000)*22.5%+1500+2250+26000,
IF(V337&lt;=600000,(V337-400000)*25%+1500+2250+26000+45000,
IF(AND(V337&gt;600000,V337&lt;=1200000),(V337-400000)*25%+1500+2250+26000+45000
+IFERROR(LOOKUP(V337,{600001;700001;800001;900001},{4000;6750;10250;15250}),0),IF(V337&gt;1200000,((V337-1200000)*27.5%)+300000,0)
)))))))</f>
        <v>0</v>
      </c>
      <c r="X337" s="12">
        <f t="shared" si="82"/>
        <v>0</v>
      </c>
      <c r="Y337" s="12">
        <f t="shared" si="83"/>
        <v>0</v>
      </c>
      <c r="Z337" s="11"/>
      <c r="AA337" s="13">
        <f t="shared" si="84"/>
        <v>0</v>
      </c>
      <c r="AB337" s="12">
        <f t="shared" si="85"/>
        <v>0</v>
      </c>
      <c r="AC337" s="14">
        <f t="shared" si="88"/>
        <v>0</v>
      </c>
      <c r="AE337" s="19">
        <f t="shared" si="86"/>
        <v>0</v>
      </c>
      <c r="AF337" s="19"/>
      <c r="AG337" s="17"/>
      <c r="AK337" s="7"/>
      <c r="AL337" s="108">
        <f t="shared" si="89"/>
        <v>0</v>
      </c>
      <c r="AM337" s="108">
        <f t="shared" si="90"/>
        <v>0</v>
      </c>
      <c r="AN337" s="113"/>
    </row>
    <row r="338" spans="2:40" x14ac:dyDescent="0.2">
      <c r="B338" s="7"/>
      <c r="C338" s="8"/>
      <c r="D338" s="8"/>
      <c r="E338" s="9"/>
      <c r="F338" s="6"/>
      <c r="G338" s="8"/>
      <c r="H338" s="32"/>
      <c r="I338" s="10" t="str">
        <f t="shared" si="87"/>
        <v>21</v>
      </c>
      <c r="J338" s="11">
        <v>1</v>
      </c>
      <c r="K338" s="11"/>
      <c r="L338" s="11"/>
      <c r="M338" s="11">
        <f t="shared" si="76"/>
        <v>0</v>
      </c>
      <c r="N338" s="11"/>
      <c r="O338" s="11">
        <f t="shared" si="77"/>
        <v>0</v>
      </c>
      <c r="P338" s="11"/>
      <c r="Q338" s="11"/>
      <c r="R338" s="11"/>
      <c r="S338" s="11">
        <f t="shared" si="78"/>
        <v>0</v>
      </c>
      <c r="T338" s="11">
        <f t="shared" si="79"/>
        <v>1666.6666666666667</v>
      </c>
      <c r="U338" s="11">
        <f t="shared" si="80"/>
        <v>0</v>
      </c>
      <c r="V338" s="24">
        <f t="shared" si="81"/>
        <v>0</v>
      </c>
      <c r="W338" s="11">
        <f>IF(V338&lt;=40000,0,
IF(V338&lt;=55000,(V338-40000)*10%,
IF(V338&lt;=70000,(V338-55000)*15%+1500,
IF(V338&lt;=200000,(V338-70000)*20%+1500+2250,
IF(V338&lt;=400000,(V338-200000)*22.5%+1500+2250+26000,
IF(V338&lt;=600000,(V338-400000)*25%+1500+2250+26000+45000,
IF(AND(V338&gt;600000,V338&lt;=1200000),(V338-400000)*25%+1500+2250+26000+45000
+IFERROR(LOOKUP(V338,{600001;700001;800001;900001},{4000;6750;10250;15250}),0),IF(V338&gt;1200000,((V338-1200000)*27.5%)+300000,0)
)))))))</f>
        <v>0</v>
      </c>
      <c r="X338" s="12">
        <f t="shared" si="82"/>
        <v>0</v>
      </c>
      <c r="Y338" s="12">
        <f t="shared" si="83"/>
        <v>0</v>
      </c>
      <c r="Z338" s="11"/>
      <c r="AA338" s="13">
        <f t="shared" si="84"/>
        <v>0</v>
      </c>
      <c r="AB338" s="12">
        <f t="shared" si="85"/>
        <v>0</v>
      </c>
      <c r="AC338" s="14">
        <f t="shared" si="88"/>
        <v>0</v>
      </c>
      <c r="AE338" s="19">
        <f t="shared" si="86"/>
        <v>0</v>
      </c>
      <c r="AF338" s="19"/>
      <c r="AG338" s="17"/>
      <c r="AK338" s="7"/>
      <c r="AL338" s="108">
        <f t="shared" si="89"/>
        <v>0</v>
      </c>
      <c r="AM338" s="108">
        <f t="shared" si="90"/>
        <v>0</v>
      </c>
      <c r="AN338" s="113"/>
    </row>
    <row r="339" spans="2:40" x14ac:dyDescent="0.2">
      <c r="B339" s="7"/>
      <c r="C339" s="8"/>
      <c r="D339" s="8"/>
      <c r="E339" s="9"/>
      <c r="F339" s="6"/>
      <c r="G339" s="8"/>
      <c r="H339" s="32"/>
      <c r="I339" s="10" t="str">
        <f t="shared" si="87"/>
        <v>21</v>
      </c>
      <c r="J339" s="11">
        <v>1</v>
      </c>
      <c r="K339" s="11"/>
      <c r="L339" s="11"/>
      <c r="M339" s="11">
        <f t="shared" si="76"/>
        <v>0</v>
      </c>
      <c r="N339" s="11"/>
      <c r="O339" s="11">
        <f t="shared" si="77"/>
        <v>0</v>
      </c>
      <c r="P339" s="11"/>
      <c r="Q339" s="11"/>
      <c r="R339" s="11"/>
      <c r="S339" s="11">
        <f t="shared" si="78"/>
        <v>0</v>
      </c>
      <c r="T339" s="11">
        <f t="shared" si="79"/>
        <v>1666.6666666666667</v>
      </c>
      <c r="U339" s="11">
        <f t="shared" si="80"/>
        <v>0</v>
      </c>
      <c r="V339" s="24">
        <f t="shared" si="81"/>
        <v>0</v>
      </c>
      <c r="W339" s="11">
        <f>IF(V339&lt;=40000,0,
IF(V339&lt;=55000,(V339-40000)*10%,
IF(V339&lt;=70000,(V339-55000)*15%+1500,
IF(V339&lt;=200000,(V339-70000)*20%+1500+2250,
IF(V339&lt;=400000,(V339-200000)*22.5%+1500+2250+26000,
IF(V339&lt;=600000,(V339-400000)*25%+1500+2250+26000+45000,
IF(AND(V339&gt;600000,V339&lt;=1200000),(V339-400000)*25%+1500+2250+26000+45000
+IFERROR(LOOKUP(V339,{600001;700001;800001;900001},{4000;6750;10250;15250}),0),IF(V339&gt;1200000,((V339-1200000)*27.5%)+300000,0)
)))))))</f>
        <v>0</v>
      </c>
      <c r="X339" s="12">
        <f t="shared" si="82"/>
        <v>0</v>
      </c>
      <c r="Y339" s="12">
        <f t="shared" si="83"/>
        <v>0</v>
      </c>
      <c r="Z339" s="11"/>
      <c r="AA339" s="13">
        <f t="shared" si="84"/>
        <v>0</v>
      </c>
      <c r="AB339" s="12">
        <f t="shared" si="85"/>
        <v>0</v>
      </c>
      <c r="AC339" s="14">
        <f t="shared" si="88"/>
        <v>0</v>
      </c>
      <c r="AE339" s="19">
        <f t="shared" si="86"/>
        <v>0</v>
      </c>
      <c r="AF339" s="19"/>
      <c r="AG339" s="17"/>
      <c r="AK339" s="7"/>
      <c r="AL339" s="108">
        <f t="shared" si="89"/>
        <v>0</v>
      </c>
      <c r="AM339" s="108">
        <f t="shared" si="90"/>
        <v>0</v>
      </c>
      <c r="AN339" s="113"/>
    </row>
    <row r="340" spans="2:40" x14ac:dyDescent="0.2">
      <c r="B340" s="7"/>
      <c r="C340" s="8"/>
      <c r="D340" s="8"/>
      <c r="E340" s="9"/>
      <c r="F340" s="6"/>
      <c r="G340" s="8"/>
      <c r="H340" s="32"/>
      <c r="I340" s="10" t="str">
        <f t="shared" si="87"/>
        <v>21</v>
      </c>
      <c r="J340" s="11">
        <v>1</v>
      </c>
      <c r="K340" s="11"/>
      <c r="L340" s="11"/>
      <c r="M340" s="11">
        <f t="shared" si="76"/>
        <v>0</v>
      </c>
      <c r="N340" s="11"/>
      <c r="O340" s="11">
        <f t="shared" si="77"/>
        <v>0</v>
      </c>
      <c r="P340" s="11"/>
      <c r="Q340" s="11"/>
      <c r="R340" s="11"/>
      <c r="S340" s="11">
        <f t="shared" si="78"/>
        <v>0</v>
      </c>
      <c r="T340" s="11">
        <f t="shared" si="79"/>
        <v>1666.6666666666667</v>
      </c>
      <c r="U340" s="11">
        <f t="shared" si="80"/>
        <v>0</v>
      </c>
      <c r="V340" s="24">
        <f t="shared" si="81"/>
        <v>0</v>
      </c>
      <c r="W340" s="11">
        <f>IF(V340&lt;=40000,0,
IF(V340&lt;=55000,(V340-40000)*10%,
IF(V340&lt;=70000,(V340-55000)*15%+1500,
IF(V340&lt;=200000,(V340-70000)*20%+1500+2250,
IF(V340&lt;=400000,(V340-200000)*22.5%+1500+2250+26000,
IF(V340&lt;=600000,(V340-400000)*25%+1500+2250+26000+45000,
IF(AND(V340&gt;600000,V340&lt;=1200000),(V340-400000)*25%+1500+2250+26000+45000
+IFERROR(LOOKUP(V340,{600001;700001;800001;900001},{4000;6750;10250;15250}),0),IF(V340&gt;1200000,((V340-1200000)*27.5%)+300000,0)
)))))))</f>
        <v>0</v>
      </c>
      <c r="X340" s="12">
        <f t="shared" si="82"/>
        <v>0</v>
      </c>
      <c r="Y340" s="12">
        <f t="shared" si="83"/>
        <v>0</v>
      </c>
      <c r="Z340" s="11"/>
      <c r="AA340" s="13">
        <f t="shared" si="84"/>
        <v>0</v>
      </c>
      <c r="AB340" s="12">
        <f t="shared" si="85"/>
        <v>0</v>
      </c>
      <c r="AC340" s="14">
        <f t="shared" si="88"/>
        <v>0</v>
      </c>
      <c r="AE340" s="19">
        <f t="shared" si="86"/>
        <v>0</v>
      </c>
      <c r="AF340" s="19"/>
      <c r="AG340" s="17"/>
      <c r="AK340" s="7"/>
      <c r="AL340" s="108">
        <f t="shared" si="89"/>
        <v>0</v>
      </c>
      <c r="AM340" s="108">
        <f t="shared" si="90"/>
        <v>0</v>
      </c>
      <c r="AN340" s="113"/>
    </row>
    <row r="341" spans="2:40" x14ac:dyDescent="0.2">
      <c r="B341" s="7"/>
      <c r="C341" s="8"/>
      <c r="D341" s="8"/>
      <c r="E341" s="9"/>
      <c r="F341" s="6"/>
      <c r="G341" s="8"/>
      <c r="H341" s="32"/>
      <c r="I341" s="10" t="str">
        <f t="shared" si="87"/>
        <v>21</v>
      </c>
      <c r="J341" s="11">
        <v>1</v>
      </c>
      <c r="K341" s="11"/>
      <c r="L341" s="11"/>
      <c r="M341" s="11">
        <f t="shared" si="76"/>
        <v>0</v>
      </c>
      <c r="N341" s="11"/>
      <c r="O341" s="11">
        <f t="shared" si="77"/>
        <v>0</v>
      </c>
      <c r="P341" s="11"/>
      <c r="Q341" s="11"/>
      <c r="R341" s="11"/>
      <c r="S341" s="11">
        <f t="shared" si="78"/>
        <v>0</v>
      </c>
      <c r="T341" s="11">
        <f t="shared" si="79"/>
        <v>1666.6666666666667</v>
      </c>
      <c r="U341" s="11">
        <f t="shared" si="80"/>
        <v>0</v>
      </c>
      <c r="V341" s="24">
        <f t="shared" si="81"/>
        <v>0</v>
      </c>
      <c r="W341" s="11">
        <f>IF(V341&lt;=40000,0,
IF(V341&lt;=55000,(V341-40000)*10%,
IF(V341&lt;=70000,(V341-55000)*15%+1500,
IF(V341&lt;=200000,(V341-70000)*20%+1500+2250,
IF(V341&lt;=400000,(V341-200000)*22.5%+1500+2250+26000,
IF(V341&lt;=600000,(V341-400000)*25%+1500+2250+26000+45000,
IF(AND(V341&gt;600000,V341&lt;=1200000),(V341-400000)*25%+1500+2250+26000+45000
+IFERROR(LOOKUP(V341,{600001;700001;800001;900001},{4000;6750;10250;15250}),0),IF(V341&gt;1200000,((V341-1200000)*27.5%)+300000,0)
)))))))</f>
        <v>0</v>
      </c>
      <c r="X341" s="12">
        <f t="shared" si="82"/>
        <v>0</v>
      </c>
      <c r="Y341" s="12">
        <f t="shared" si="83"/>
        <v>0</v>
      </c>
      <c r="Z341" s="11"/>
      <c r="AA341" s="13">
        <f t="shared" si="84"/>
        <v>0</v>
      </c>
      <c r="AB341" s="12">
        <f t="shared" si="85"/>
        <v>0</v>
      </c>
      <c r="AC341" s="14">
        <f t="shared" si="88"/>
        <v>0</v>
      </c>
      <c r="AE341" s="19">
        <f t="shared" si="86"/>
        <v>0</v>
      </c>
      <c r="AF341" s="19"/>
      <c r="AG341" s="17"/>
      <c r="AK341" s="7"/>
      <c r="AL341" s="108">
        <f t="shared" si="89"/>
        <v>0</v>
      </c>
      <c r="AM341" s="108">
        <f t="shared" si="90"/>
        <v>0</v>
      </c>
      <c r="AN341" s="113"/>
    </row>
    <row r="342" spans="2:40" x14ac:dyDescent="0.2">
      <c r="B342" s="7"/>
      <c r="C342" s="8"/>
      <c r="D342" s="8"/>
      <c r="E342" s="9"/>
      <c r="F342" s="6"/>
      <c r="G342" s="8"/>
      <c r="H342" s="32"/>
      <c r="I342" s="10" t="str">
        <f t="shared" si="87"/>
        <v>21</v>
      </c>
      <c r="J342" s="11">
        <v>1</v>
      </c>
      <c r="K342" s="11"/>
      <c r="L342" s="11"/>
      <c r="M342" s="11">
        <f t="shared" si="76"/>
        <v>0</v>
      </c>
      <c r="N342" s="11"/>
      <c r="O342" s="11">
        <f t="shared" si="77"/>
        <v>0</v>
      </c>
      <c r="P342" s="11"/>
      <c r="Q342" s="11"/>
      <c r="R342" s="11"/>
      <c r="S342" s="11">
        <f t="shared" si="78"/>
        <v>0</v>
      </c>
      <c r="T342" s="11">
        <f t="shared" si="79"/>
        <v>1666.6666666666667</v>
      </c>
      <c r="U342" s="11">
        <f t="shared" si="80"/>
        <v>0</v>
      </c>
      <c r="V342" s="24">
        <f t="shared" si="81"/>
        <v>0</v>
      </c>
      <c r="W342" s="11">
        <f>IF(V342&lt;=40000,0,
IF(V342&lt;=55000,(V342-40000)*10%,
IF(V342&lt;=70000,(V342-55000)*15%+1500,
IF(V342&lt;=200000,(V342-70000)*20%+1500+2250,
IF(V342&lt;=400000,(V342-200000)*22.5%+1500+2250+26000,
IF(V342&lt;=600000,(V342-400000)*25%+1500+2250+26000+45000,
IF(AND(V342&gt;600000,V342&lt;=1200000),(V342-400000)*25%+1500+2250+26000+45000
+IFERROR(LOOKUP(V342,{600001;700001;800001;900001},{4000;6750;10250;15250}),0),IF(V342&gt;1200000,((V342-1200000)*27.5%)+300000,0)
)))))))</f>
        <v>0</v>
      </c>
      <c r="X342" s="12">
        <f t="shared" si="82"/>
        <v>0</v>
      </c>
      <c r="Y342" s="12">
        <f t="shared" si="83"/>
        <v>0</v>
      </c>
      <c r="Z342" s="11"/>
      <c r="AA342" s="13">
        <f t="shared" si="84"/>
        <v>0</v>
      </c>
      <c r="AB342" s="12">
        <f t="shared" si="85"/>
        <v>0</v>
      </c>
      <c r="AC342" s="14">
        <f t="shared" si="88"/>
        <v>0</v>
      </c>
      <c r="AE342" s="19">
        <f t="shared" si="86"/>
        <v>0</v>
      </c>
      <c r="AF342" s="19"/>
      <c r="AG342" s="17"/>
      <c r="AK342" s="7"/>
      <c r="AL342" s="108">
        <f t="shared" si="89"/>
        <v>0</v>
      </c>
      <c r="AM342" s="108">
        <f t="shared" si="90"/>
        <v>0</v>
      </c>
      <c r="AN342" s="113"/>
    </row>
    <row r="343" spans="2:40" x14ac:dyDescent="0.2">
      <c r="B343" s="7"/>
      <c r="C343" s="8"/>
      <c r="D343" s="8"/>
      <c r="E343" s="9"/>
      <c r="F343" s="6"/>
      <c r="G343" s="8"/>
      <c r="H343" s="32"/>
      <c r="I343" s="10" t="str">
        <f t="shared" si="87"/>
        <v>21</v>
      </c>
      <c r="J343" s="11">
        <v>1</v>
      </c>
      <c r="K343" s="11"/>
      <c r="L343" s="11"/>
      <c r="M343" s="11">
        <f t="shared" si="76"/>
        <v>0</v>
      </c>
      <c r="N343" s="11"/>
      <c r="O343" s="11">
        <f t="shared" si="77"/>
        <v>0</v>
      </c>
      <c r="P343" s="11"/>
      <c r="Q343" s="11"/>
      <c r="R343" s="11"/>
      <c r="S343" s="11">
        <f t="shared" si="78"/>
        <v>0</v>
      </c>
      <c r="T343" s="11">
        <f t="shared" si="79"/>
        <v>1666.6666666666667</v>
      </c>
      <c r="U343" s="11">
        <f t="shared" si="80"/>
        <v>0</v>
      </c>
      <c r="V343" s="24">
        <f t="shared" si="81"/>
        <v>0</v>
      </c>
      <c r="W343" s="11">
        <f>IF(V343&lt;=40000,0,
IF(V343&lt;=55000,(V343-40000)*10%,
IF(V343&lt;=70000,(V343-55000)*15%+1500,
IF(V343&lt;=200000,(V343-70000)*20%+1500+2250,
IF(V343&lt;=400000,(V343-200000)*22.5%+1500+2250+26000,
IF(V343&lt;=600000,(V343-400000)*25%+1500+2250+26000+45000,
IF(AND(V343&gt;600000,V343&lt;=1200000),(V343-400000)*25%+1500+2250+26000+45000
+IFERROR(LOOKUP(V343,{600001;700001;800001;900001},{4000;6750;10250;15250}),0),IF(V343&gt;1200000,((V343-1200000)*27.5%)+300000,0)
)))))))</f>
        <v>0</v>
      </c>
      <c r="X343" s="12">
        <f t="shared" si="82"/>
        <v>0</v>
      </c>
      <c r="Y343" s="12">
        <f t="shared" si="83"/>
        <v>0</v>
      </c>
      <c r="Z343" s="11"/>
      <c r="AA343" s="13">
        <f t="shared" si="84"/>
        <v>0</v>
      </c>
      <c r="AB343" s="12">
        <f t="shared" si="85"/>
        <v>0</v>
      </c>
      <c r="AC343" s="14">
        <f t="shared" si="88"/>
        <v>0</v>
      </c>
      <c r="AE343" s="19">
        <f t="shared" si="86"/>
        <v>0</v>
      </c>
      <c r="AF343" s="19"/>
      <c r="AG343" s="17"/>
      <c r="AK343" s="7"/>
      <c r="AL343" s="108">
        <f t="shared" si="89"/>
        <v>0</v>
      </c>
      <c r="AM343" s="108">
        <f t="shared" si="90"/>
        <v>0</v>
      </c>
      <c r="AN343" s="113"/>
    </row>
    <row r="344" spans="2:40" x14ac:dyDescent="0.2">
      <c r="B344" s="7"/>
      <c r="C344" s="8"/>
      <c r="D344" s="8"/>
      <c r="E344" s="9"/>
      <c r="F344" s="6"/>
      <c r="G344" s="8"/>
      <c r="H344" s="32"/>
      <c r="I344" s="10" t="str">
        <f t="shared" si="87"/>
        <v>21</v>
      </c>
      <c r="J344" s="11">
        <v>1</v>
      </c>
      <c r="K344" s="11"/>
      <c r="L344" s="11"/>
      <c r="M344" s="11">
        <f t="shared" si="76"/>
        <v>0</v>
      </c>
      <c r="N344" s="11"/>
      <c r="O344" s="11">
        <f t="shared" si="77"/>
        <v>0</v>
      </c>
      <c r="P344" s="11"/>
      <c r="Q344" s="11"/>
      <c r="R344" s="11"/>
      <c r="S344" s="11">
        <f t="shared" si="78"/>
        <v>0</v>
      </c>
      <c r="T344" s="11">
        <f t="shared" si="79"/>
        <v>1666.6666666666667</v>
      </c>
      <c r="U344" s="11">
        <f t="shared" si="80"/>
        <v>0</v>
      </c>
      <c r="V344" s="24">
        <f t="shared" si="81"/>
        <v>0</v>
      </c>
      <c r="W344" s="11">
        <f>IF(V344&lt;=40000,0,
IF(V344&lt;=55000,(V344-40000)*10%,
IF(V344&lt;=70000,(V344-55000)*15%+1500,
IF(V344&lt;=200000,(V344-70000)*20%+1500+2250,
IF(V344&lt;=400000,(V344-200000)*22.5%+1500+2250+26000,
IF(V344&lt;=600000,(V344-400000)*25%+1500+2250+26000+45000,
IF(AND(V344&gt;600000,V344&lt;=1200000),(V344-400000)*25%+1500+2250+26000+45000
+IFERROR(LOOKUP(V344,{600001;700001;800001;900001},{4000;6750;10250;15250}),0),IF(V344&gt;1200000,((V344-1200000)*27.5%)+300000,0)
)))))))</f>
        <v>0</v>
      </c>
      <c r="X344" s="12">
        <f t="shared" si="82"/>
        <v>0</v>
      </c>
      <c r="Y344" s="12">
        <f t="shared" si="83"/>
        <v>0</v>
      </c>
      <c r="Z344" s="11"/>
      <c r="AA344" s="13">
        <f t="shared" si="84"/>
        <v>0</v>
      </c>
      <c r="AB344" s="12">
        <f t="shared" si="85"/>
        <v>0</v>
      </c>
      <c r="AC344" s="14">
        <f t="shared" si="88"/>
        <v>0</v>
      </c>
      <c r="AE344" s="19">
        <f t="shared" si="86"/>
        <v>0</v>
      </c>
      <c r="AF344" s="19"/>
      <c r="AG344" s="17"/>
      <c r="AK344" s="7"/>
      <c r="AL344" s="108">
        <f t="shared" si="89"/>
        <v>0</v>
      </c>
      <c r="AM344" s="108">
        <f t="shared" si="90"/>
        <v>0</v>
      </c>
      <c r="AN344" s="113"/>
    </row>
    <row r="345" spans="2:40" x14ac:dyDescent="0.2">
      <c r="B345" s="7"/>
      <c r="C345" s="8"/>
      <c r="D345" s="8"/>
      <c r="E345" s="9"/>
      <c r="F345" s="6"/>
      <c r="G345" s="8"/>
      <c r="H345" s="32"/>
      <c r="I345" s="10" t="str">
        <f t="shared" si="87"/>
        <v>21</v>
      </c>
      <c r="J345" s="11">
        <v>1</v>
      </c>
      <c r="K345" s="11"/>
      <c r="L345" s="11"/>
      <c r="M345" s="11">
        <f t="shared" si="76"/>
        <v>0</v>
      </c>
      <c r="N345" s="11"/>
      <c r="O345" s="11">
        <f t="shared" si="77"/>
        <v>0</v>
      </c>
      <c r="P345" s="11"/>
      <c r="Q345" s="11"/>
      <c r="R345" s="11"/>
      <c r="S345" s="11">
        <f t="shared" si="78"/>
        <v>0</v>
      </c>
      <c r="T345" s="11">
        <f t="shared" si="79"/>
        <v>1666.6666666666667</v>
      </c>
      <c r="U345" s="11">
        <f t="shared" si="80"/>
        <v>0</v>
      </c>
      <c r="V345" s="24">
        <f t="shared" si="81"/>
        <v>0</v>
      </c>
      <c r="W345" s="11">
        <f>IF(V345&lt;=40000,0,
IF(V345&lt;=55000,(V345-40000)*10%,
IF(V345&lt;=70000,(V345-55000)*15%+1500,
IF(V345&lt;=200000,(V345-70000)*20%+1500+2250,
IF(V345&lt;=400000,(V345-200000)*22.5%+1500+2250+26000,
IF(V345&lt;=600000,(V345-400000)*25%+1500+2250+26000+45000,
IF(AND(V345&gt;600000,V345&lt;=1200000),(V345-400000)*25%+1500+2250+26000+45000
+IFERROR(LOOKUP(V345,{600001;700001;800001;900001},{4000;6750;10250;15250}),0),IF(V345&gt;1200000,((V345-1200000)*27.5%)+300000,0)
)))))))</f>
        <v>0</v>
      </c>
      <c r="X345" s="12">
        <f t="shared" si="82"/>
        <v>0</v>
      </c>
      <c r="Y345" s="12">
        <f t="shared" si="83"/>
        <v>0</v>
      </c>
      <c r="Z345" s="11"/>
      <c r="AA345" s="13">
        <f t="shared" si="84"/>
        <v>0</v>
      </c>
      <c r="AB345" s="12">
        <f t="shared" si="85"/>
        <v>0</v>
      </c>
      <c r="AC345" s="14">
        <f t="shared" si="88"/>
        <v>0</v>
      </c>
      <c r="AE345" s="19">
        <f t="shared" si="86"/>
        <v>0</v>
      </c>
      <c r="AF345" s="19"/>
      <c r="AG345" s="17"/>
      <c r="AK345" s="7"/>
      <c r="AL345" s="108">
        <f t="shared" si="89"/>
        <v>0</v>
      </c>
      <c r="AM345" s="108">
        <f t="shared" si="90"/>
        <v>0</v>
      </c>
      <c r="AN345" s="113"/>
    </row>
    <row r="346" spans="2:40" x14ac:dyDescent="0.2">
      <c r="B346" s="7"/>
      <c r="C346" s="8"/>
      <c r="D346" s="8"/>
      <c r="E346" s="9"/>
      <c r="F346" s="6"/>
      <c r="G346" s="8"/>
      <c r="H346" s="32"/>
      <c r="I346" s="10" t="str">
        <f t="shared" si="87"/>
        <v>21</v>
      </c>
      <c r="J346" s="11">
        <v>1</v>
      </c>
      <c r="K346" s="11"/>
      <c r="L346" s="11"/>
      <c r="M346" s="11">
        <f t="shared" si="76"/>
        <v>0</v>
      </c>
      <c r="N346" s="11"/>
      <c r="O346" s="11">
        <f t="shared" si="77"/>
        <v>0</v>
      </c>
      <c r="P346" s="11"/>
      <c r="Q346" s="11"/>
      <c r="R346" s="11"/>
      <c r="S346" s="11">
        <f t="shared" si="78"/>
        <v>0</v>
      </c>
      <c r="T346" s="11">
        <f t="shared" si="79"/>
        <v>1666.6666666666667</v>
      </c>
      <c r="U346" s="11">
        <f t="shared" si="80"/>
        <v>0</v>
      </c>
      <c r="V346" s="24">
        <f t="shared" si="81"/>
        <v>0</v>
      </c>
      <c r="W346" s="11">
        <f>IF(V346&lt;=40000,0,
IF(V346&lt;=55000,(V346-40000)*10%,
IF(V346&lt;=70000,(V346-55000)*15%+1500,
IF(V346&lt;=200000,(V346-70000)*20%+1500+2250,
IF(V346&lt;=400000,(V346-200000)*22.5%+1500+2250+26000,
IF(V346&lt;=600000,(V346-400000)*25%+1500+2250+26000+45000,
IF(AND(V346&gt;600000,V346&lt;=1200000),(V346-400000)*25%+1500+2250+26000+45000
+IFERROR(LOOKUP(V346,{600001;700001;800001;900001},{4000;6750;10250;15250}),0),IF(V346&gt;1200000,((V346-1200000)*27.5%)+300000,0)
)))))))</f>
        <v>0</v>
      </c>
      <c r="X346" s="12">
        <f t="shared" si="82"/>
        <v>0</v>
      </c>
      <c r="Y346" s="12">
        <f t="shared" si="83"/>
        <v>0</v>
      </c>
      <c r="Z346" s="11"/>
      <c r="AA346" s="13">
        <f t="shared" si="84"/>
        <v>0</v>
      </c>
      <c r="AB346" s="12">
        <f t="shared" si="85"/>
        <v>0</v>
      </c>
      <c r="AC346" s="14">
        <f t="shared" si="88"/>
        <v>0</v>
      </c>
      <c r="AE346" s="19">
        <f t="shared" si="86"/>
        <v>0</v>
      </c>
      <c r="AF346" s="19"/>
      <c r="AG346" s="17"/>
      <c r="AK346" s="7"/>
      <c r="AL346" s="108">
        <f t="shared" si="89"/>
        <v>0</v>
      </c>
      <c r="AM346" s="108">
        <f t="shared" si="90"/>
        <v>0</v>
      </c>
      <c r="AN346" s="113"/>
    </row>
    <row r="347" spans="2:40" x14ac:dyDescent="0.2">
      <c r="B347" s="7"/>
      <c r="C347" s="8"/>
      <c r="D347" s="8"/>
      <c r="E347" s="9"/>
      <c r="F347" s="6"/>
      <c r="G347" s="8"/>
      <c r="H347" s="32"/>
      <c r="I347" s="10" t="str">
        <f t="shared" si="87"/>
        <v>21</v>
      </c>
      <c r="J347" s="11">
        <v>1</v>
      </c>
      <c r="K347" s="11"/>
      <c r="L347" s="11"/>
      <c r="M347" s="11">
        <f t="shared" si="76"/>
        <v>0</v>
      </c>
      <c r="N347" s="11"/>
      <c r="O347" s="11">
        <f t="shared" si="77"/>
        <v>0</v>
      </c>
      <c r="P347" s="11"/>
      <c r="Q347" s="11"/>
      <c r="R347" s="11"/>
      <c r="S347" s="11">
        <f t="shared" si="78"/>
        <v>0</v>
      </c>
      <c r="T347" s="11">
        <f t="shared" si="79"/>
        <v>1666.6666666666667</v>
      </c>
      <c r="U347" s="11">
        <f t="shared" si="80"/>
        <v>0</v>
      </c>
      <c r="V347" s="24">
        <f t="shared" si="81"/>
        <v>0</v>
      </c>
      <c r="W347" s="11">
        <f>IF(V347&lt;=40000,0,
IF(V347&lt;=55000,(V347-40000)*10%,
IF(V347&lt;=70000,(V347-55000)*15%+1500,
IF(V347&lt;=200000,(V347-70000)*20%+1500+2250,
IF(V347&lt;=400000,(V347-200000)*22.5%+1500+2250+26000,
IF(V347&lt;=600000,(V347-400000)*25%+1500+2250+26000+45000,
IF(AND(V347&gt;600000,V347&lt;=1200000),(V347-400000)*25%+1500+2250+26000+45000
+IFERROR(LOOKUP(V347,{600001;700001;800001;900001},{4000;6750;10250;15250}),0),IF(V347&gt;1200000,((V347-1200000)*27.5%)+300000,0)
)))))))</f>
        <v>0</v>
      </c>
      <c r="X347" s="12">
        <f t="shared" si="82"/>
        <v>0</v>
      </c>
      <c r="Y347" s="12">
        <f t="shared" si="83"/>
        <v>0</v>
      </c>
      <c r="Z347" s="11"/>
      <c r="AA347" s="13">
        <f t="shared" si="84"/>
        <v>0</v>
      </c>
      <c r="AB347" s="12">
        <f t="shared" si="85"/>
        <v>0</v>
      </c>
      <c r="AC347" s="14">
        <f t="shared" si="88"/>
        <v>0</v>
      </c>
      <c r="AE347" s="19">
        <f t="shared" si="86"/>
        <v>0</v>
      </c>
      <c r="AF347" s="19"/>
      <c r="AG347" s="17"/>
      <c r="AK347" s="7"/>
      <c r="AL347" s="108">
        <f t="shared" si="89"/>
        <v>0</v>
      </c>
      <c r="AM347" s="108">
        <f t="shared" si="90"/>
        <v>0</v>
      </c>
      <c r="AN347" s="113"/>
    </row>
    <row r="348" spans="2:40" x14ac:dyDescent="0.2">
      <c r="B348" s="7"/>
      <c r="C348" s="8"/>
      <c r="D348" s="8"/>
      <c r="E348" s="9"/>
      <c r="F348" s="6"/>
      <c r="G348" s="8"/>
      <c r="H348" s="32"/>
      <c r="I348" s="10" t="str">
        <f t="shared" si="87"/>
        <v>21</v>
      </c>
      <c r="J348" s="11">
        <v>1</v>
      </c>
      <c r="K348" s="11"/>
      <c r="L348" s="11"/>
      <c r="M348" s="11">
        <f t="shared" si="76"/>
        <v>0</v>
      </c>
      <c r="N348" s="11"/>
      <c r="O348" s="11">
        <f t="shared" si="77"/>
        <v>0</v>
      </c>
      <c r="P348" s="11"/>
      <c r="Q348" s="11"/>
      <c r="R348" s="11"/>
      <c r="S348" s="11">
        <f t="shared" si="78"/>
        <v>0</v>
      </c>
      <c r="T348" s="11">
        <f t="shared" si="79"/>
        <v>1666.6666666666667</v>
      </c>
      <c r="U348" s="11">
        <f t="shared" si="80"/>
        <v>0</v>
      </c>
      <c r="V348" s="24">
        <f t="shared" si="81"/>
        <v>0</v>
      </c>
      <c r="W348" s="11">
        <f>IF(V348&lt;=40000,0,
IF(V348&lt;=55000,(V348-40000)*10%,
IF(V348&lt;=70000,(V348-55000)*15%+1500,
IF(V348&lt;=200000,(V348-70000)*20%+1500+2250,
IF(V348&lt;=400000,(V348-200000)*22.5%+1500+2250+26000,
IF(V348&lt;=600000,(V348-400000)*25%+1500+2250+26000+45000,
IF(AND(V348&gt;600000,V348&lt;=1200000),(V348-400000)*25%+1500+2250+26000+45000
+IFERROR(LOOKUP(V348,{600001;700001;800001;900001},{4000;6750;10250;15250}),0),IF(V348&gt;1200000,((V348-1200000)*27.5%)+300000,0)
)))))))</f>
        <v>0</v>
      </c>
      <c r="X348" s="12">
        <f t="shared" si="82"/>
        <v>0</v>
      </c>
      <c r="Y348" s="12">
        <f t="shared" si="83"/>
        <v>0</v>
      </c>
      <c r="Z348" s="11"/>
      <c r="AA348" s="13">
        <f t="shared" si="84"/>
        <v>0</v>
      </c>
      <c r="AB348" s="12">
        <f t="shared" si="85"/>
        <v>0</v>
      </c>
      <c r="AC348" s="14">
        <f t="shared" si="88"/>
        <v>0</v>
      </c>
      <c r="AE348" s="19">
        <f t="shared" si="86"/>
        <v>0</v>
      </c>
      <c r="AF348" s="19"/>
      <c r="AG348" s="17"/>
      <c r="AK348" s="7"/>
      <c r="AL348" s="108">
        <f t="shared" si="89"/>
        <v>0</v>
      </c>
      <c r="AM348" s="108">
        <f t="shared" si="90"/>
        <v>0</v>
      </c>
      <c r="AN348" s="113"/>
    </row>
    <row r="349" spans="2:40" x14ac:dyDescent="0.2">
      <c r="B349" s="7"/>
      <c r="C349" s="8"/>
      <c r="D349" s="8"/>
      <c r="E349" s="9"/>
      <c r="F349" s="6"/>
      <c r="G349" s="8"/>
      <c r="H349" s="32"/>
      <c r="I349" s="10" t="str">
        <f t="shared" si="87"/>
        <v>21</v>
      </c>
      <c r="J349" s="11">
        <v>1</v>
      </c>
      <c r="K349" s="11"/>
      <c r="L349" s="11"/>
      <c r="M349" s="11">
        <f t="shared" ref="M349:M412" si="91">SUM(K349:L349)</f>
        <v>0</v>
      </c>
      <c r="N349" s="11"/>
      <c r="O349" s="11">
        <f t="shared" ref="O349:O412" si="92">+N349+M349</f>
        <v>0</v>
      </c>
      <c r="P349" s="11"/>
      <c r="Q349" s="11"/>
      <c r="R349" s="11"/>
      <c r="S349" s="11">
        <f t="shared" ref="S349:S412" si="93">O349-P349-Q349-R349</f>
        <v>0</v>
      </c>
      <c r="T349" s="11">
        <f t="shared" ref="T349:T412" si="94">IF(J349&gt;0,(20000/12*J349),0)</f>
        <v>1666.6666666666667</v>
      </c>
      <c r="U349" s="11">
        <f t="shared" ref="U349:U412" si="95">IF(AND(J349&gt;0,S349-T349&gt;0),S349-T349,0)</f>
        <v>0</v>
      </c>
      <c r="V349" s="24">
        <f t="shared" ref="V349:V412" si="96">IF(J349=0,0,(U349/J349*12))</f>
        <v>0</v>
      </c>
      <c r="W349" s="11">
        <f>IF(V349&lt;=40000,0,
IF(V349&lt;=55000,(V349-40000)*10%,
IF(V349&lt;=70000,(V349-55000)*15%+1500,
IF(V349&lt;=200000,(V349-70000)*20%+1500+2250,
IF(V349&lt;=400000,(V349-200000)*22.5%+1500+2250+26000,
IF(V349&lt;=600000,(V349-400000)*25%+1500+2250+26000+45000,
IF(AND(V349&gt;600000,V349&lt;=1200000),(V349-400000)*25%+1500+2250+26000+45000
+IFERROR(LOOKUP(V349,{600001;700001;800001;900001},{4000;6750;10250;15250}),0),IF(V349&gt;1200000,((V349-1200000)*27.5%)+300000,0)
)))))))</f>
        <v>0</v>
      </c>
      <c r="X349" s="12">
        <f t="shared" ref="X349:X412" si="97">N349*0.1</f>
        <v>0</v>
      </c>
      <c r="Y349" s="12">
        <f t="shared" ref="Y349:Y412" si="98">(W349/12*J349)-X349</f>
        <v>0</v>
      </c>
      <c r="Z349" s="11"/>
      <c r="AA349" s="13">
        <f t="shared" ref="AA349:AA412" si="99">+O349-P349-Y349-Z349</f>
        <v>0</v>
      </c>
      <c r="AB349" s="12">
        <f t="shared" ref="AB349:AB412" si="100">(P349/0.11)*18.75%</f>
        <v>0</v>
      </c>
      <c r="AC349" s="14">
        <f t="shared" si="88"/>
        <v>0</v>
      </c>
      <c r="AE349" s="19">
        <f t="shared" ref="AE349:AE412" si="101">+AD349-AC349</f>
        <v>0</v>
      </c>
      <c r="AF349" s="19"/>
      <c r="AG349" s="17"/>
      <c r="AK349" s="7"/>
      <c r="AL349" s="108">
        <f t="shared" si="89"/>
        <v>0</v>
      </c>
      <c r="AM349" s="108">
        <f t="shared" si="90"/>
        <v>0</v>
      </c>
      <c r="AN349" s="113"/>
    </row>
    <row r="350" spans="2:40" x14ac:dyDescent="0.2">
      <c r="B350" s="7"/>
      <c r="C350" s="8"/>
      <c r="D350" s="8"/>
      <c r="E350" s="9"/>
      <c r="F350" s="6"/>
      <c r="G350" s="8"/>
      <c r="H350" s="32"/>
      <c r="I350" s="10" t="str">
        <f t="shared" si="87"/>
        <v>21</v>
      </c>
      <c r="J350" s="11">
        <v>1</v>
      </c>
      <c r="K350" s="11"/>
      <c r="L350" s="11"/>
      <c r="M350" s="11">
        <f t="shared" si="91"/>
        <v>0</v>
      </c>
      <c r="N350" s="11"/>
      <c r="O350" s="11">
        <f t="shared" si="92"/>
        <v>0</v>
      </c>
      <c r="P350" s="11"/>
      <c r="Q350" s="11"/>
      <c r="R350" s="11"/>
      <c r="S350" s="11">
        <f t="shared" si="93"/>
        <v>0</v>
      </c>
      <c r="T350" s="11">
        <f t="shared" si="94"/>
        <v>1666.6666666666667</v>
      </c>
      <c r="U350" s="11">
        <f t="shared" si="95"/>
        <v>0</v>
      </c>
      <c r="V350" s="24">
        <f t="shared" si="96"/>
        <v>0</v>
      </c>
      <c r="W350" s="11">
        <f>IF(V350&lt;=40000,0,
IF(V350&lt;=55000,(V350-40000)*10%,
IF(V350&lt;=70000,(V350-55000)*15%+1500,
IF(V350&lt;=200000,(V350-70000)*20%+1500+2250,
IF(V350&lt;=400000,(V350-200000)*22.5%+1500+2250+26000,
IF(V350&lt;=600000,(V350-400000)*25%+1500+2250+26000+45000,
IF(AND(V350&gt;600000,V350&lt;=1200000),(V350-400000)*25%+1500+2250+26000+45000
+IFERROR(LOOKUP(V350,{600001;700001;800001;900001},{4000;6750;10250;15250}),0),IF(V350&gt;1200000,((V350-1200000)*27.5%)+300000,0)
)))))))</f>
        <v>0</v>
      </c>
      <c r="X350" s="12">
        <f t="shared" si="97"/>
        <v>0</v>
      </c>
      <c r="Y350" s="12">
        <f t="shared" si="98"/>
        <v>0</v>
      </c>
      <c r="Z350" s="11"/>
      <c r="AA350" s="13">
        <f t="shared" si="99"/>
        <v>0</v>
      </c>
      <c r="AB350" s="12">
        <f t="shared" si="100"/>
        <v>0</v>
      </c>
      <c r="AC350" s="14">
        <f t="shared" si="88"/>
        <v>0</v>
      </c>
      <c r="AE350" s="19">
        <f t="shared" si="101"/>
        <v>0</v>
      </c>
      <c r="AF350" s="19"/>
      <c r="AG350" s="17"/>
      <c r="AK350" s="7"/>
      <c r="AL350" s="108">
        <f t="shared" si="89"/>
        <v>0</v>
      </c>
      <c r="AM350" s="108">
        <f t="shared" si="90"/>
        <v>0</v>
      </c>
      <c r="AN350" s="113"/>
    </row>
    <row r="351" spans="2:40" x14ac:dyDescent="0.2">
      <c r="B351" s="7"/>
      <c r="C351" s="8"/>
      <c r="D351" s="8"/>
      <c r="E351" s="9"/>
      <c r="F351" s="6"/>
      <c r="G351" s="8"/>
      <c r="H351" s="32"/>
      <c r="I351" s="10" t="str">
        <f t="shared" si="87"/>
        <v>21</v>
      </c>
      <c r="J351" s="11">
        <v>1</v>
      </c>
      <c r="K351" s="11"/>
      <c r="L351" s="11"/>
      <c r="M351" s="11">
        <f t="shared" si="91"/>
        <v>0</v>
      </c>
      <c r="N351" s="11"/>
      <c r="O351" s="11">
        <f t="shared" si="92"/>
        <v>0</v>
      </c>
      <c r="P351" s="11"/>
      <c r="Q351" s="11"/>
      <c r="R351" s="11"/>
      <c r="S351" s="11">
        <f t="shared" si="93"/>
        <v>0</v>
      </c>
      <c r="T351" s="11">
        <f t="shared" si="94"/>
        <v>1666.6666666666667</v>
      </c>
      <c r="U351" s="11">
        <f t="shared" si="95"/>
        <v>0</v>
      </c>
      <c r="V351" s="24">
        <f t="shared" si="96"/>
        <v>0</v>
      </c>
      <c r="W351" s="11">
        <f>IF(V351&lt;=40000,0,
IF(V351&lt;=55000,(V351-40000)*10%,
IF(V351&lt;=70000,(V351-55000)*15%+1500,
IF(V351&lt;=200000,(V351-70000)*20%+1500+2250,
IF(V351&lt;=400000,(V351-200000)*22.5%+1500+2250+26000,
IF(V351&lt;=600000,(V351-400000)*25%+1500+2250+26000+45000,
IF(AND(V351&gt;600000,V351&lt;=1200000),(V351-400000)*25%+1500+2250+26000+45000
+IFERROR(LOOKUP(V351,{600001;700001;800001;900001},{4000;6750;10250;15250}),0),IF(V351&gt;1200000,((V351-1200000)*27.5%)+300000,0)
)))))))</f>
        <v>0</v>
      </c>
      <c r="X351" s="12">
        <f t="shared" si="97"/>
        <v>0</v>
      </c>
      <c r="Y351" s="12">
        <f t="shared" si="98"/>
        <v>0</v>
      </c>
      <c r="Z351" s="11"/>
      <c r="AA351" s="13">
        <f t="shared" si="99"/>
        <v>0</v>
      </c>
      <c r="AB351" s="12">
        <f t="shared" si="100"/>
        <v>0</v>
      </c>
      <c r="AC351" s="14">
        <f t="shared" si="88"/>
        <v>0</v>
      </c>
      <c r="AE351" s="19">
        <f t="shared" si="101"/>
        <v>0</v>
      </c>
      <c r="AF351" s="19"/>
      <c r="AG351" s="17"/>
      <c r="AK351" s="7"/>
      <c r="AL351" s="108">
        <f t="shared" si="89"/>
        <v>0</v>
      </c>
      <c r="AM351" s="108">
        <f t="shared" si="90"/>
        <v>0</v>
      </c>
      <c r="AN351" s="113"/>
    </row>
    <row r="352" spans="2:40" x14ac:dyDescent="0.2">
      <c r="B352" s="7"/>
      <c r="C352" s="8"/>
      <c r="D352" s="8"/>
      <c r="E352" s="9"/>
      <c r="F352" s="6"/>
      <c r="G352" s="8"/>
      <c r="H352" s="32"/>
      <c r="I352" s="10" t="str">
        <f t="shared" si="87"/>
        <v>21</v>
      </c>
      <c r="J352" s="11">
        <v>1</v>
      </c>
      <c r="K352" s="11"/>
      <c r="L352" s="11"/>
      <c r="M352" s="11">
        <f t="shared" si="91"/>
        <v>0</v>
      </c>
      <c r="N352" s="11"/>
      <c r="O352" s="11">
        <f t="shared" si="92"/>
        <v>0</v>
      </c>
      <c r="P352" s="11"/>
      <c r="Q352" s="11"/>
      <c r="R352" s="11"/>
      <c r="S352" s="11">
        <f t="shared" si="93"/>
        <v>0</v>
      </c>
      <c r="T352" s="11">
        <f t="shared" si="94"/>
        <v>1666.6666666666667</v>
      </c>
      <c r="U352" s="11">
        <f t="shared" si="95"/>
        <v>0</v>
      </c>
      <c r="V352" s="24">
        <f t="shared" si="96"/>
        <v>0</v>
      </c>
      <c r="W352" s="11">
        <f>IF(V352&lt;=40000,0,
IF(V352&lt;=55000,(V352-40000)*10%,
IF(V352&lt;=70000,(V352-55000)*15%+1500,
IF(V352&lt;=200000,(V352-70000)*20%+1500+2250,
IF(V352&lt;=400000,(V352-200000)*22.5%+1500+2250+26000,
IF(V352&lt;=600000,(V352-400000)*25%+1500+2250+26000+45000,
IF(AND(V352&gt;600000,V352&lt;=1200000),(V352-400000)*25%+1500+2250+26000+45000
+IFERROR(LOOKUP(V352,{600001;700001;800001;900001},{4000;6750;10250;15250}),0),IF(V352&gt;1200000,((V352-1200000)*27.5%)+300000,0)
)))))))</f>
        <v>0</v>
      </c>
      <c r="X352" s="12">
        <f t="shared" si="97"/>
        <v>0</v>
      </c>
      <c r="Y352" s="12">
        <f t="shared" si="98"/>
        <v>0</v>
      </c>
      <c r="Z352" s="11"/>
      <c r="AA352" s="13">
        <f t="shared" si="99"/>
        <v>0</v>
      </c>
      <c r="AB352" s="12">
        <f t="shared" si="100"/>
        <v>0</v>
      </c>
      <c r="AC352" s="14">
        <f t="shared" si="88"/>
        <v>0</v>
      </c>
      <c r="AE352" s="19">
        <f t="shared" si="101"/>
        <v>0</v>
      </c>
      <c r="AF352" s="19"/>
      <c r="AG352" s="17"/>
      <c r="AK352" s="7"/>
      <c r="AL352" s="108">
        <f t="shared" si="89"/>
        <v>0</v>
      </c>
      <c r="AM352" s="108">
        <f t="shared" si="90"/>
        <v>0</v>
      </c>
      <c r="AN352" s="113"/>
    </row>
    <row r="353" spans="2:40" x14ac:dyDescent="0.2">
      <c r="B353" s="7"/>
      <c r="C353" s="8"/>
      <c r="D353" s="8"/>
      <c r="E353" s="9"/>
      <c r="F353" s="6"/>
      <c r="G353" s="8"/>
      <c r="H353" s="32"/>
      <c r="I353" s="10" t="str">
        <f t="shared" si="87"/>
        <v>21</v>
      </c>
      <c r="J353" s="11">
        <v>1</v>
      </c>
      <c r="K353" s="11"/>
      <c r="L353" s="11"/>
      <c r="M353" s="11">
        <f t="shared" si="91"/>
        <v>0</v>
      </c>
      <c r="N353" s="11"/>
      <c r="O353" s="11">
        <f t="shared" si="92"/>
        <v>0</v>
      </c>
      <c r="P353" s="11"/>
      <c r="Q353" s="11"/>
      <c r="R353" s="11"/>
      <c r="S353" s="11">
        <f t="shared" si="93"/>
        <v>0</v>
      </c>
      <c r="T353" s="11">
        <f t="shared" si="94"/>
        <v>1666.6666666666667</v>
      </c>
      <c r="U353" s="11">
        <f t="shared" si="95"/>
        <v>0</v>
      </c>
      <c r="V353" s="24">
        <f t="shared" si="96"/>
        <v>0</v>
      </c>
      <c r="W353" s="11">
        <f>IF(V353&lt;=40000,0,
IF(V353&lt;=55000,(V353-40000)*10%,
IF(V353&lt;=70000,(V353-55000)*15%+1500,
IF(V353&lt;=200000,(V353-70000)*20%+1500+2250,
IF(V353&lt;=400000,(V353-200000)*22.5%+1500+2250+26000,
IF(V353&lt;=600000,(V353-400000)*25%+1500+2250+26000+45000,
IF(AND(V353&gt;600000,V353&lt;=1200000),(V353-400000)*25%+1500+2250+26000+45000
+IFERROR(LOOKUP(V353,{600001;700001;800001;900001},{4000;6750;10250;15250}),0),IF(V353&gt;1200000,((V353-1200000)*27.5%)+300000,0)
)))))))</f>
        <v>0</v>
      </c>
      <c r="X353" s="12">
        <f t="shared" si="97"/>
        <v>0</v>
      </c>
      <c r="Y353" s="12">
        <f t="shared" si="98"/>
        <v>0</v>
      </c>
      <c r="Z353" s="11"/>
      <c r="AA353" s="13">
        <f t="shared" si="99"/>
        <v>0</v>
      </c>
      <c r="AB353" s="12">
        <f t="shared" si="100"/>
        <v>0</v>
      </c>
      <c r="AC353" s="14">
        <f t="shared" si="88"/>
        <v>0</v>
      </c>
      <c r="AE353" s="19">
        <f t="shared" si="101"/>
        <v>0</v>
      </c>
      <c r="AF353" s="19"/>
      <c r="AG353" s="17"/>
      <c r="AK353" s="7"/>
      <c r="AL353" s="108">
        <f t="shared" si="89"/>
        <v>0</v>
      </c>
      <c r="AM353" s="108">
        <f t="shared" si="90"/>
        <v>0</v>
      </c>
      <c r="AN353" s="113"/>
    </row>
    <row r="354" spans="2:40" x14ac:dyDescent="0.2">
      <c r="B354" s="7"/>
      <c r="C354" s="8"/>
      <c r="D354" s="8"/>
      <c r="E354" s="9"/>
      <c r="F354" s="6"/>
      <c r="G354" s="8"/>
      <c r="H354" s="32"/>
      <c r="I354" s="10" t="str">
        <f t="shared" si="87"/>
        <v>21</v>
      </c>
      <c r="J354" s="11">
        <v>1</v>
      </c>
      <c r="K354" s="11"/>
      <c r="L354" s="11"/>
      <c r="M354" s="11">
        <f t="shared" si="91"/>
        <v>0</v>
      </c>
      <c r="N354" s="11"/>
      <c r="O354" s="11">
        <f t="shared" si="92"/>
        <v>0</v>
      </c>
      <c r="P354" s="11"/>
      <c r="Q354" s="11"/>
      <c r="R354" s="11"/>
      <c r="S354" s="11">
        <f t="shared" si="93"/>
        <v>0</v>
      </c>
      <c r="T354" s="11">
        <f t="shared" si="94"/>
        <v>1666.6666666666667</v>
      </c>
      <c r="U354" s="11">
        <f t="shared" si="95"/>
        <v>0</v>
      </c>
      <c r="V354" s="24">
        <f t="shared" si="96"/>
        <v>0</v>
      </c>
      <c r="W354" s="11">
        <f>IF(V354&lt;=40000,0,
IF(V354&lt;=55000,(V354-40000)*10%,
IF(V354&lt;=70000,(V354-55000)*15%+1500,
IF(V354&lt;=200000,(V354-70000)*20%+1500+2250,
IF(V354&lt;=400000,(V354-200000)*22.5%+1500+2250+26000,
IF(V354&lt;=600000,(V354-400000)*25%+1500+2250+26000+45000,
IF(AND(V354&gt;600000,V354&lt;=1200000),(V354-400000)*25%+1500+2250+26000+45000
+IFERROR(LOOKUP(V354,{600001;700001;800001;900001},{4000;6750;10250;15250}),0),IF(V354&gt;1200000,((V354-1200000)*27.5%)+300000,0)
)))))))</f>
        <v>0</v>
      </c>
      <c r="X354" s="12">
        <f t="shared" si="97"/>
        <v>0</v>
      </c>
      <c r="Y354" s="12">
        <f t="shared" si="98"/>
        <v>0</v>
      </c>
      <c r="Z354" s="11"/>
      <c r="AA354" s="13">
        <f t="shared" si="99"/>
        <v>0</v>
      </c>
      <c r="AB354" s="12">
        <f t="shared" si="100"/>
        <v>0</v>
      </c>
      <c r="AC354" s="14">
        <f t="shared" si="88"/>
        <v>0</v>
      </c>
      <c r="AE354" s="19">
        <f t="shared" si="101"/>
        <v>0</v>
      </c>
      <c r="AF354" s="19"/>
      <c r="AG354" s="17"/>
      <c r="AK354" s="7"/>
      <c r="AL354" s="108">
        <f t="shared" si="89"/>
        <v>0</v>
      </c>
      <c r="AM354" s="108">
        <f t="shared" si="90"/>
        <v>0</v>
      </c>
      <c r="AN354" s="113"/>
    </row>
    <row r="355" spans="2:40" x14ac:dyDescent="0.2">
      <c r="B355" s="7"/>
      <c r="C355" s="8"/>
      <c r="D355" s="8"/>
      <c r="E355" s="9"/>
      <c r="F355" s="6"/>
      <c r="G355" s="8"/>
      <c r="H355" s="32"/>
      <c r="I355" s="10" t="str">
        <f t="shared" si="87"/>
        <v>21</v>
      </c>
      <c r="J355" s="11">
        <v>1</v>
      </c>
      <c r="K355" s="11"/>
      <c r="L355" s="11"/>
      <c r="M355" s="11">
        <f t="shared" si="91"/>
        <v>0</v>
      </c>
      <c r="N355" s="11"/>
      <c r="O355" s="11">
        <f t="shared" si="92"/>
        <v>0</v>
      </c>
      <c r="P355" s="11"/>
      <c r="Q355" s="11"/>
      <c r="R355" s="11"/>
      <c r="S355" s="11">
        <f t="shared" si="93"/>
        <v>0</v>
      </c>
      <c r="T355" s="11">
        <f t="shared" si="94"/>
        <v>1666.6666666666667</v>
      </c>
      <c r="U355" s="11">
        <f t="shared" si="95"/>
        <v>0</v>
      </c>
      <c r="V355" s="24">
        <f t="shared" si="96"/>
        <v>0</v>
      </c>
      <c r="W355" s="11">
        <f>IF(V355&lt;=40000,0,
IF(V355&lt;=55000,(V355-40000)*10%,
IF(V355&lt;=70000,(V355-55000)*15%+1500,
IF(V355&lt;=200000,(V355-70000)*20%+1500+2250,
IF(V355&lt;=400000,(V355-200000)*22.5%+1500+2250+26000,
IF(V355&lt;=600000,(V355-400000)*25%+1500+2250+26000+45000,
IF(AND(V355&gt;600000,V355&lt;=1200000),(V355-400000)*25%+1500+2250+26000+45000
+IFERROR(LOOKUP(V355,{600001;700001;800001;900001},{4000;6750;10250;15250}),0),IF(V355&gt;1200000,((V355-1200000)*27.5%)+300000,0)
)))))))</f>
        <v>0</v>
      </c>
      <c r="X355" s="12">
        <f t="shared" si="97"/>
        <v>0</v>
      </c>
      <c r="Y355" s="12">
        <f t="shared" si="98"/>
        <v>0</v>
      </c>
      <c r="Z355" s="11"/>
      <c r="AA355" s="13">
        <f t="shared" si="99"/>
        <v>0</v>
      </c>
      <c r="AB355" s="12">
        <f t="shared" si="100"/>
        <v>0</v>
      </c>
      <c r="AC355" s="14">
        <f t="shared" si="88"/>
        <v>0</v>
      </c>
      <c r="AE355" s="19">
        <f t="shared" si="101"/>
        <v>0</v>
      </c>
      <c r="AF355" s="19"/>
      <c r="AG355" s="17"/>
      <c r="AK355" s="7"/>
      <c r="AL355" s="108">
        <f t="shared" si="89"/>
        <v>0</v>
      </c>
      <c r="AM355" s="108">
        <f t="shared" si="90"/>
        <v>0</v>
      </c>
      <c r="AN355" s="113"/>
    </row>
    <row r="356" spans="2:40" x14ac:dyDescent="0.2">
      <c r="B356" s="7"/>
      <c r="C356" s="8"/>
      <c r="D356" s="8"/>
      <c r="E356" s="9"/>
      <c r="F356" s="6"/>
      <c r="G356" s="8"/>
      <c r="H356" s="32"/>
      <c r="I356" s="10" t="str">
        <f t="shared" si="87"/>
        <v>21</v>
      </c>
      <c r="J356" s="11">
        <v>1</v>
      </c>
      <c r="K356" s="11"/>
      <c r="L356" s="11"/>
      <c r="M356" s="11">
        <f t="shared" si="91"/>
        <v>0</v>
      </c>
      <c r="N356" s="11"/>
      <c r="O356" s="11">
        <f t="shared" si="92"/>
        <v>0</v>
      </c>
      <c r="P356" s="11"/>
      <c r="Q356" s="11"/>
      <c r="R356" s="11"/>
      <c r="S356" s="11">
        <f t="shared" si="93"/>
        <v>0</v>
      </c>
      <c r="T356" s="11">
        <f t="shared" si="94"/>
        <v>1666.6666666666667</v>
      </c>
      <c r="U356" s="11">
        <f t="shared" si="95"/>
        <v>0</v>
      </c>
      <c r="V356" s="24">
        <f t="shared" si="96"/>
        <v>0</v>
      </c>
      <c r="W356" s="11">
        <f>IF(V356&lt;=40000,0,
IF(V356&lt;=55000,(V356-40000)*10%,
IF(V356&lt;=70000,(V356-55000)*15%+1500,
IF(V356&lt;=200000,(V356-70000)*20%+1500+2250,
IF(V356&lt;=400000,(V356-200000)*22.5%+1500+2250+26000,
IF(V356&lt;=600000,(V356-400000)*25%+1500+2250+26000+45000,
IF(AND(V356&gt;600000,V356&lt;=1200000),(V356-400000)*25%+1500+2250+26000+45000
+IFERROR(LOOKUP(V356,{600001;700001;800001;900001},{4000;6750;10250;15250}),0),IF(V356&gt;1200000,((V356-1200000)*27.5%)+300000,0)
)))))))</f>
        <v>0</v>
      </c>
      <c r="X356" s="12">
        <f t="shared" si="97"/>
        <v>0</v>
      </c>
      <c r="Y356" s="12">
        <f t="shared" si="98"/>
        <v>0</v>
      </c>
      <c r="Z356" s="11"/>
      <c r="AA356" s="13">
        <f t="shared" si="99"/>
        <v>0</v>
      </c>
      <c r="AB356" s="12">
        <f t="shared" si="100"/>
        <v>0</v>
      </c>
      <c r="AC356" s="14">
        <f t="shared" si="88"/>
        <v>0</v>
      </c>
      <c r="AE356" s="19">
        <f t="shared" si="101"/>
        <v>0</v>
      </c>
      <c r="AF356" s="19"/>
      <c r="AG356" s="17"/>
      <c r="AK356" s="7"/>
      <c r="AL356" s="108">
        <f t="shared" si="89"/>
        <v>0</v>
      </c>
      <c r="AM356" s="108">
        <f t="shared" si="90"/>
        <v>0</v>
      </c>
      <c r="AN356" s="113"/>
    </row>
    <row r="357" spans="2:40" x14ac:dyDescent="0.2">
      <c r="B357" s="7"/>
      <c r="C357" s="8"/>
      <c r="D357" s="8"/>
      <c r="E357" s="9"/>
      <c r="F357" s="6"/>
      <c r="G357" s="8"/>
      <c r="H357" s="32"/>
      <c r="I357" s="10" t="str">
        <f t="shared" si="87"/>
        <v>21</v>
      </c>
      <c r="J357" s="11">
        <v>1</v>
      </c>
      <c r="K357" s="11"/>
      <c r="L357" s="11"/>
      <c r="M357" s="11">
        <f t="shared" si="91"/>
        <v>0</v>
      </c>
      <c r="N357" s="11"/>
      <c r="O357" s="11">
        <f t="shared" si="92"/>
        <v>0</v>
      </c>
      <c r="P357" s="11"/>
      <c r="Q357" s="11"/>
      <c r="R357" s="11"/>
      <c r="S357" s="11">
        <f t="shared" si="93"/>
        <v>0</v>
      </c>
      <c r="T357" s="11">
        <f t="shared" si="94"/>
        <v>1666.6666666666667</v>
      </c>
      <c r="U357" s="11">
        <f t="shared" si="95"/>
        <v>0</v>
      </c>
      <c r="V357" s="24">
        <f t="shared" si="96"/>
        <v>0</v>
      </c>
      <c r="W357" s="11">
        <f>IF(V357&lt;=40000,0,
IF(V357&lt;=55000,(V357-40000)*10%,
IF(V357&lt;=70000,(V357-55000)*15%+1500,
IF(V357&lt;=200000,(V357-70000)*20%+1500+2250,
IF(V357&lt;=400000,(V357-200000)*22.5%+1500+2250+26000,
IF(V357&lt;=600000,(V357-400000)*25%+1500+2250+26000+45000,
IF(AND(V357&gt;600000,V357&lt;=1200000),(V357-400000)*25%+1500+2250+26000+45000
+IFERROR(LOOKUP(V357,{600001;700001;800001;900001},{4000;6750;10250;15250}),0),IF(V357&gt;1200000,((V357-1200000)*27.5%)+300000,0)
)))))))</f>
        <v>0</v>
      </c>
      <c r="X357" s="12">
        <f t="shared" si="97"/>
        <v>0</v>
      </c>
      <c r="Y357" s="12">
        <f t="shared" si="98"/>
        <v>0</v>
      </c>
      <c r="Z357" s="11"/>
      <c r="AA357" s="13">
        <f t="shared" si="99"/>
        <v>0</v>
      </c>
      <c r="AB357" s="12">
        <f t="shared" si="100"/>
        <v>0</v>
      </c>
      <c r="AC357" s="14">
        <f t="shared" si="88"/>
        <v>0</v>
      </c>
      <c r="AE357" s="19">
        <f t="shared" si="101"/>
        <v>0</v>
      </c>
      <c r="AF357" s="19"/>
      <c r="AG357" s="17"/>
      <c r="AK357" s="7"/>
      <c r="AL357" s="108">
        <f t="shared" si="89"/>
        <v>0</v>
      </c>
      <c r="AM357" s="108">
        <f t="shared" si="90"/>
        <v>0</v>
      </c>
      <c r="AN357" s="113"/>
    </row>
    <row r="358" spans="2:40" x14ac:dyDescent="0.2">
      <c r="B358" s="7"/>
      <c r="C358" s="8"/>
      <c r="D358" s="8"/>
      <c r="E358" s="9"/>
      <c r="F358" s="6"/>
      <c r="G358" s="8"/>
      <c r="H358" s="32"/>
      <c r="I358" s="10" t="str">
        <f t="shared" si="87"/>
        <v>21</v>
      </c>
      <c r="J358" s="11">
        <v>1</v>
      </c>
      <c r="K358" s="11"/>
      <c r="L358" s="11"/>
      <c r="M358" s="11">
        <f t="shared" si="91"/>
        <v>0</v>
      </c>
      <c r="N358" s="11"/>
      <c r="O358" s="11">
        <f t="shared" si="92"/>
        <v>0</v>
      </c>
      <c r="P358" s="11"/>
      <c r="Q358" s="11"/>
      <c r="R358" s="11"/>
      <c r="S358" s="11">
        <f t="shared" si="93"/>
        <v>0</v>
      </c>
      <c r="T358" s="11">
        <f t="shared" si="94"/>
        <v>1666.6666666666667</v>
      </c>
      <c r="U358" s="11">
        <f t="shared" si="95"/>
        <v>0</v>
      </c>
      <c r="V358" s="24">
        <f t="shared" si="96"/>
        <v>0</v>
      </c>
      <c r="W358" s="11">
        <f>IF(V358&lt;=40000,0,
IF(V358&lt;=55000,(V358-40000)*10%,
IF(V358&lt;=70000,(V358-55000)*15%+1500,
IF(V358&lt;=200000,(V358-70000)*20%+1500+2250,
IF(V358&lt;=400000,(V358-200000)*22.5%+1500+2250+26000,
IF(V358&lt;=600000,(V358-400000)*25%+1500+2250+26000+45000,
IF(AND(V358&gt;600000,V358&lt;=1200000),(V358-400000)*25%+1500+2250+26000+45000
+IFERROR(LOOKUP(V358,{600001;700001;800001;900001},{4000;6750;10250;15250}),0),IF(V358&gt;1200000,((V358-1200000)*27.5%)+300000,0)
)))))))</f>
        <v>0</v>
      </c>
      <c r="X358" s="12">
        <f t="shared" si="97"/>
        <v>0</v>
      </c>
      <c r="Y358" s="12">
        <f t="shared" si="98"/>
        <v>0</v>
      </c>
      <c r="Z358" s="11"/>
      <c r="AA358" s="13">
        <f t="shared" si="99"/>
        <v>0</v>
      </c>
      <c r="AB358" s="12">
        <f t="shared" si="100"/>
        <v>0</v>
      </c>
      <c r="AC358" s="14">
        <f t="shared" si="88"/>
        <v>0</v>
      </c>
      <c r="AE358" s="19">
        <f t="shared" si="101"/>
        <v>0</v>
      </c>
      <c r="AF358" s="19"/>
      <c r="AG358" s="17"/>
      <c r="AK358" s="7"/>
      <c r="AL358" s="108">
        <f t="shared" si="89"/>
        <v>0</v>
      </c>
      <c r="AM358" s="108">
        <f t="shared" si="90"/>
        <v>0</v>
      </c>
      <c r="AN358" s="113"/>
    </row>
    <row r="359" spans="2:40" x14ac:dyDescent="0.2">
      <c r="B359" s="7"/>
      <c r="C359" s="8"/>
      <c r="D359" s="8"/>
      <c r="E359" s="9"/>
      <c r="F359" s="6"/>
      <c r="G359" s="8"/>
      <c r="H359" s="32"/>
      <c r="I359" s="10" t="str">
        <f t="shared" si="87"/>
        <v>21</v>
      </c>
      <c r="J359" s="11">
        <v>1</v>
      </c>
      <c r="K359" s="11"/>
      <c r="L359" s="11"/>
      <c r="M359" s="11">
        <f t="shared" si="91"/>
        <v>0</v>
      </c>
      <c r="N359" s="11"/>
      <c r="O359" s="11">
        <f t="shared" si="92"/>
        <v>0</v>
      </c>
      <c r="P359" s="11"/>
      <c r="Q359" s="11"/>
      <c r="R359" s="11"/>
      <c r="S359" s="11">
        <f t="shared" si="93"/>
        <v>0</v>
      </c>
      <c r="T359" s="11">
        <f t="shared" si="94"/>
        <v>1666.6666666666667</v>
      </c>
      <c r="U359" s="11">
        <f t="shared" si="95"/>
        <v>0</v>
      </c>
      <c r="V359" s="24">
        <f t="shared" si="96"/>
        <v>0</v>
      </c>
      <c r="W359" s="11">
        <f>IF(V359&lt;=40000,0,
IF(V359&lt;=55000,(V359-40000)*10%,
IF(V359&lt;=70000,(V359-55000)*15%+1500,
IF(V359&lt;=200000,(V359-70000)*20%+1500+2250,
IF(V359&lt;=400000,(V359-200000)*22.5%+1500+2250+26000,
IF(V359&lt;=600000,(V359-400000)*25%+1500+2250+26000+45000,
IF(AND(V359&gt;600000,V359&lt;=1200000),(V359-400000)*25%+1500+2250+26000+45000
+IFERROR(LOOKUP(V359,{600001;700001;800001;900001},{4000;6750;10250;15250}),0),IF(V359&gt;1200000,((V359-1200000)*27.5%)+300000,0)
)))))))</f>
        <v>0</v>
      </c>
      <c r="X359" s="12">
        <f t="shared" si="97"/>
        <v>0</v>
      </c>
      <c r="Y359" s="12">
        <f t="shared" si="98"/>
        <v>0</v>
      </c>
      <c r="Z359" s="11"/>
      <c r="AA359" s="13">
        <f t="shared" si="99"/>
        <v>0</v>
      </c>
      <c r="AB359" s="12">
        <f t="shared" si="100"/>
        <v>0</v>
      </c>
      <c r="AC359" s="14">
        <f t="shared" si="88"/>
        <v>0</v>
      </c>
      <c r="AE359" s="19">
        <f t="shared" si="101"/>
        <v>0</v>
      </c>
      <c r="AF359" s="19"/>
      <c r="AG359" s="17"/>
      <c r="AK359" s="7"/>
      <c r="AL359" s="108">
        <f t="shared" si="89"/>
        <v>0</v>
      </c>
      <c r="AM359" s="108">
        <f t="shared" si="90"/>
        <v>0</v>
      </c>
      <c r="AN359" s="113"/>
    </row>
    <row r="360" spans="2:40" x14ac:dyDescent="0.2">
      <c r="B360" s="7"/>
      <c r="C360" s="8"/>
      <c r="D360" s="8"/>
      <c r="E360" s="9"/>
      <c r="F360" s="6"/>
      <c r="G360" s="8"/>
      <c r="H360" s="32"/>
      <c r="I360" s="10" t="str">
        <f t="shared" si="87"/>
        <v>21</v>
      </c>
      <c r="J360" s="11">
        <v>1</v>
      </c>
      <c r="K360" s="11"/>
      <c r="L360" s="11"/>
      <c r="M360" s="11">
        <f t="shared" si="91"/>
        <v>0</v>
      </c>
      <c r="N360" s="11"/>
      <c r="O360" s="11">
        <f t="shared" si="92"/>
        <v>0</v>
      </c>
      <c r="P360" s="11"/>
      <c r="Q360" s="11"/>
      <c r="R360" s="11"/>
      <c r="S360" s="11">
        <f t="shared" si="93"/>
        <v>0</v>
      </c>
      <c r="T360" s="11">
        <f t="shared" si="94"/>
        <v>1666.6666666666667</v>
      </c>
      <c r="U360" s="11">
        <f t="shared" si="95"/>
        <v>0</v>
      </c>
      <c r="V360" s="24">
        <f t="shared" si="96"/>
        <v>0</v>
      </c>
      <c r="W360" s="11">
        <f>IF(V360&lt;=40000,0,
IF(V360&lt;=55000,(V360-40000)*10%,
IF(V360&lt;=70000,(V360-55000)*15%+1500,
IF(V360&lt;=200000,(V360-70000)*20%+1500+2250,
IF(V360&lt;=400000,(V360-200000)*22.5%+1500+2250+26000,
IF(V360&lt;=600000,(V360-400000)*25%+1500+2250+26000+45000,
IF(AND(V360&gt;600000,V360&lt;=1200000),(V360-400000)*25%+1500+2250+26000+45000
+IFERROR(LOOKUP(V360,{600001;700001;800001;900001},{4000;6750;10250;15250}),0),IF(V360&gt;1200000,((V360-1200000)*27.5%)+300000,0)
)))))))</f>
        <v>0</v>
      </c>
      <c r="X360" s="12">
        <f t="shared" si="97"/>
        <v>0</v>
      </c>
      <c r="Y360" s="12">
        <f t="shared" si="98"/>
        <v>0</v>
      </c>
      <c r="Z360" s="11"/>
      <c r="AA360" s="13">
        <f t="shared" si="99"/>
        <v>0</v>
      </c>
      <c r="AB360" s="12">
        <f t="shared" si="100"/>
        <v>0</v>
      </c>
      <c r="AC360" s="14">
        <f t="shared" si="88"/>
        <v>0</v>
      </c>
      <c r="AE360" s="19">
        <f t="shared" si="101"/>
        <v>0</v>
      </c>
      <c r="AF360" s="19"/>
      <c r="AG360" s="17"/>
      <c r="AK360" s="7"/>
      <c r="AL360" s="108">
        <f t="shared" si="89"/>
        <v>0</v>
      </c>
      <c r="AM360" s="108">
        <f t="shared" si="90"/>
        <v>0</v>
      </c>
      <c r="AN360" s="113"/>
    </row>
    <row r="361" spans="2:40" x14ac:dyDescent="0.2">
      <c r="B361" s="7"/>
      <c r="C361" s="8"/>
      <c r="D361" s="8"/>
      <c r="E361" s="9"/>
      <c r="F361" s="6"/>
      <c r="G361" s="8"/>
      <c r="H361" s="32"/>
      <c r="I361" s="10" t="str">
        <f t="shared" si="87"/>
        <v>21</v>
      </c>
      <c r="J361" s="11">
        <v>1</v>
      </c>
      <c r="K361" s="11"/>
      <c r="L361" s="11"/>
      <c r="M361" s="11">
        <f t="shared" si="91"/>
        <v>0</v>
      </c>
      <c r="N361" s="11"/>
      <c r="O361" s="11">
        <f t="shared" si="92"/>
        <v>0</v>
      </c>
      <c r="P361" s="11"/>
      <c r="Q361" s="11"/>
      <c r="R361" s="11"/>
      <c r="S361" s="11">
        <f t="shared" si="93"/>
        <v>0</v>
      </c>
      <c r="T361" s="11">
        <f t="shared" si="94"/>
        <v>1666.6666666666667</v>
      </c>
      <c r="U361" s="11">
        <f t="shared" si="95"/>
        <v>0</v>
      </c>
      <c r="V361" s="24">
        <f t="shared" si="96"/>
        <v>0</v>
      </c>
      <c r="W361" s="11">
        <f>IF(V361&lt;=40000,0,
IF(V361&lt;=55000,(V361-40000)*10%,
IF(V361&lt;=70000,(V361-55000)*15%+1500,
IF(V361&lt;=200000,(V361-70000)*20%+1500+2250,
IF(V361&lt;=400000,(V361-200000)*22.5%+1500+2250+26000,
IF(V361&lt;=600000,(V361-400000)*25%+1500+2250+26000+45000,
IF(AND(V361&gt;600000,V361&lt;=1200000),(V361-400000)*25%+1500+2250+26000+45000
+IFERROR(LOOKUP(V361,{600001;700001;800001;900001},{4000;6750;10250;15250}),0),IF(V361&gt;1200000,((V361-1200000)*27.5%)+300000,0)
)))))))</f>
        <v>0</v>
      </c>
      <c r="X361" s="12">
        <f t="shared" si="97"/>
        <v>0</v>
      </c>
      <c r="Y361" s="12">
        <f t="shared" si="98"/>
        <v>0</v>
      </c>
      <c r="Z361" s="11"/>
      <c r="AA361" s="13">
        <f t="shared" si="99"/>
        <v>0</v>
      </c>
      <c r="AB361" s="12">
        <f t="shared" si="100"/>
        <v>0</v>
      </c>
      <c r="AC361" s="14">
        <f t="shared" si="88"/>
        <v>0</v>
      </c>
      <c r="AE361" s="19">
        <f t="shared" si="101"/>
        <v>0</v>
      </c>
      <c r="AF361" s="19"/>
      <c r="AG361" s="17"/>
      <c r="AK361" s="7"/>
      <c r="AL361" s="108">
        <f t="shared" si="89"/>
        <v>0</v>
      </c>
      <c r="AM361" s="108">
        <f t="shared" si="90"/>
        <v>0</v>
      </c>
      <c r="AN361" s="113"/>
    </row>
    <row r="362" spans="2:40" x14ac:dyDescent="0.2">
      <c r="B362" s="7"/>
      <c r="C362" s="8"/>
      <c r="D362" s="8"/>
      <c r="E362" s="9"/>
      <c r="F362" s="6"/>
      <c r="G362" s="8"/>
      <c r="H362" s="32"/>
      <c r="I362" s="10" t="str">
        <f t="shared" si="87"/>
        <v>21</v>
      </c>
      <c r="J362" s="11">
        <v>1</v>
      </c>
      <c r="K362" s="11"/>
      <c r="L362" s="11"/>
      <c r="M362" s="11">
        <f t="shared" si="91"/>
        <v>0</v>
      </c>
      <c r="N362" s="11"/>
      <c r="O362" s="11">
        <f t="shared" si="92"/>
        <v>0</v>
      </c>
      <c r="P362" s="11"/>
      <c r="Q362" s="11"/>
      <c r="R362" s="11"/>
      <c r="S362" s="11">
        <f t="shared" si="93"/>
        <v>0</v>
      </c>
      <c r="T362" s="11">
        <f t="shared" si="94"/>
        <v>1666.6666666666667</v>
      </c>
      <c r="U362" s="11">
        <f t="shared" si="95"/>
        <v>0</v>
      </c>
      <c r="V362" s="24">
        <f t="shared" si="96"/>
        <v>0</v>
      </c>
      <c r="W362" s="11">
        <f>IF(V362&lt;=40000,0,
IF(V362&lt;=55000,(V362-40000)*10%,
IF(V362&lt;=70000,(V362-55000)*15%+1500,
IF(V362&lt;=200000,(V362-70000)*20%+1500+2250,
IF(V362&lt;=400000,(V362-200000)*22.5%+1500+2250+26000,
IF(V362&lt;=600000,(V362-400000)*25%+1500+2250+26000+45000,
IF(AND(V362&gt;600000,V362&lt;=1200000),(V362-400000)*25%+1500+2250+26000+45000
+IFERROR(LOOKUP(V362,{600001;700001;800001;900001},{4000;6750;10250;15250}),0),IF(V362&gt;1200000,((V362-1200000)*27.5%)+300000,0)
)))))))</f>
        <v>0</v>
      </c>
      <c r="X362" s="12">
        <f t="shared" si="97"/>
        <v>0</v>
      </c>
      <c r="Y362" s="12">
        <f t="shared" si="98"/>
        <v>0</v>
      </c>
      <c r="Z362" s="11"/>
      <c r="AA362" s="13">
        <f t="shared" si="99"/>
        <v>0</v>
      </c>
      <c r="AB362" s="12">
        <f t="shared" si="100"/>
        <v>0</v>
      </c>
      <c r="AC362" s="14">
        <f t="shared" si="88"/>
        <v>0</v>
      </c>
      <c r="AE362" s="19">
        <f t="shared" si="101"/>
        <v>0</v>
      </c>
      <c r="AF362" s="19"/>
      <c r="AG362" s="17"/>
      <c r="AK362" s="7"/>
      <c r="AL362" s="108">
        <f t="shared" si="89"/>
        <v>0</v>
      </c>
      <c r="AM362" s="108">
        <f t="shared" si="90"/>
        <v>0</v>
      </c>
      <c r="AN362" s="113"/>
    </row>
    <row r="363" spans="2:40" x14ac:dyDescent="0.2">
      <c r="B363" s="7"/>
      <c r="C363" s="8"/>
      <c r="D363" s="8"/>
      <c r="E363" s="9"/>
      <c r="F363" s="6"/>
      <c r="G363" s="8"/>
      <c r="H363" s="32"/>
      <c r="I363" s="10" t="str">
        <f t="shared" si="87"/>
        <v>21</v>
      </c>
      <c r="J363" s="11">
        <v>1</v>
      </c>
      <c r="K363" s="11"/>
      <c r="L363" s="11"/>
      <c r="M363" s="11">
        <f t="shared" si="91"/>
        <v>0</v>
      </c>
      <c r="N363" s="11"/>
      <c r="O363" s="11">
        <f t="shared" si="92"/>
        <v>0</v>
      </c>
      <c r="P363" s="11"/>
      <c r="Q363" s="11"/>
      <c r="R363" s="11"/>
      <c r="S363" s="11">
        <f t="shared" si="93"/>
        <v>0</v>
      </c>
      <c r="T363" s="11">
        <f t="shared" si="94"/>
        <v>1666.6666666666667</v>
      </c>
      <c r="U363" s="11">
        <f t="shared" si="95"/>
        <v>0</v>
      </c>
      <c r="V363" s="24">
        <f t="shared" si="96"/>
        <v>0</v>
      </c>
      <c r="W363" s="11">
        <f>IF(V363&lt;=40000,0,
IF(V363&lt;=55000,(V363-40000)*10%,
IF(V363&lt;=70000,(V363-55000)*15%+1500,
IF(V363&lt;=200000,(V363-70000)*20%+1500+2250,
IF(V363&lt;=400000,(V363-200000)*22.5%+1500+2250+26000,
IF(V363&lt;=600000,(V363-400000)*25%+1500+2250+26000+45000,
IF(AND(V363&gt;600000,V363&lt;=1200000),(V363-400000)*25%+1500+2250+26000+45000
+IFERROR(LOOKUP(V363,{600001;700001;800001;900001},{4000;6750;10250;15250}),0),IF(V363&gt;1200000,((V363-1200000)*27.5%)+300000,0)
)))))))</f>
        <v>0</v>
      </c>
      <c r="X363" s="12">
        <f t="shared" si="97"/>
        <v>0</v>
      </c>
      <c r="Y363" s="12">
        <f t="shared" si="98"/>
        <v>0</v>
      </c>
      <c r="Z363" s="11"/>
      <c r="AA363" s="13">
        <f t="shared" si="99"/>
        <v>0</v>
      </c>
      <c r="AB363" s="12">
        <f t="shared" si="100"/>
        <v>0</v>
      </c>
      <c r="AC363" s="14">
        <f t="shared" si="88"/>
        <v>0</v>
      </c>
      <c r="AE363" s="19">
        <f t="shared" si="101"/>
        <v>0</v>
      </c>
      <c r="AF363" s="19"/>
      <c r="AG363" s="17"/>
      <c r="AK363" s="7"/>
      <c r="AL363" s="108">
        <f t="shared" si="89"/>
        <v>0</v>
      </c>
      <c r="AM363" s="108">
        <f t="shared" si="90"/>
        <v>0</v>
      </c>
      <c r="AN363" s="113"/>
    </row>
    <row r="364" spans="2:40" x14ac:dyDescent="0.2">
      <c r="B364" s="7"/>
      <c r="C364" s="8"/>
      <c r="D364" s="8"/>
      <c r="E364" s="9"/>
      <c r="F364" s="6"/>
      <c r="G364" s="8"/>
      <c r="H364" s="32"/>
      <c r="I364" s="10" t="str">
        <f t="shared" si="87"/>
        <v>21</v>
      </c>
      <c r="J364" s="11">
        <v>1</v>
      </c>
      <c r="K364" s="11"/>
      <c r="L364" s="11"/>
      <c r="M364" s="11">
        <f t="shared" si="91"/>
        <v>0</v>
      </c>
      <c r="N364" s="11"/>
      <c r="O364" s="11">
        <f t="shared" si="92"/>
        <v>0</v>
      </c>
      <c r="P364" s="11"/>
      <c r="Q364" s="11"/>
      <c r="R364" s="11"/>
      <c r="S364" s="11">
        <f t="shared" si="93"/>
        <v>0</v>
      </c>
      <c r="T364" s="11">
        <f t="shared" si="94"/>
        <v>1666.6666666666667</v>
      </c>
      <c r="U364" s="11">
        <f t="shared" si="95"/>
        <v>0</v>
      </c>
      <c r="V364" s="24">
        <f t="shared" si="96"/>
        <v>0</v>
      </c>
      <c r="W364" s="11">
        <f>IF(V364&lt;=40000,0,
IF(V364&lt;=55000,(V364-40000)*10%,
IF(V364&lt;=70000,(V364-55000)*15%+1500,
IF(V364&lt;=200000,(V364-70000)*20%+1500+2250,
IF(V364&lt;=400000,(V364-200000)*22.5%+1500+2250+26000,
IF(V364&lt;=600000,(V364-400000)*25%+1500+2250+26000+45000,
IF(AND(V364&gt;600000,V364&lt;=1200000),(V364-400000)*25%+1500+2250+26000+45000
+IFERROR(LOOKUP(V364,{600001;700001;800001;900001},{4000;6750;10250;15250}),0),IF(V364&gt;1200000,((V364-1200000)*27.5%)+300000,0)
)))))))</f>
        <v>0</v>
      </c>
      <c r="X364" s="12">
        <f t="shared" si="97"/>
        <v>0</v>
      </c>
      <c r="Y364" s="12">
        <f t="shared" si="98"/>
        <v>0</v>
      </c>
      <c r="Z364" s="11"/>
      <c r="AA364" s="13">
        <f t="shared" si="99"/>
        <v>0</v>
      </c>
      <c r="AB364" s="12">
        <f t="shared" si="100"/>
        <v>0</v>
      </c>
      <c r="AC364" s="14">
        <f t="shared" si="88"/>
        <v>0</v>
      </c>
      <c r="AE364" s="19">
        <f t="shared" si="101"/>
        <v>0</v>
      </c>
      <c r="AF364" s="19"/>
      <c r="AG364" s="17"/>
      <c r="AK364" s="7"/>
      <c r="AL364" s="108">
        <f t="shared" si="89"/>
        <v>0</v>
      </c>
      <c r="AM364" s="108">
        <f t="shared" si="90"/>
        <v>0</v>
      </c>
      <c r="AN364" s="113"/>
    </row>
    <row r="365" spans="2:40" x14ac:dyDescent="0.2">
      <c r="B365" s="7"/>
      <c r="C365" s="8"/>
      <c r="D365" s="8"/>
      <c r="E365" s="9"/>
      <c r="F365" s="6"/>
      <c r="G365" s="8"/>
      <c r="H365" s="32"/>
      <c r="I365" s="10" t="str">
        <f t="shared" si="87"/>
        <v>21</v>
      </c>
      <c r="J365" s="11">
        <v>1</v>
      </c>
      <c r="K365" s="11"/>
      <c r="L365" s="11"/>
      <c r="M365" s="11">
        <f t="shared" si="91"/>
        <v>0</v>
      </c>
      <c r="N365" s="11"/>
      <c r="O365" s="11">
        <f t="shared" si="92"/>
        <v>0</v>
      </c>
      <c r="P365" s="11"/>
      <c r="Q365" s="11"/>
      <c r="R365" s="11"/>
      <c r="S365" s="11">
        <f t="shared" si="93"/>
        <v>0</v>
      </c>
      <c r="T365" s="11">
        <f t="shared" si="94"/>
        <v>1666.6666666666667</v>
      </c>
      <c r="U365" s="11">
        <f t="shared" si="95"/>
        <v>0</v>
      </c>
      <c r="V365" s="24">
        <f t="shared" si="96"/>
        <v>0</v>
      </c>
      <c r="W365" s="11">
        <f>IF(V365&lt;=40000,0,
IF(V365&lt;=55000,(V365-40000)*10%,
IF(V365&lt;=70000,(V365-55000)*15%+1500,
IF(V365&lt;=200000,(V365-70000)*20%+1500+2250,
IF(V365&lt;=400000,(V365-200000)*22.5%+1500+2250+26000,
IF(V365&lt;=600000,(V365-400000)*25%+1500+2250+26000+45000,
IF(AND(V365&gt;600000,V365&lt;=1200000),(V365-400000)*25%+1500+2250+26000+45000
+IFERROR(LOOKUP(V365,{600001;700001;800001;900001},{4000;6750;10250;15250}),0),IF(V365&gt;1200000,((V365-1200000)*27.5%)+300000,0)
)))))))</f>
        <v>0</v>
      </c>
      <c r="X365" s="12">
        <f t="shared" si="97"/>
        <v>0</v>
      </c>
      <c r="Y365" s="12">
        <f t="shared" si="98"/>
        <v>0</v>
      </c>
      <c r="Z365" s="11"/>
      <c r="AA365" s="13">
        <f t="shared" si="99"/>
        <v>0</v>
      </c>
      <c r="AB365" s="12">
        <f t="shared" si="100"/>
        <v>0</v>
      </c>
      <c r="AC365" s="14">
        <f t="shared" si="88"/>
        <v>0</v>
      </c>
      <c r="AE365" s="19">
        <f t="shared" si="101"/>
        <v>0</v>
      </c>
      <c r="AF365" s="19"/>
      <c r="AG365" s="17"/>
      <c r="AK365" s="7"/>
      <c r="AL365" s="108">
        <f t="shared" si="89"/>
        <v>0</v>
      </c>
      <c r="AM365" s="108">
        <f t="shared" si="90"/>
        <v>0</v>
      </c>
      <c r="AN365" s="113"/>
    </row>
    <row r="366" spans="2:40" x14ac:dyDescent="0.2">
      <c r="B366" s="7"/>
      <c r="C366" s="8"/>
      <c r="D366" s="8"/>
      <c r="E366" s="9"/>
      <c r="F366" s="6"/>
      <c r="G366" s="8"/>
      <c r="H366" s="32"/>
      <c r="I366" s="10" t="str">
        <f t="shared" si="87"/>
        <v>21</v>
      </c>
      <c r="J366" s="11">
        <v>1</v>
      </c>
      <c r="K366" s="11"/>
      <c r="L366" s="11"/>
      <c r="M366" s="11">
        <f t="shared" si="91"/>
        <v>0</v>
      </c>
      <c r="N366" s="11"/>
      <c r="O366" s="11">
        <f t="shared" si="92"/>
        <v>0</v>
      </c>
      <c r="P366" s="11"/>
      <c r="Q366" s="11"/>
      <c r="R366" s="11"/>
      <c r="S366" s="11">
        <f t="shared" si="93"/>
        <v>0</v>
      </c>
      <c r="T366" s="11">
        <f t="shared" si="94"/>
        <v>1666.6666666666667</v>
      </c>
      <c r="U366" s="11">
        <f t="shared" si="95"/>
        <v>0</v>
      </c>
      <c r="V366" s="24">
        <f t="shared" si="96"/>
        <v>0</v>
      </c>
      <c r="W366" s="11">
        <f>IF(V366&lt;=40000,0,
IF(V366&lt;=55000,(V366-40000)*10%,
IF(V366&lt;=70000,(V366-55000)*15%+1500,
IF(V366&lt;=200000,(V366-70000)*20%+1500+2250,
IF(V366&lt;=400000,(V366-200000)*22.5%+1500+2250+26000,
IF(V366&lt;=600000,(V366-400000)*25%+1500+2250+26000+45000,
IF(AND(V366&gt;600000,V366&lt;=1200000),(V366-400000)*25%+1500+2250+26000+45000
+IFERROR(LOOKUP(V366,{600001;700001;800001;900001},{4000;6750;10250;15250}),0),IF(V366&gt;1200000,((V366-1200000)*27.5%)+300000,0)
)))))))</f>
        <v>0</v>
      </c>
      <c r="X366" s="12">
        <f t="shared" si="97"/>
        <v>0</v>
      </c>
      <c r="Y366" s="12">
        <f t="shared" si="98"/>
        <v>0</v>
      </c>
      <c r="Z366" s="11"/>
      <c r="AA366" s="13">
        <f t="shared" si="99"/>
        <v>0</v>
      </c>
      <c r="AB366" s="12">
        <f t="shared" si="100"/>
        <v>0</v>
      </c>
      <c r="AC366" s="14">
        <f t="shared" si="88"/>
        <v>0</v>
      </c>
      <c r="AE366" s="19">
        <f t="shared" si="101"/>
        <v>0</v>
      </c>
      <c r="AF366" s="19"/>
      <c r="AG366" s="17"/>
      <c r="AK366" s="7"/>
      <c r="AL366" s="108">
        <f t="shared" si="89"/>
        <v>0</v>
      </c>
      <c r="AM366" s="108">
        <f t="shared" si="90"/>
        <v>0</v>
      </c>
      <c r="AN366" s="113"/>
    </row>
    <row r="367" spans="2:40" x14ac:dyDescent="0.2">
      <c r="B367" s="7"/>
      <c r="C367" s="8"/>
      <c r="D367" s="8"/>
      <c r="E367" s="9"/>
      <c r="F367" s="6"/>
      <c r="G367" s="8"/>
      <c r="H367" s="32"/>
      <c r="I367" s="10" t="str">
        <f t="shared" si="87"/>
        <v>21</v>
      </c>
      <c r="J367" s="11">
        <v>1</v>
      </c>
      <c r="K367" s="11"/>
      <c r="L367" s="11"/>
      <c r="M367" s="11">
        <f t="shared" si="91"/>
        <v>0</v>
      </c>
      <c r="N367" s="11"/>
      <c r="O367" s="11">
        <f t="shared" si="92"/>
        <v>0</v>
      </c>
      <c r="P367" s="11"/>
      <c r="Q367" s="11"/>
      <c r="R367" s="11"/>
      <c r="S367" s="11">
        <f t="shared" si="93"/>
        <v>0</v>
      </c>
      <c r="T367" s="11">
        <f t="shared" si="94"/>
        <v>1666.6666666666667</v>
      </c>
      <c r="U367" s="11">
        <f t="shared" si="95"/>
        <v>0</v>
      </c>
      <c r="V367" s="24">
        <f t="shared" si="96"/>
        <v>0</v>
      </c>
      <c r="W367" s="11">
        <f>IF(V367&lt;=40000,0,
IF(V367&lt;=55000,(V367-40000)*10%,
IF(V367&lt;=70000,(V367-55000)*15%+1500,
IF(V367&lt;=200000,(V367-70000)*20%+1500+2250,
IF(V367&lt;=400000,(V367-200000)*22.5%+1500+2250+26000,
IF(V367&lt;=600000,(V367-400000)*25%+1500+2250+26000+45000,
IF(AND(V367&gt;600000,V367&lt;=1200000),(V367-400000)*25%+1500+2250+26000+45000
+IFERROR(LOOKUP(V367,{600001;700001;800001;900001},{4000;6750;10250;15250}),0),IF(V367&gt;1200000,((V367-1200000)*27.5%)+300000,0)
)))))))</f>
        <v>0</v>
      </c>
      <c r="X367" s="12">
        <f t="shared" si="97"/>
        <v>0</v>
      </c>
      <c r="Y367" s="12">
        <f t="shared" si="98"/>
        <v>0</v>
      </c>
      <c r="Z367" s="11"/>
      <c r="AA367" s="13">
        <f t="shared" si="99"/>
        <v>0</v>
      </c>
      <c r="AB367" s="12">
        <f t="shared" si="100"/>
        <v>0</v>
      </c>
      <c r="AC367" s="14">
        <f t="shared" si="88"/>
        <v>0</v>
      </c>
      <c r="AE367" s="19">
        <f t="shared" si="101"/>
        <v>0</v>
      </c>
      <c r="AF367" s="19"/>
      <c r="AG367" s="17"/>
      <c r="AK367" s="7"/>
      <c r="AL367" s="108">
        <f t="shared" si="89"/>
        <v>0</v>
      </c>
      <c r="AM367" s="108">
        <f t="shared" si="90"/>
        <v>0</v>
      </c>
      <c r="AN367" s="113"/>
    </row>
    <row r="368" spans="2:40" x14ac:dyDescent="0.2">
      <c r="B368" s="7"/>
      <c r="C368" s="8"/>
      <c r="D368" s="8"/>
      <c r="E368" s="9"/>
      <c r="F368" s="6"/>
      <c r="G368" s="8"/>
      <c r="H368" s="32"/>
      <c r="I368" s="10" t="str">
        <f t="shared" si="87"/>
        <v>21</v>
      </c>
      <c r="J368" s="11">
        <v>1</v>
      </c>
      <c r="K368" s="11"/>
      <c r="L368" s="11"/>
      <c r="M368" s="11">
        <f t="shared" si="91"/>
        <v>0</v>
      </c>
      <c r="N368" s="11"/>
      <c r="O368" s="11">
        <f t="shared" si="92"/>
        <v>0</v>
      </c>
      <c r="P368" s="11"/>
      <c r="Q368" s="11"/>
      <c r="R368" s="11"/>
      <c r="S368" s="11">
        <f t="shared" si="93"/>
        <v>0</v>
      </c>
      <c r="T368" s="11">
        <f t="shared" si="94"/>
        <v>1666.6666666666667</v>
      </c>
      <c r="U368" s="11">
        <f t="shared" si="95"/>
        <v>0</v>
      </c>
      <c r="V368" s="24">
        <f t="shared" si="96"/>
        <v>0</v>
      </c>
      <c r="W368" s="11">
        <f>IF(V368&lt;=40000,0,
IF(V368&lt;=55000,(V368-40000)*10%,
IF(V368&lt;=70000,(V368-55000)*15%+1500,
IF(V368&lt;=200000,(V368-70000)*20%+1500+2250,
IF(V368&lt;=400000,(V368-200000)*22.5%+1500+2250+26000,
IF(V368&lt;=600000,(V368-400000)*25%+1500+2250+26000+45000,
IF(AND(V368&gt;600000,V368&lt;=1200000),(V368-400000)*25%+1500+2250+26000+45000
+IFERROR(LOOKUP(V368,{600001;700001;800001;900001},{4000;6750;10250;15250}),0),IF(V368&gt;1200000,((V368-1200000)*27.5%)+300000,0)
)))))))</f>
        <v>0</v>
      </c>
      <c r="X368" s="12">
        <f t="shared" si="97"/>
        <v>0</v>
      </c>
      <c r="Y368" s="12">
        <f t="shared" si="98"/>
        <v>0</v>
      </c>
      <c r="Z368" s="11"/>
      <c r="AA368" s="13">
        <f t="shared" si="99"/>
        <v>0</v>
      </c>
      <c r="AB368" s="12">
        <f t="shared" si="100"/>
        <v>0</v>
      </c>
      <c r="AC368" s="14">
        <f t="shared" si="88"/>
        <v>0</v>
      </c>
      <c r="AE368" s="19">
        <f t="shared" si="101"/>
        <v>0</v>
      </c>
      <c r="AF368" s="19"/>
      <c r="AG368" s="17"/>
      <c r="AK368" s="7"/>
      <c r="AL368" s="108">
        <f t="shared" si="89"/>
        <v>0</v>
      </c>
      <c r="AM368" s="108">
        <f t="shared" si="90"/>
        <v>0</v>
      </c>
      <c r="AN368" s="113"/>
    </row>
    <row r="369" spans="2:40" x14ac:dyDescent="0.2">
      <c r="B369" s="7"/>
      <c r="C369" s="8"/>
      <c r="D369" s="8"/>
      <c r="E369" s="9"/>
      <c r="F369" s="6"/>
      <c r="G369" s="8"/>
      <c r="H369" s="32"/>
      <c r="I369" s="10" t="str">
        <f t="shared" si="87"/>
        <v>21</v>
      </c>
      <c r="J369" s="11">
        <v>1</v>
      </c>
      <c r="K369" s="11"/>
      <c r="L369" s="11"/>
      <c r="M369" s="11">
        <f t="shared" si="91"/>
        <v>0</v>
      </c>
      <c r="N369" s="11"/>
      <c r="O369" s="11">
        <f t="shared" si="92"/>
        <v>0</v>
      </c>
      <c r="P369" s="11"/>
      <c r="Q369" s="11"/>
      <c r="R369" s="11"/>
      <c r="S369" s="11">
        <f t="shared" si="93"/>
        <v>0</v>
      </c>
      <c r="T369" s="11">
        <f t="shared" si="94"/>
        <v>1666.6666666666667</v>
      </c>
      <c r="U369" s="11">
        <f t="shared" si="95"/>
        <v>0</v>
      </c>
      <c r="V369" s="24">
        <f t="shared" si="96"/>
        <v>0</v>
      </c>
      <c r="W369" s="11">
        <f>IF(V369&lt;=40000,0,
IF(V369&lt;=55000,(V369-40000)*10%,
IF(V369&lt;=70000,(V369-55000)*15%+1500,
IF(V369&lt;=200000,(V369-70000)*20%+1500+2250,
IF(V369&lt;=400000,(V369-200000)*22.5%+1500+2250+26000,
IF(V369&lt;=600000,(V369-400000)*25%+1500+2250+26000+45000,
IF(AND(V369&gt;600000,V369&lt;=1200000),(V369-400000)*25%+1500+2250+26000+45000
+IFERROR(LOOKUP(V369,{600001;700001;800001;900001},{4000;6750;10250;15250}),0),IF(V369&gt;1200000,((V369-1200000)*27.5%)+300000,0)
)))))))</f>
        <v>0</v>
      </c>
      <c r="X369" s="12">
        <f t="shared" si="97"/>
        <v>0</v>
      </c>
      <c r="Y369" s="12">
        <f t="shared" si="98"/>
        <v>0</v>
      </c>
      <c r="Z369" s="11"/>
      <c r="AA369" s="13">
        <f t="shared" si="99"/>
        <v>0</v>
      </c>
      <c r="AB369" s="12">
        <f t="shared" si="100"/>
        <v>0</v>
      </c>
      <c r="AC369" s="14">
        <f t="shared" si="88"/>
        <v>0</v>
      </c>
      <c r="AE369" s="19">
        <f t="shared" si="101"/>
        <v>0</v>
      </c>
      <c r="AF369" s="19"/>
      <c r="AG369" s="17"/>
      <c r="AK369" s="7"/>
      <c r="AL369" s="108">
        <f t="shared" si="89"/>
        <v>0</v>
      </c>
      <c r="AM369" s="108">
        <f t="shared" si="90"/>
        <v>0</v>
      </c>
      <c r="AN369" s="113"/>
    </row>
    <row r="370" spans="2:40" x14ac:dyDescent="0.2">
      <c r="B370" s="7"/>
      <c r="C370" s="8"/>
      <c r="D370" s="8"/>
      <c r="E370" s="9"/>
      <c r="F370" s="6"/>
      <c r="G370" s="8"/>
      <c r="H370" s="32"/>
      <c r="I370" s="10" t="str">
        <f t="shared" si="87"/>
        <v>21</v>
      </c>
      <c r="J370" s="11">
        <v>1</v>
      </c>
      <c r="K370" s="11"/>
      <c r="L370" s="11"/>
      <c r="M370" s="11">
        <f t="shared" si="91"/>
        <v>0</v>
      </c>
      <c r="N370" s="11"/>
      <c r="O370" s="11">
        <f t="shared" si="92"/>
        <v>0</v>
      </c>
      <c r="P370" s="11"/>
      <c r="Q370" s="11"/>
      <c r="R370" s="11"/>
      <c r="S370" s="11">
        <f t="shared" si="93"/>
        <v>0</v>
      </c>
      <c r="T370" s="11">
        <f t="shared" si="94"/>
        <v>1666.6666666666667</v>
      </c>
      <c r="U370" s="11">
        <f t="shared" si="95"/>
        <v>0</v>
      </c>
      <c r="V370" s="24">
        <f t="shared" si="96"/>
        <v>0</v>
      </c>
      <c r="W370" s="11">
        <f>IF(V370&lt;=40000,0,
IF(V370&lt;=55000,(V370-40000)*10%,
IF(V370&lt;=70000,(V370-55000)*15%+1500,
IF(V370&lt;=200000,(V370-70000)*20%+1500+2250,
IF(V370&lt;=400000,(V370-200000)*22.5%+1500+2250+26000,
IF(V370&lt;=600000,(V370-400000)*25%+1500+2250+26000+45000,
IF(AND(V370&gt;600000,V370&lt;=1200000),(V370-400000)*25%+1500+2250+26000+45000
+IFERROR(LOOKUP(V370,{600001;700001;800001;900001},{4000;6750;10250;15250}),0),IF(V370&gt;1200000,((V370-1200000)*27.5%)+300000,0)
)))))))</f>
        <v>0</v>
      </c>
      <c r="X370" s="12">
        <f t="shared" si="97"/>
        <v>0</v>
      </c>
      <c r="Y370" s="12">
        <f t="shared" si="98"/>
        <v>0</v>
      </c>
      <c r="Z370" s="11"/>
      <c r="AA370" s="13">
        <f t="shared" si="99"/>
        <v>0</v>
      </c>
      <c r="AB370" s="12">
        <f t="shared" si="100"/>
        <v>0</v>
      </c>
      <c r="AC370" s="14">
        <f t="shared" si="88"/>
        <v>0</v>
      </c>
      <c r="AE370" s="19">
        <f t="shared" si="101"/>
        <v>0</v>
      </c>
      <c r="AF370" s="19"/>
      <c r="AG370" s="17"/>
      <c r="AK370" s="7"/>
      <c r="AL370" s="108">
        <f t="shared" si="89"/>
        <v>0</v>
      </c>
      <c r="AM370" s="108">
        <f t="shared" si="90"/>
        <v>0</v>
      </c>
      <c r="AN370" s="113"/>
    </row>
    <row r="371" spans="2:40" x14ac:dyDescent="0.2">
      <c r="B371" s="7"/>
      <c r="C371" s="8"/>
      <c r="D371" s="8"/>
      <c r="E371" s="9"/>
      <c r="F371" s="6"/>
      <c r="G371" s="8"/>
      <c r="H371" s="32"/>
      <c r="I371" s="10" t="str">
        <f t="shared" si="87"/>
        <v>21</v>
      </c>
      <c r="J371" s="11">
        <v>1</v>
      </c>
      <c r="K371" s="11"/>
      <c r="L371" s="11"/>
      <c r="M371" s="11">
        <f t="shared" si="91"/>
        <v>0</v>
      </c>
      <c r="N371" s="11"/>
      <c r="O371" s="11">
        <f t="shared" si="92"/>
        <v>0</v>
      </c>
      <c r="P371" s="11"/>
      <c r="Q371" s="11"/>
      <c r="R371" s="11"/>
      <c r="S371" s="11">
        <f t="shared" si="93"/>
        <v>0</v>
      </c>
      <c r="T371" s="11">
        <f t="shared" si="94"/>
        <v>1666.6666666666667</v>
      </c>
      <c r="U371" s="11">
        <f t="shared" si="95"/>
        <v>0</v>
      </c>
      <c r="V371" s="24">
        <f t="shared" si="96"/>
        <v>0</v>
      </c>
      <c r="W371" s="11">
        <f>IF(V371&lt;=40000,0,
IF(V371&lt;=55000,(V371-40000)*10%,
IF(V371&lt;=70000,(V371-55000)*15%+1500,
IF(V371&lt;=200000,(V371-70000)*20%+1500+2250,
IF(V371&lt;=400000,(V371-200000)*22.5%+1500+2250+26000,
IF(V371&lt;=600000,(V371-400000)*25%+1500+2250+26000+45000,
IF(AND(V371&gt;600000,V371&lt;=1200000),(V371-400000)*25%+1500+2250+26000+45000
+IFERROR(LOOKUP(V371,{600001;700001;800001;900001},{4000;6750;10250;15250}),0),IF(V371&gt;1200000,((V371-1200000)*27.5%)+300000,0)
)))))))</f>
        <v>0</v>
      </c>
      <c r="X371" s="12">
        <f t="shared" si="97"/>
        <v>0</v>
      </c>
      <c r="Y371" s="12">
        <f t="shared" si="98"/>
        <v>0</v>
      </c>
      <c r="Z371" s="11"/>
      <c r="AA371" s="13">
        <f t="shared" si="99"/>
        <v>0</v>
      </c>
      <c r="AB371" s="12">
        <f t="shared" si="100"/>
        <v>0</v>
      </c>
      <c r="AC371" s="14">
        <f t="shared" si="88"/>
        <v>0</v>
      </c>
      <c r="AE371" s="19">
        <f t="shared" si="101"/>
        <v>0</v>
      </c>
      <c r="AF371" s="19"/>
      <c r="AG371" s="17"/>
      <c r="AK371" s="7"/>
      <c r="AL371" s="108">
        <f t="shared" si="89"/>
        <v>0</v>
      </c>
      <c r="AM371" s="108">
        <f t="shared" si="90"/>
        <v>0</v>
      </c>
      <c r="AN371" s="113"/>
    </row>
    <row r="372" spans="2:40" x14ac:dyDescent="0.2">
      <c r="B372" s="7"/>
      <c r="C372" s="8"/>
      <c r="D372" s="8"/>
      <c r="E372" s="9"/>
      <c r="F372" s="6"/>
      <c r="G372" s="8"/>
      <c r="H372" s="32"/>
      <c r="I372" s="10" t="str">
        <f t="shared" si="87"/>
        <v>21</v>
      </c>
      <c r="J372" s="11">
        <v>1</v>
      </c>
      <c r="K372" s="11"/>
      <c r="L372" s="11"/>
      <c r="M372" s="11">
        <f t="shared" si="91"/>
        <v>0</v>
      </c>
      <c r="N372" s="11"/>
      <c r="O372" s="11">
        <f t="shared" si="92"/>
        <v>0</v>
      </c>
      <c r="P372" s="11"/>
      <c r="Q372" s="11"/>
      <c r="R372" s="11"/>
      <c r="S372" s="11">
        <f t="shared" si="93"/>
        <v>0</v>
      </c>
      <c r="T372" s="11">
        <f t="shared" si="94"/>
        <v>1666.6666666666667</v>
      </c>
      <c r="U372" s="11">
        <f t="shared" si="95"/>
        <v>0</v>
      </c>
      <c r="V372" s="24">
        <f t="shared" si="96"/>
        <v>0</v>
      </c>
      <c r="W372" s="11">
        <f>IF(V372&lt;=40000,0,
IF(V372&lt;=55000,(V372-40000)*10%,
IF(V372&lt;=70000,(V372-55000)*15%+1500,
IF(V372&lt;=200000,(V372-70000)*20%+1500+2250,
IF(V372&lt;=400000,(V372-200000)*22.5%+1500+2250+26000,
IF(V372&lt;=600000,(V372-400000)*25%+1500+2250+26000+45000,
IF(AND(V372&gt;600000,V372&lt;=1200000),(V372-400000)*25%+1500+2250+26000+45000
+IFERROR(LOOKUP(V372,{600001;700001;800001;900001},{4000;6750;10250;15250}),0),IF(V372&gt;1200000,((V372-1200000)*27.5%)+300000,0)
)))))))</f>
        <v>0</v>
      </c>
      <c r="X372" s="12">
        <f t="shared" si="97"/>
        <v>0</v>
      </c>
      <c r="Y372" s="12">
        <f t="shared" si="98"/>
        <v>0</v>
      </c>
      <c r="Z372" s="11"/>
      <c r="AA372" s="13">
        <f t="shared" si="99"/>
        <v>0</v>
      </c>
      <c r="AB372" s="12">
        <f t="shared" si="100"/>
        <v>0</v>
      </c>
      <c r="AC372" s="14">
        <f t="shared" si="88"/>
        <v>0</v>
      </c>
      <c r="AE372" s="19">
        <f t="shared" si="101"/>
        <v>0</v>
      </c>
      <c r="AF372" s="19"/>
      <c r="AG372" s="17"/>
      <c r="AK372" s="7"/>
      <c r="AL372" s="108">
        <f t="shared" si="89"/>
        <v>0</v>
      </c>
      <c r="AM372" s="108">
        <f t="shared" si="90"/>
        <v>0</v>
      </c>
      <c r="AN372" s="113"/>
    </row>
    <row r="373" spans="2:40" x14ac:dyDescent="0.2">
      <c r="B373" s="7"/>
      <c r="C373" s="8"/>
      <c r="D373" s="8"/>
      <c r="E373" s="9"/>
      <c r="F373" s="6"/>
      <c r="G373" s="8"/>
      <c r="H373" s="32"/>
      <c r="I373" s="10" t="str">
        <f t="shared" si="87"/>
        <v>21</v>
      </c>
      <c r="J373" s="11">
        <v>1</v>
      </c>
      <c r="K373" s="11"/>
      <c r="L373" s="11"/>
      <c r="M373" s="11">
        <f t="shared" si="91"/>
        <v>0</v>
      </c>
      <c r="N373" s="11"/>
      <c r="O373" s="11">
        <f t="shared" si="92"/>
        <v>0</v>
      </c>
      <c r="P373" s="11"/>
      <c r="Q373" s="11"/>
      <c r="R373" s="11"/>
      <c r="S373" s="11">
        <f t="shared" si="93"/>
        <v>0</v>
      </c>
      <c r="T373" s="11">
        <f t="shared" si="94"/>
        <v>1666.6666666666667</v>
      </c>
      <c r="U373" s="11">
        <f t="shared" si="95"/>
        <v>0</v>
      </c>
      <c r="V373" s="24">
        <f t="shared" si="96"/>
        <v>0</v>
      </c>
      <c r="W373" s="11">
        <f>IF(V373&lt;=40000,0,
IF(V373&lt;=55000,(V373-40000)*10%,
IF(V373&lt;=70000,(V373-55000)*15%+1500,
IF(V373&lt;=200000,(V373-70000)*20%+1500+2250,
IF(V373&lt;=400000,(V373-200000)*22.5%+1500+2250+26000,
IF(V373&lt;=600000,(V373-400000)*25%+1500+2250+26000+45000,
IF(AND(V373&gt;600000,V373&lt;=1200000),(V373-400000)*25%+1500+2250+26000+45000
+IFERROR(LOOKUP(V373,{600001;700001;800001;900001},{4000;6750;10250;15250}),0),IF(V373&gt;1200000,((V373-1200000)*27.5%)+300000,0)
)))))))</f>
        <v>0</v>
      </c>
      <c r="X373" s="12">
        <f t="shared" si="97"/>
        <v>0</v>
      </c>
      <c r="Y373" s="12">
        <f t="shared" si="98"/>
        <v>0</v>
      </c>
      <c r="Z373" s="11"/>
      <c r="AA373" s="13">
        <f t="shared" si="99"/>
        <v>0</v>
      </c>
      <c r="AB373" s="12">
        <f t="shared" si="100"/>
        <v>0</v>
      </c>
      <c r="AC373" s="14">
        <f t="shared" si="88"/>
        <v>0</v>
      </c>
      <c r="AE373" s="19">
        <f t="shared" si="101"/>
        <v>0</v>
      </c>
      <c r="AF373" s="19"/>
      <c r="AG373" s="17"/>
      <c r="AK373" s="7"/>
      <c r="AL373" s="108">
        <f t="shared" si="89"/>
        <v>0</v>
      </c>
      <c r="AM373" s="108">
        <f t="shared" si="90"/>
        <v>0</v>
      </c>
      <c r="AN373" s="113"/>
    </row>
    <row r="374" spans="2:40" x14ac:dyDescent="0.2">
      <c r="B374" s="7"/>
      <c r="C374" s="8"/>
      <c r="D374" s="8"/>
      <c r="E374" s="9"/>
      <c r="F374" s="6"/>
      <c r="G374" s="8"/>
      <c r="H374" s="32"/>
      <c r="I374" s="10" t="str">
        <f t="shared" si="87"/>
        <v>21</v>
      </c>
      <c r="J374" s="11">
        <v>1</v>
      </c>
      <c r="K374" s="11"/>
      <c r="L374" s="11"/>
      <c r="M374" s="11">
        <f t="shared" si="91"/>
        <v>0</v>
      </c>
      <c r="N374" s="11"/>
      <c r="O374" s="11">
        <f t="shared" si="92"/>
        <v>0</v>
      </c>
      <c r="P374" s="11"/>
      <c r="Q374" s="11"/>
      <c r="R374" s="11"/>
      <c r="S374" s="11">
        <f t="shared" si="93"/>
        <v>0</v>
      </c>
      <c r="T374" s="11">
        <f t="shared" si="94"/>
        <v>1666.6666666666667</v>
      </c>
      <c r="U374" s="11">
        <f t="shared" si="95"/>
        <v>0</v>
      </c>
      <c r="V374" s="24">
        <f t="shared" si="96"/>
        <v>0</v>
      </c>
      <c r="W374" s="11">
        <f>IF(V374&lt;=40000,0,
IF(V374&lt;=55000,(V374-40000)*10%,
IF(V374&lt;=70000,(V374-55000)*15%+1500,
IF(V374&lt;=200000,(V374-70000)*20%+1500+2250,
IF(V374&lt;=400000,(V374-200000)*22.5%+1500+2250+26000,
IF(V374&lt;=600000,(V374-400000)*25%+1500+2250+26000+45000,
IF(AND(V374&gt;600000,V374&lt;=1200000),(V374-400000)*25%+1500+2250+26000+45000
+IFERROR(LOOKUP(V374,{600001;700001;800001;900001},{4000;6750;10250;15250}),0),IF(V374&gt;1200000,((V374-1200000)*27.5%)+300000,0)
)))))))</f>
        <v>0</v>
      </c>
      <c r="X374" s="12">
        <f t="shared" si="97"/>
        <v>0</v>
      </c>
      <c r="Y374" s="12">
        <f t="shared" si="98"/>
        <v>0</v>
      </c>
      <c r="Z374" s="11"/>
      <c r="AA374" s="13">
        <f t="shared" si="99"/>
        <v>0</v>
      </c>
      <c r="AB374" s="12">
        <f t="shared" si="100"/>
        <v>0</v>
      </c>
      <c r="AC374" s="14">
        <f t="shared" si="88"/>
        <v>0</v>
      </c>
      <c r="AE374" s="19">
        <f t="shared" si="101"/>
        <v>0</v>
      </c>
      <c r="AF374" s="19"/>
      <c r="AG374" s="17"/>
      <c r="AK374" s="7"/>
      <c r="AL374" s="108">
        <f t="shared" si="89"/>
        <v>0</v>
      </c>
      <c r="AM374" s="108">
        <f t="shared" si="90"/>
        <v>0</v>
      </c>
      <c r="AN374" s="113"/>
    </row>
    <row r="375" spans="2:40" x14ac:dyDescent="0.2">
      <c r="B375" s="7"/>
      <c r="C375" s="8"/>
      <c r="D375" s="8"/>
      <c r="E375" s="9"/>
      <c r="F375" s="6"/>
      <c r="G375" s="8"/>
      <c r="H375" s="32"/>
      <c r="I375" s="10" t="str">
        <f t="shared" si="87"/>
        <v>21</v>
      </c>
      <c r="J375" s="11">
        <v>1</v>
      </c>
      <c r="K375" s="11"/>
      <c r="L375" s="11"/>
      <c r="M375" s="11">
        <f t="shared" si="91"/>
        <v>0</v>
      </c>
      <c r="N375" s="11"/>
      <c r="O375" s="11">
        <f t="shared" si="92"/>
        <v>0</v>
      </c>
      <c r="P375" s="11"/>
      <c r="Q375" s="11"/>
      <c r="R375" s="11"/>
      <c r="S375" s="11">
        <f t="shared" si="93"/>
        <v>0</v>
      </c>
      <c r="T375" s="11">
        <f t="shared" si="94"/>
        <v>1666.6666666666667</v>
      </c>
      <c r="U375" s="11">
        <f t="shared" si="95"/>
        <v>0</v>
      </c>
      <c r="V375" s="24">
        <f t="shared" si="96"/>
        <v>0</v>
      </c>
      <c r="W375" s="11">
        <f>IF(V375&lt;=40000,0,
IF(V375&lt;=55000,(V375-40000)*10%,
IF(V375&lt;=70000,(V375-55000)*15%+1500,
IF(V375&lt;=200000,(V375-70000)*20%+1500+2250,
IF(V375&lt;=400000,(V375-200000)*22.5%+1500+2250+26000,
IF(V375&lt;=600000,(V375-400000)*25%+1500+2250+26000+45000,
IF(AND(V375&gt;600000,V375&lt;=1200000),(V375-400000)*25%+1500+2250+26000+45000
+IFERROR(LOOKUP(V375,{600001;700001;800001;900001},{4000;6750;10250;15250}),0),IF(V375&gt;1200000,((V375-1200000)*27.5%)+300000,0)
)))))))</f>
        <v>0</v>
      </c>
      <c r="X375" s="12">
        <f t="shared" si="97"/>
        <v>0</v>
      </c>
      <c r="Y375" s="12">
        <f t="shared" si="98"/>
        <v>0</v>
      </c>
      <c r="Z375" s="11"/>
      <c r="AA375" s="13">
        <f t="shared" si="99"/>
        <v>0</v>
      </c>
      <c r="AB375" s="12">
        <f t="shared" si="100"/>
        <v>0</v>
      </c>
      <c r="AC375" s="14">
        <f t="shared" si="88"/>
        <v>0</v>
      </c>
      <c r="AE375" s="19">
        <f t="shared" si="101"/>
        <v>0</v>
      </c>
      <c r="AF375" s="19"/>
      <c r="AG375" s="17"/>
      <c r="AK375" s="7"/>
      <c r="AL375" s="108">
        <f t="shared" si="89"/>
        <v>0</v>
      </c>
      <c r="AM375" s="108">
        <f t="shared" si="90"/>
        <v>0</v>
      </c>
      <c r="AN375" s="113"/>
    </row>
    <row r="376" spans="2:40" x14ac:dyDescent="0.2">
      <c r="B376" s="7"/>
      <c r="C376" s="8"/>
      <c r="D376" s="8"/>
      <c r="E376" s="9"/>
      <c r="F376" s="6"/>
      <c r="G376" s="8"/>
      <c r="H376" s="32"/>
      <c r="I376" s="10" t="str">
        <f t="shared" si="87"/>
        <v>21</v>
      </c>
      <c r="J376" s="11">
        <v>1</v>
      </c>
      <c r="K376" s="11"/>
      <c r="L376" s="11"/>
      <c r="M376" s="11">
        <f t="shared" si="91"/>
        <v>0</v>
      </c>
      <c r="N376" s="11"/>
      <c r="O376" s="11">
        <f t="shared" si="92"/>
        <v>0</v>
      </c>
      <c r="P376" s="11"/>
      <c r="Q376" s="11"/>
      <c r="R376" s="11"/>
      <c r="S376" s="11">
        <f t="shared" si="93"/>
        <v>0</v>
      </c>
      <c r="T376" s="11">
        <f t="shared" si="94"/>
        <v>1666.6666666666667</v>
      </c>
      <c r="U376" s="11">
        <f t="shared" si="95"/>
        <v>0</v>
      </c>
      <c r="V376" s="24">
        <f t="shared" si="96"/>
        <v>0</v>
      </c>
      <c r="W376" s="11">
        <f>IF(V376&lt;=40000,0,
IF(V376&lt;=55000,(V376-40000)*10%,
IF(V376&lt;=70000,(V376-55000)*15%+1500,
IF(V376&lt;=200000,(V376-70000)*20%+1500+2250,
IF(V376&lt;=400000,(V376-200000)*22.5%+1500+2250+26000,
IF(V376&lt;=600000,(V376-400000)*25%+1500+2250+26000+45000,
IF(AND(V376&gt;600000,V376&lt;=1200000),(V376-400000)*25%+1500+2250+26000+45000
+IFERROR(LOOKUP(V376,{600001;700001;800001;900001},{4000;6750;10250;15250}),0),IF(V376&gt;1200000,((V376-1200000)*27.5%)+300000,0)
)))))))</f>
        <v>0</v>
      </c>
      <c r="X376" s="12">
        <f t="shared" si="97"/>
        <v>0</v>
      </c>
      <c r="Y376" s="12">
        <f t="shared" si="98"/>
        <v>0</v>
      </c>
      <c r="Z376" s="11"/>
      <c r="AA376" s="13">
        <f t="shared" si="99"/>
        <v>0</v>
      </c>
      <c r="AB376" s="12">
        <f t="shared" si="100"/>
        <v>0</v>
      </c>
      <c r="AC376" s="14">
        <f t="shared" si="88"/>
        <v>0</v>
      </c>
      <c r="AE376" s="19">
        <f t="shared" si="101"/>
        <v>0</v>
      </c>
      <c r="AF376" s="19"/>
      <c r="AG376" s="17"/>
      <c r="AK376" s="7"/>
      <c r="AL376" s="108">
        <f t="shared" si="89"/>
        <v>0</v>
      </c>
      <c r="AM376" s="108">
        <f t="shared" si="90"/>
        <v>0</v>
      </c>
      <c r="AN376" s="113"/>
    </row>
    <row r="377" spans="2:40" x14ac:dyDescent="0.2">
      <c r="B377" s="7"/>
      <c r="C377" s="8"/>
      <c r="D377" s="8"/>
      <c r="E377" s="9"/>
      <c r="F377" s="6"/>
      <c r="G377" s="8"/>
      <c r="H377" s="32"/>
      <c r="I377" s="10" t="str">
        <f t="shared" si="87"/>
        <v>21</v>
      </c>
      <c r="J377" s="11">
        <v>1</v>
      </c>
      <c r="K377" s="11"/>
      <c r="L377" s="11"/>
      <c r="M377" s="11">
        <f t="shared" si="91"/>
        <v>0</v>
      </c>
      <c r="N377" s="11"/>
      <c r="O377" s="11">
        <f t="shared" si="92"/>
        <v>0</v>
      </c>
      <c r="P377" s="11"/>
      <c r="Q377" s="11"/>
      <c r="R377" s="11"/>
      <c r="S377" s="11">
        <f t="shared" si="93"/>
        <v>0</v>
      </c>
      <c r="T377" s="11">
        <f t="shared" si="94"/>
        <v>1666.6666666666667</v>
      </c>
      <c r="U377" s="11">
        <f t="shared" si="95"/>
        <v>0</v>
      </c>
      <c r="V377" s="24">
        <f t="shared" si="96"/>
        <v>0</v>
      </c>
      <c r="W377" s="11">
        <f>IF(V377&lt;=40000,0,
IF(V377&lt;=55000,(V377-40000)*10%,
IF(V377&lt;=70000,(V377-55000)*15%+1500,
IF(V377&lt;=200000,(V377-70000)*20%+1500+2250,
IF(V377&lt;=400000,(V377-200000)*22.5%+1500+2250+26000,
IF(V377&lt;=600000,(V377-400000)*25%+1500+2250+26000+45000,
IF(AND(V377&gt;600000,V377&lt;=1200000),(V377-400000)*25%+1500+2250+26000+45000
+IFERROR(LOOKUP(V377,{600001;700001;800001;900001},{4000;6750;10250;15250}),0),IF(V377&gt;1200000,((V377-1200000)*27.5%)+300000,0)
)))))))</f>
        <v>0</v>
      </c>
      <c r="X377" s="12">
        <f t="shared" si="97"/>
        <v>0</v>
      </c>
      <c r="Y377" s="12">
        <f t="shared" si="98"/>
        <v>0</v>
      </c>
      <c r="Z377" s="11"/>
      <c r="AA377" s="13">
        <f t="shared" si="99"/>
        <v>0</v>
      </c>
      <c r="AB377" s="12">
        <f t="shared" si="100"/>
        <v>0</v>
      </c>
      <c r="AC377" s="14">
        <f t="shared" si="88"/>
        <v>0</v>
      </c>
      <c r="AE377" s="19">
        <f t="shared" si="101"/>
        <v>0</v>
      </c>
      <c r="AF377" s="19"/>
      <c r="AG377" s="17"/>
      <c r="AK377" s="7"/>
      <c r="AL377" s="108">
        <f t="shared" si="89"/>
        <v>0</v>
      </c>
      <c r="AM377" s="108">
        <f t="shared" si="90"/>
        <v>0</v>
      </c>
      <c r="AN377" s="113"/>
    </row>
    <row r="378" spans="2:40" x14ac:dyDescent="0.2">
      <c r="B378" s="7"/>
      <c r="C378" s="8"/>
      <c r="D378" s="8"/>
      <c r="E378" s="9"/>
      <c r="F378" s="6"/>
      <c r="G378" s="8"/>
      <c r="H378" s="32"/>
      <c r="I378" s="10" t="str">
        <f t="shared" si="87"/>
        <v>21</v>
      </c>
      <c r="J378" s="11">
        <v>1</v>
      </c>
      <c r="K378" s="11"/>
      <c r="L378" s="11"/>
      <c r="M378" s="11">
        <f t="shared" si="91"/>
        <v>0</v>
      </c>
      <c r="N378" s="11"/>
      <c r="O378" s="11">
        <f t="shared" si="92"/>
        <v>0</v>
      </c>
      <c r="P378" s="11"/>
      <c r="Q378" s="11"/>
      <c r="R378" s="11"/>
      <c r="S378" s="11">
        <f t="shared" si="93"/>
        <v>0</v>
      </c>
      <c r="T378" s="11">
        <f t="shared" si="94"/>
        <v>1666.6666666666667</v>
      </c>
      <c r="U378" s="11">
        <f t="shared" si="95"/>
        <v>0</v>
      </c>
      <c r="V378" s="24">
        <f t="shared" si="96"/>
        <v>0</v>
      </c>
      <c r="W378" s="11">
        <f>IF(V378&lt;=40000,0,
IF(V378&lt;=55000,(V378-40000)*10%,
IF(V378&lt;=70000,(V378-55000)*15%+1500,
IF(V378&lt;=200000,(V378-70000)*20%+1500+2250,
IF(V378&lt;=400000,(V378-200000)*22.5%+1500+2250+26000,
IF(V378&lt;=600000,(V378-400000)*25%+1500+2250+26000+45000,
IF(AND(V378&gt;600000,V378&lt;=1200000),(V378-400000)*25%+1500+2250+26000+45000
+IFERROR(LOOKUP(V378,{600001;700001;800001;900001},{4000;6750;10250;15250}),0),IF(V378&gt;1200000,((V378-1200000)*27.5%)+300000,0)
)))))))</f>
        <v>0</v>
      </c>
      <c r="X378" s="12">
        <f t="shared" si="97"/>
        <v>0</v>
      </c>
      <c r="Y378" s="12">
        <f t="shared" si="98"/>
        <v>0</v>
      </c>
      <c r="Z378" s="11"/>
      <c r="AA378" s="13">
        <f t="shared" si="99"/>
        <v>0</v>
      </c>
      <c r="AB378" s="12">
        <f t="shared" si="100"/>
        <v>0</v>
      </c>
      <c r="AC378" s="14">
        <f t="shared" si="88"/>
        <v>0</v>
      </c>
      <c r="AE378" s="19">
        <f t="shared" si="101"/>
        <v>0</v>
      </c>
      <c r="AF378" s="19"/>
      <c r="AG378" s="17"/>
      <c r="AK378" s="7"/>
      <c r="AL378" s="108">
        <f t="shared" si="89"/>
        <v>0</v>
      </c>
      <c r="AM378" s="108">
        <f t="shared" si="90"/>
        <v>0</v>
      </c>
      <c r="AN378" s="113"/>
    </row>
    <row r="379" spans="2:40" x14ac:dyDescent="0.2">
      <c r="B379" s="7"/>
      <c r="C379" s="8"/>
      <c r="D379" s="8"/>
      <c r="E379" s="9"/>
      <c r="F379" s="6"/>
      <c r="G379" s="8"/>
      <c r="H379" s="32"/>
      <c r="I379" s="10" t="str">
        <f t="shared" si="87"/>
        <v>21</v>
      </c>
      <c r="J379" s="11">
        <v>1</v>
      </c>
      <c r="K379" s="11"/>
      <c r="L379" s="11"/>
      <c r="M379" s="11">
        <f t="shared" si="91"/>
        <v>0</v>
      </c>
      <c r="N379" s="11"/>
      <c r="O379" s="11">
        <f t="shared" si="92"/>
        <v>0</v>
      </c>
      <c r="P379" s="11"/>
      <c r="Q379" s="11"/>
      <c r="R379" s="11"/>
      <c r="S379" s="11">
        <f t="shared" si="93"/>
        <v>0</v>
      </c>
      <c r="T379" s="11">
        <f t="shared" si="94"/>
        <v>1666.6666666666667</v>
      </c>
      <c r="U379" s="11">
        <f t="shared" si="95"/>
        <v>0</v>
      </c>
      <c r="V379" s="24">
        <f t="shared" si="96"/>
        <v>0</v>
      </c>
      <c r="W379" s="11">
        <f>IF(V379&lt;=40000,0,
IF(V379&lt;=55000,(V379-40000)*10%,
IF(V379&lt;=70000,(V379-55000)*15%+1500,
IF(V379&lt;=200000,(V379-70000)*20%+1500+2250,
IF(V379&lt;=400000,(V379-200000)*22.5%+1500+2250+26000,
IF(V379&lt;=600000,(V379-400000)*25%+1500+2250+26000+45000,
IF(AND(V379&gt;600000,V379&lt;=1200000),(V379-400000)*25%+1500+2250+26000+45000
+IFERROR(LOOKUP(V379,{600001;700001;800001;900001},{4000;6750;10250;15250}),0),IF(V379&gt;1200000,((V379-1200000)*27.5%)+300000,0)
)))))))</f>
        <v>0</v>
      </c>
      <c r="X379" s="12">
        <f t="shared" si="97"/>
        <v>0</v>
      </c>
      <c r="Y379" s="12">
        <f t="shared" si="98"/>
        <v>0</v>
      </c>
      <c r="Z379" s="11"/>
      <c r="AA379" s="13">
        <f t="shared" si="99"/>
        <v>0</v>
      </c>
      <c r="AB379" s="12">
        <f t="shared" si="100"/>
        <v>0</v>
      </c>
      <c r="AC379" s="14">
        <f t="shared" si="88"/>
        <v>0</v>
      </c>
      <c r="AE379" s="19">
        <f t="shared" si="101"/>
        <v>0</v>
      </c>
      <c r="AF379" s="19"/>
      <c r="AG379" s="17"/>
      <c r="AK379" s="7"/>
      <c r="AL379" s="108">
        <f t="shared" si="89"/>
        <v>0</v>
      </c>
      <c r="AM379" s="108">
        <f t="shared" si="90"/>
        <v>0</v>
      </c>
      <c r="AN379" s="113"/>
    </row>
    <row r="380" spans="2:40" x14ac:dyDescent="0.2">
      <c r="B380" s="7"/>
      <c r="C380" s="8"/>
      <c r="D380" s="8"/>
      <c r="E380" s="9"/>
      <c r="F380" s="6"/>
      <c r="G380" s="8"/>
      <c r="H380" s="32"/>
      <c r="I380" s="10" t="str">
        <f t="shared" si="87"/>
        <v>21</v>
      </c>
      <c r="J380" s="11">
        <v>1</v>
      </c>
      <c r="K380" s="11"/>
      <c r="L380" s="11"/>
      <c r="M380" s="11">
        <f t="shared" si="91"/>
        <v>0</v>
      </c>
      <c r="N380" s="11"/>
      <c r="O380" s="11">
        <f t="shared" si="92"/>
        <v>0</v>
      </c>
      <c r="P380" s="11"/>
      <c r="Q380" s="11"/>
      <c r="R380" s="11"/>
      <c r="S380" s="11">
        <f t="shared" si="93"/>
        <v>0</v>
      </c>
      <c r="T380" s="11">
        <f t="shared" si="94"/>
        <v>1666.6666666666667</v>
      </c>
      <c r="U380" s="11">
        <f t="shared" si="95"/>
        <v>0</v>
      </c>
      <c r="V380" s="24">
        <f t="shared" si="96"/>
        <v>0</v>
      </c>
      <c r="W380" s="11">
        <f>IF(V380&lt;=40000,0,
IF(V380&lt;=55000,(V380-40000)*10%,
IF(V380&lt;=70000,(V380-55000)*15%+1500,
IF(V380&lt;=200000,(V380-70000)*20%+1500+2250,
IF(V380&lt;=400000,(V380-200000)*22.5%+1500+2250+26000,
IF(V380&lt;=600000,(V380-400000)*25%+1500+2250+26000+45000,
IF(AND(V380&gt;600000,V380&lt;=1200000),(V380-400000)*25%+1500+2250+26000+45000
+IFERROR(LOOKUP(V380,{600001;700001;800001;900001},{4000;6750;10250;15250}),0),IF(V380&gt;1200000,((V380-1200000)*27.5%)+300000,0)
)))))))</f>
        <v>0</v>
      </c>
      <c r="X380" s="12">
        <f t="shared" si="97"/>
        <v>0</v>
      </c>
      <c r="Y380" s="12">
        <f t="shared" si="98"/>
        <v>0</v>
      </c>
      <c r="Z380" s="11"/>
      <c r="AA380" s="13">
        <f t="shared" si="99"/>
        <v>0</v>
      </c>
      <c r="AB380" s="12">
        <f t="shared" si="100"/>
        <v>0</v>
      </c>
      <c r="AC380" s="14">
        <f t="shared" si="88"/>
        <v>0</v>
      </c>
      <c r="AE380" s="19">
        <f t="shared" si="101"/>
        <v>0</v>
      </c>
      <c r="AF380" s="19"/>
      <c r="AG380" s="17"/>
      <c r="AK380" s="7"/>
      <c r="AL380" s="108">
        <f t="shared" si="89"/>
        <v>0</v>
      </c>
      <c r="AM380" s="108">
        <f t="shared" si="90"/>
        <v>0</v>
      </c>
      <c r="AN380" s="113"/>
    </row>
    <row r="381" spans="2:40" x14ac:dyDescent="0.2">
      <c r="B381" s="7"/>
      <c r="C381" s="8"/>
      <c r="D381" s="8"/>
      <c r="E381" s="9"/>
      <c r="F381" s="6"/>
      <c r="G381" s="8"/>
      <c r="H381" s="32"/>
      <c r="I381" s="10" t="str">
        <f t="shared" si="87"/>
        <v>21</v>
      </c>
      <c r="J381" s="11">
        <v>1</v>
      </c>
      <c r="K381" s="11"/>
      <c r="L381" s="11"/>
      <c r="M381" s="11">
        <f t="shared" si="91"/>
        <v>0</v>
      </c>
      <c r="N381" s="11"/>
      <c r="O381" s="11">
        <f t="shared" si="92"/>
        <v>0</v>
      </c>
      <c r="P381" s="11"/>
      <c r="Q381" s="11"/>
      <c r="R381" s="11"/>
      <c r="S381" s="11">
        <f t="shared" si="93"/>
        <v>0</v>
      </c>
      <c r="T381" s="11">
        <f t="shared" si="94"/>
        <v>1666.6666666666667</v>
      </c>
      <c r="U381" s="11">
        <f t="shared" si="95"/>
        <v>0</v>
      </c>
      <c r="V381" s="24">
        <f t="shared" si="96"/>
        <v>0</v>
      </c>
      <c r="W381" s="11">
        <f>IF(V381&lt;=40000,0,
IF(V381&lt;=55000,(V381-40000)*10%,
IF(V381&lt;=70000,(V381-55000)*15%+1500,
IF(V381&lt;=200000,(V381-70000)*20%+1500+2250,
IF(V381&lt;=400000,(V381-200000)*22.5%+1500+2250+26000,
IF(V381&lt;=600000,(V381-400000)*25%+1500+2250+26000+45000,
IF(AND(V381&gt;600000,V381&lt;=1200000),(V381-400000)*25%+1500+2250+26000+45000
+IFERROR(LOOKUP(V381,{600001;700001;800001;900001},{4000;6750;10250;15250}),0),IF(V381&gt;1200000,((V381-1200000)*27.5%)+300000,0)
)))))))</f>
        <v>0</v>
      </c>
      <c r="X381" s="12">
        <f t="shared" si="97"/>
        <v>0</v>
      </c>
      <c r="Y381" s="12">
        <f t="shared" si="98"/>
        <v>0</v>
      </c>
      <c r="Z381" s="11"/>
      <c r="AA381" s="13">
        <f t="shared" si="99"/>
        <v>0</v>
      </c>
      <c r="AB381" s="12">
        <f t="shared" si="100"/>
        <v>0</v>
      </c>
      <c r="AC381" s="14">
        <f t="shared" si="88"/>
        <v>0</v>
      </c>
      <c r="AE381" s="19">
        <f t="shared" si="101"/>
        <v>0</v>
      </c>
      <c r="AF381" s="19"/>
      <c r="AG381" s="17"/>
      <c r="AK381" s="7"/>
      <c r="AL381" s="108">
        <f t="shared" si="89"/>
        <v>0</v>
      </c>
      <c r="AM381" s="108">
        <f t="shared" si="90"/>
        <v>0</v>
      </c>
      <c r="AN381" s="113"/>
    </row>
    <row r="382" spans="2:40" x14ac:dyDescent="0.2">
      <c r="B382" s="7"/>
      <c r="C382" s="8"/>
      <c r="D382" s="8"/>
      <c r="E382" s="9"/>
      <c r="F382" s="6"/>
      <c r="G382" s="8"/>
      <c r="H382" s="32"/>
      <c r="I382" s="10" t="str">
        <f t="shared" si="87"/>
        <v>21</v>
      </c>
      <c r="J382" s="11">
        <v>1</v>
      </c>
      <c r="K382" s="11"/>
      <c r="L382" s="11"/>
      <c r="M382" s="11">
        <f t="shared" si="91"/>
        <v>0</v>
      </c>
      <c r="N382" s="11"/>
      <c r="O382" s="11">
        <f t="shared" si="92"/>
        <v>0</v>
      </c>
      <c r="P382" s="11"/>
      <c r="Q382" s="11"/>
      <c r="R382" s="11"/>
      <c r="S382" s="11">
        <f t="shared" si="93"/>
        <v>0</v>
      </c>
      <c r="T382" s="11">
        <f t="shared" si="94"/>
        <v>1666.6666666666667</v>
      </c>
      <c r="U382" s="11">
        <f t="shared" si="95"/>
        <v>0</v>
      </c>
      <c r="V382" s="24">
        <f t="shared" si="96"/>
        <v>0</v>
      </c>
      <c r="W382" s="11">
        <f>IF(V382&lt;=40000,0,
IF(V382&lt;=55000,(V382-40000)*10%,
IF(V382&lt;=70000,(V382-55000)*15%+1500,
IF(V382&lt;=200000,(V382-70000)*20%+1500+2250,
IF(V382&lt;=400000,(V382-200000)*22.5%+1500+2250+26000,
IF(V382&lt;=600000,(V382-400000)*25%+1500+2250+26000+45000,
IF(AND(V382&gt;600000,V382&lt;=1200000),(V382-400000)*25%+1500+2250+26000+45000
+IFERROR(LOOKUP(V382,{600001;700001;800001;900001},{4000;6750;10250;15250}),0),IF(V382&gt;1200000,((V382-1200000)*27.5%)+300000,0)
)))))))</f>
        <v>0</v>
      </c>
      <c r="X382" s="12">
        <f t="shared" si="97"/>
        <v>0</v>
      </c>
      <c r="Y382" s="12">
        <f t="shared" si="98"/>
        <v>0</v>
      </c>
      <c r="Z382" s="11"/>
      <c r="AA382" s="13">
        <f t="shared" si="99"/>
        <v>0</v>
      </c>
      <c r="AB382" s="12">
        <f t="shared" si="100"/>
        <v>0</v>
      </c>
      <c r="AC382" s="14">
        <f t="shared" si="88"/>
        <v>0</v>
      </c>
      <c r="AE382" s="19">
        <f t="shared" si="101"/>
        <v>0</v>
      </c>
      <c r="AF382" s="19"/>
      <c r="AG382" s="17"/>
      <c r="AK382" s="7"/>
      <c r="AL382" s="108">
        <f t="shared" si="89"/>
        <v>0</v>
      </c>
      <c r="AM382" s="108">
        <f t="shared" si="90"/>
        <v>0</v>
      </c>
      <c r="AN382" s="113"/>
    </row>
    <row r="383" spans="2:40" x14ac:dyDescent="0.2">
      <c r="B383" s="7"/>
      <c r="C383" s="8"/>
      <c r="D383" s="8"/>
      <c r="E383" s="9"/>
      <c r="F383" s="6"/>
      <c r="G383" s="8"/>
      <c r="H383" s="32"/>
      <c r="I383" s="10" t="str">
        <f t="shared" si="87"/>
        <v>21</v>
      </c>
      <c r="J383" s="11">
        <v>1</v>
      </c>
      <c r="K383" s="11"/>
      <c r="L383" s="11"/>
      <c r="M383" s="11">
        <f t="shared" si="91"/>
        <v>0</v>
      </c>
      <c r="N383" s="11"/>
      <c r="O383" s="11">
        <f t="shared" si="92"/>
        <v>0</v>
      </c>
      <c r="P383" s="11"/>
      <c r="Q383" s="11"/>
      <c r="R383" s="11"/>
      <c r="S383" s="11">
        <f t="shared" si="93"/>
        <v>0</v>
      </c>
      <c r="T383" s="11">
        <f t="shared" si="94"/>
        <v>1666.6666666666667</v>
      </c>
      <c r="U383" s="11">
        <f t="shared" si="95"/>
        <v>0</v>
      </c>
      <c r="V383" s="24">
        <f t="shared" si="96"/>
        <v>0</v>
      </c>
      <c r="W383" s="11">
        <f>IF(V383&lt;=40000,0,
IF(V383&lt;=55000,(V383-40000)*10%,
IF(V383&lt;=70000,(V383-55000)*15%+1500,
IF(V383&lt;=200000,(V383-70000)*20%+1500+2250,
IF(V383&lt;=400000,(V383-200000)*22.5%+1500+2250+26000,
IF(V383&lt;=600000,(V383-400000)*25%+1500+2250+26000+45000,
IF(AND(V383&gt;600000,V383&lt;=1200000),(V383-400000)*25%+1500+2250+26000+45000
+IFERROR(LOOKUP(V383,{600001;700001;800001;900001},{4000;6750;10250;15250}),0),IF(V383&gt;1200000,((V383-1200000)*27.5%)+300000,0)
)))))))</f>
        <v>0</v>
      </c>
      <c r="X383" s="12">
        <f t="shared" si="97"/>
        <v>0</v>
      </c>
      <c r="Y383" s="12">
        <f t="shared" si="98"/>
        <v>0</v>
      </c>
      <c r="Z383" s="11"/>
      <c r="AA383" s="13">
        <f t="shared" si="99"/>
        <v>0</v>
      </c>
      <c r="AB383" s="12">
        <f t="shared" si="100"/>
        <v>0</v>
      </c>
      <c r="AC383" s="14">
        <f t="shared" si="88"/>
        <v>0</v>
      </c>
      <c r="AE383" s="19">
        <f t="shared" si="101"/>
        <v>0</v>
      </c>
      <c r="AF383" s="19"/>
      <c r="AG383" s="17"/>
      <c r="AK383" s="7"/>
      <c r="AL383" s="108">
        <f t="shared" si="89"/>
        <v>0</v>
      </c>
      <c r="AM383" s="108">
        <f t="shared" si="90"/>
        <v>0</v>
      </c>
      <c r="AN383" s="113"/>
    </row>
    <row r="384" spans="2:40" x14ac:dyDescent="0.2">
      <c r="B384" s="7"/>
      <c r="C384" s="8"/>
      <c r="D384" s="8"/>
      <c r="E384" s="9"/>
      <c r="F384" s="6"/>
      <c r="G384" s="8"/>
      <c r="H384" s="32"/>
      <c r="I384" s="10" t="str">
        <f t="shared" si="87"/>
        <v>21</v>
      </c>
      <c r="J384" s="11">
        <v>1</v>
      </c>
      <c r="K384" s="11"/>
      <c r="L384" s="11"/>
      <c r="M384" s="11">
        <f t="shared" si="91"/>
        <v>0</v>
      </c>
      <c r="N384" s="11"/>
      <c r="O384" s="11">
        <f t="shared" si="92"/>
        <v>0</v>
      </c>
      <c r="P384" s="11"/>
      <c r="Q384" s="11"/>
      <c r="R384" s="11"/>
      <c r="S384" s="11">
        <f t="shared" si="93"/>
        <v>0</v>
      </c>
      <c r="T384" s="11">
        <f t="shared" si="94"/>
        <v>1666.6666666666667</v>
      </c>
      <c r="U384" s="11">
        <f t="shared" si="95"/>
        <v>0</v>
      </c>
      <c r="V384" s="24">
        <f t="shared" si="96"/>
        <v>0</v>
      </c>
      <c r="W384" s="11">
        <f>IF(V384&lt;=40000,0,
IF(V384&lt;=55000,(V384-40000)*10%,
IF(V384&lt;=70000,(V384-55000)*15%+1500,
IF(V384&lt;=200000,(V384-70000)*20%+1500+2250,
IF(V384&lt;=400000,(V384-200000)*22.5%+1500+2250+26000,
IF(V384&lt;=600000,(V384-400000)*25%+1500+2250+26000+45000,
IF(AND(V384&gt;600000,V384&lt;=1200000),(V384-400000)*25%+1500+2250+26000+45000
+IFERROR(LOOKUP(V384,{600001;700001;800001;900001},{4000;6750;10250;15250}),0),IF(V384&gt;1200000,((V384-1200000)*27.5%)+300000,0)
)))))))</f>
        <v>0</v>
      </c>
      <c r="X384" s="12">
        <f t="shared" si="97"/>
        <v>0</v>
      </c>
      <c r="Y384" s="12">
        <f t="shared" si="98"/>
        <v>0</v>
      </c>
      <c r="Z384" s="11"/>
      <c r="AA384" s="13">
        <f t="shared" si="99"/>
        <v>0</v>
      </c>
      <c r="AB384" s="12">
        <f t="shared" si="100"/>
        <v>0</v>
      </c>
      <c r="AC384" s="14">
        <f t="shared" si="88"/>
        <v>0</v>
      </c>
      <c r="AE384" s="19">
        <f t="shared" si="101"/>
        <v>0</v>
      </c>
      <c r="AF384" s="19"/>
      <c r="AG384" s="17"/>
      <c r="AK384" s="7"/>
      <c r="AL384" s="108">
        <f t="shared" si="89"/>
        <v>0</v>
      </c>
      <c r="AM384" s="108">
        <f t="shared" si="90"/>
        <v>0</v>
      </c>
      <c r="AN384" s="113"/>
    </row>
    <row r="385" spans="2:40" x14ac:dyDescent="0.2">
      <c r="B385" s="7"/>
      <c r="C385" s="8"/>
      <c r="D385" s="8"/>
      <c r="E385" s="9"/>
      <c r="F385" s="6"/>
      <c r="G385" s="8"/>
      <c r="H385" s="32"/>
      <c r="I385" s="10" t="str">
        <f t="shared" si="87"/>
        <v>21</v>
      </c>
      <c r="J385" s="11">
        <v>1</v>
      </c>
      <c r="K385" s="11"/>
      <c r="L385" s="11"/>
      <c r="M385" s="11">
        <f t="shared" si="91"/>
        <v>0</v>
      </c>
      <c r="N385" s="11"/>
      <c r="O385" s="11">
        <f t="shared" si="92"/>
        <v>0</v>
      </c>
      <c r="P385" s="11"/>
      <c r="Q385" s="11"/>
      <c r="R385" s="11"/>
      <c r="S385" s="11">
        <f t="shared" si="93"/>
        <v>0</v>
      </c>
      <c r="T385" s="11">
        <f t="shared" si="94"/>
        <v>1666.6666666666667</v>
      </c>
      <c r="U385" s="11">
        <f t="shared" si="95"/>
        <v>0</v>
      </c>
      <c r="V385" s="24">
        <f t="shared" si="96"/>
        <v>0</v>
      </c>
      <c r="W385" s="11">
        <f>IF(V385&lt;=40000,0,
IF(V385&lt;=55000,(V385-40000)*10%,
IF(V385&lt;=70000,(V385-55000)*15%+1500,
IF(V385&lt;=200000,(V385-70000)*20%+1500+2250,
IF(V385&lt;=400000,(V385-200000)*22.5%+1500+2250+26000,
IF(V385&lt;=600000,(V385-400000)*25%+1500+2250+26000+45000,
IF(AND(V385&gt;600000,V385&lt;=1200000),(V385-400000)*25%+1500+2250+26000+45000
+IFERROR(LOOKUP(V385,{600001;700001;800001;900001},{4000;6750;10250;15250}),0),IF(V385&gt;1200000,((V385-1200000)*27.5%)+300000,0)
)))))))</f>
        <v>0</v>
      </c>
      <c r="X385" s="12">
        <f t="shared" si="97"/>
        <v>0</v>
      </c>
      <c r="Y385" s="12">
        <f t="shared" si="98"/>
        <v>0</v>
      </c>
      <c r="Z385" s="11"/>
      <c r="AA385" s="13">
        <f t="shared" si="99"/>
        <v>0</v>
      </c>
      <c r="AB385" s="12">
        <f t="shared" si="100"/>
        <v>0</v>
      </c>
      <c r="AC385" s="14">
        <f t="shared" si="88"/>
        <v>0</v>
      </c>
      <c r="AE385" s="19">
        <f t="shared" si="101"/>
        <v>0</v>
      </c>
      <c r="AF385" s="19"/>
      <c r="AG385" s="17"/>
      <c r="AK385" s="7"/>
      <c r="AL385" s="108">
        <f t="shared" si="89"/>
        <v>0</v>
      </c>
      <c r="AM385" s="108">
        <f t="shared" si="90"/>
        <v>0</v>
      </c>
      <c r="AN385" s="113"/>
    </row>
    <row r="386" spans="2:40" x14ac:dyDescent="0.2">
      <c r="B386" s="7"/>
      <c r="C386" s="8"/>
      <c r="D386" s="8"/>
      <c r="E386" s="9"/>
      <c r="F386" s="6"/>
      <c r="G386" s="8"/>
      <c r="H386" s="32"/>
      <c r="I386" s="10" t="str">
        <f t="shared" si="87"/>
        <v>21</v>
      </c>
      <c r="J386" s="11">
        <v>1</v>
      </c>
      <c r="K386" s="11"/>
      <c r="L386" s="11"/>
      <c r="M386" s="11">
        <f t="shared" si="91"/>
        <v>0</v>
      </c>
      <c r="N386" s="11"/>
      <c r="O386" s="11">
        <f t="shared" si="92"/>
        <v>0</v>
      </c>
      <c r="P386" s="11"/>
      <c r="Q386" s="11"/>
      <c r="R386" s="11"/>
      <c r="S386" s="11">
        <f t="shared" si="93"/>
        <v>0</v>
      </c>
      <c r="T386" s="11">
        <f t="shared" si="94"/>
        <v>1666.6666666666667</v>
      </c>
      <c r="U386" s="11">
        <f t="shared" si="95"/>
        <v>0</v>
      </c>
      <c r="V386" s="24">
        <f t="shared" si="96"/>
        <v>0</v>
      </c>
      <c r="W386" s="11">
        <f>IF(V386&lt;=40000,0,
IF(V386&lt;=55000,(V386-40000)*10%,
IF(V386&lt;=70000,(V386-55000)*15%+1500,
IF(V386&lt;=200000,(V386-70000)*20%+1500+2250,
IF(V386&lt;=400000,(V386-200000)*22.5%+1500+2250+26000,
IF(V386&lt;=600000,(V386-400000)*25%+1500+2250+26000+45000,
IF(AND(V386&gt;600000,V386&lt;=1200000),(V386-400000)*25%+1500+2250+26000+45000
+IFERROR(LOOKUP(V386,{600001;700001;800001;900001},{4000;6750;10250;15250}),0),IF(V386&gt;1200000,((V386-1200000)*27.5%)+300000,0)
)))))))</f>
        <v>0</v>
      </c>
      <c r="X386" s="12">
        <f t="shared" si="97"/>
        <v>0</v>
      </c>
      <c r="Y386" s="12">
        <f t="shared" si="98"/>
        <v>0</v>
      </c>
      <c r="Z386" s="11"/>
      <c r="AA386" s="13">
        <f t="shared" si="99"/>
        <v>0</v>
      </c>
      <c r="AB386" s="12">
        <f t="shared" si="100"/>
        <v>0</v>
      </c>
      <c r="AC386" s="14">
        <f t="shared" si="88"/>
        <v>0</v>
      </c>
      <c r="AE386" s="19">
        <f t="shared" si="101"/>
        <v>0</v>
      </c>
      <c r="AF386" s="19"/>
      <c r="AG386" s="17"/>
      <c r="AK386" s="7"/>
      <c r="AL386" s="108">
        <f t="shared" si="89"/>
        <v>0</v>
      </c>
      <c r="AM386" s="108">
        <f t="shared" si="90"/>
        <v>0</v>
      </c>
      <c r="AN386" s="113"/>
    </row>
    <row r="387" spans="2:40" x14ac:dyDescent="0.2">
      <c r="B387" s="7"/>
      <c r="C387" s="8"/>
      <c r="D387" s="8"/>
      <c r="E387" s="9"/>
      <c r="F387" s="6"/>
      <c r="G387" s="8"/>
      <c r="H387" s="32"/>
      <c r="I387" s="10" t="str">
        <f t="shared" si="87"/>
        <v>21</v>
      </c>
      <c r="J387" s="11">
        <v>1</v>
      </c>
      <c r="K387" s="11"/>
      <c r="L387" s="11"/>
      <c r="M387" s="11">
        <f t="shared" si="91"/>
        <v>0</v>
      </c>
      <c r="N387" s="11"/>
      <c r="O387" s="11">
        <f t="shared" si="92"/>
        <v>0</v>
      </c>
      <c r="P387" s="11"/>
      <c r="Q387" s="11"/>
      <c r="R387" s="11"/>
      <c r="S387" s="11">
        <f t="shared" si="93"/>
        <v>0</v>
      </c>
      <c r="T387" s="11">
        <f t="shared" si="94"/>
        <v>1666.6666666666667</v>
      </c>
      <c r="U387" s="11">
        <f t="shared" si="95"/>
        <v>0</v>
      </c>
      <c r="V387" s="24">
        <f t="shared" si="96"/>
        <v>0</v>
      </c>
      <c r="W387" s="11">
        <f>IF(V387&lt;=40000,0,
IF(V387&lt;=55000,(V387-40000)*10%,
IF(V387&lt;=70000,(V387-55000)*15%+1500,
IF(V387&lt;=200000,(V387-70000)*20%+1500+2250,
IF(V387&lt;=400000,(V387-200000)*22.5%+1500+2250+26000,
IF(V387&lt;=600000,(V387-400000)*25%+1500+2250+26000+45000,
IF(AND(V387&gt;600000,V387&lt;=1200000),(V387-400000)*25%+1500+2250+26000+45000
+IFERROR(LOOKUP(V387,{600001;700001;800001;900001},{4000;6750;10250;15250}),0),IF(V387&gt;1200000,((V387-1200000)*27.5%)+300000,0)
)))))))</f>
        <v>0</v>
      </c>
      <c r="X387" s="12">
        <f t="shared" si="97"/>
        <v>0</v>
      </c>
      <c r="Y387" s="12">
        <f t="shared" si="98"/>
        <v>0</v>
      </c>
      <c r="Z387" s="11"/>
      <c r="AA387" s="13">
        <f t="shared" si="99"/>
        <v>0</v>
      </c>
      <c r="AB387" s="12">
        <f t="shared" si="100"/>
        <v>0</v>
      </c>
      <c r="AC387" s="14">
        <f t="shared" si="88"/>
        <v>0</v>
      </c>
      <c r="AE387" s="19">
        <f t="shared" si="101"/>
        <v>0</v>
      </c>
      <c r="AF387" s="19"/>
      <c r="AG387" s="17"/>
      <c r="AK387" s="7"/>
      <c r="AL387" s="108">
        <f t="shared" si="89"/>
        <v>0</v>
      </c>
      <c r="AM387" s="108">
        <f t="shared" si="90"/>
        <v>0</v>
      </c>
      <c r="AN387" s="113"/>
    </row>
    <row r="388" spans="2:40" x14ac:dyDescent="0.2">
      <c r="B388" s="7"/>
      <c r="C388" s="8"/>
      <c r="D388" s="8"/>
      <c r="E388" s="9"/>
      <c r="F388" s="6"/>
      <c r="G388" s="8"/>
      <c r="H388" s="32"/>
      <c r="I388" s="10" t="str">
        <f t="shared" si="87"/>
        <v>21</v>
      </c>
      <c r="J388" s="11">
        <v>1</v>
      </c>
      <c r="K388" s="11"/>
      <c r="L388" s="11"/>
      <c r="M388" s="11">
        <f t="shared" si="91"/>
        <v>0</v>
      </c>
      <c r="N388" s="11"/>
      <c r="O388" s="11">
        <f t="shared" si="92"/>
        <v>0</v>
      </c>
      <c r="P388" s="11"/>
      <c r="Q388" s="11"/>
      <c r="R388" s="11"/>
      <c r="S388" s="11">
        <f t="shared" si="93"/>
        <v>0</v>
      </c>
      <c r="T388" s="11">
        <f t="shared" si="94"/>
        <v>1666.6666666666667</v>
      </c>
      <c r="U388" s="11">
        <f t="shared" si="95"/>
        <v>0</v>
      </c>
      <c r="V388" s="24">
        <f t="shared" si="96"/>
        <v>0</v>
      </c>
      <c r="W388" s="11">
        <f>IF(V388&lt;=40000,0,
IF(V388&lt;=55000,(V388-40000)*10%,
IF(V388&lt;=70000,(V388-55000)*15%+1500,
IF(V388&lt;=200000,(V388-70000)*20%+1500+2250,
IF(V388&lt;=400000,(V388-200000)*22.5%+1500+2250+26000,
IF(V388&lt;=600000,(V388-400000)*25%+1500+2250+26000+45000,
IF(AND(V388&gt;600000,V388&lt;=1200000),(V388-400000)*25%+1500+2250+26000+45000
+IFERROR(LOOKUP(V388,{600001;700001;800001;900001},{4000;6750;10250;15250}),0),IF(V388&gt;1200000,((V388-1200000)*27.5%)+300000,0)
)))))))</f>
        <v>0</v>
      </c>
      <c r="X388" s="12">
        <f t="shared" si="97"/>
        <v>0</v>
      </c>
      <c r="Y388" s="12">
        <f t="shared" si="98"/>
        <v>0</v>
      </c>
      <c r="Z388" s="11"/>
      <c r="AA388" s="13">
        <f t="shared" si="99"/>
        <v>0</v>
      </c>
      <c r="AB388" s="12">
        <f t="shared" si="100"/>
        <v>0</v>
      </c>
      <c r="AC388" s="14">
        <f t="shared" si="88"/>
        <v>0</v>
      </c>
      <c r="AE388" s="19">
        <f t="shared" si="101"/>
        <v>0</v>
      </c>
      <c r="AF388" s="19"/>
      <c r="AG388" s="17"/>
      <c r="AK388" s="7"/>
      <c r="AL388" s="108">
        <f t="shared" si="89"/>
        <v>0</v>
      </c>
      <c r="AM388" s="108">
        <f t="shared" si="90"/>
        <v>0</v>
      </c>
      <c r="AN388" s="113"/>
    </row>
    <row r="389" spans="2:40" x14ac:dyDescent="0.2">
      <c r="B389" s="7"/>
      <c r="C389" s="8"/>
      <c r="D389" s="8"/>
      <c r="E389" s="9"/>
      <c r="F389" s="6"/>
      <c r="G389" s="8"/>
      <c r="H389" s="32"/>
      <c r="I389" s="10" t="str">
        <f t="shared" ref="I389:I452" si="102">IF(G389&gt;0,"1","21")</f>
        <v>21</v>
      </c>
      <c r="J389" s="11">
        <v>1</v>
      </c>
      <c r="K389" s="11"/>
      <c r="L389" s="11"/>
      <c r="M389" s="11">
        <f t="shared" si="91"/>
        <v>0</v>
      </c>
      <c r="N389" s="11"/>
      <c r="O389" s="11">
        <f t="shared" si="92"/>
        <v>0</v>
      </c>
      <c r="P389" s="11"/>
      <c r="Q389" s="11"/>
      <c r="R389" s="11"/>
      <c r="S389" s="11">
        <f t="shared" si="93"/>
        <v>0</v>
      </c>
      <c r="T389" s="11">
        <f t="shared" si="94"/>
        <v>1666.6666666666667</v>
      </c>
      <c r="U389" s="11">
        <f t="shared" si="95"/>
        <v>0</v>
      </c>
      <c r="V389" s="24">
        <f t="shared" si="96"/>
        <v>0</v>
      </c>
      <c r="W389" s="11">
        <f>IF(V389&lt;=40000,0,
IF(V389&lt;=55000,(V389-40000)*10%,
IF(V389&lt;=70000,(V389-55000)*15%+1500,
IF(V389&lt;=200000,(V389-70000)*20%+1500+2250,
IF(V389&lt;=400000,(V389-200000)*22.5%+1500+2250+26000,
IF(V389&lt;=600000,(V389-400000)*25%+1500+2250+26000+45000,
IF(AND(V389&gt;600000,V389&lt;=1200000),(V389-400000)*25%+1500+2250+26000+45000
+IFERROR(LOOKUP(V389,{600001;700001;800001;900001},{4000;6750;10250;15250}),0),IF(V389&gt;1200000,((V389-1200000)*27.5%)+300000,0)
)))))))</f>
        <v>0</v>
      </c>
      <c r="X389" s="12">
        <f t="shared" si="97"/>
        <v>0</v>
      </c>
      <c r="Y389" s="12">
        <f t="shared" si="98"/>
        <v>0</v>
      </c>
      <c r="Z389" s="11"/>
      <c r="AA389" s="13">
        <f t="shared" si="99"/>
        <v>0</v>
      </c>
      <c r="AB389" s="12">
        <f t="shared" si="100"/>
        <v>0</v>
      </c>
      <c r="AC389" s="14">
        <f t="shared" ref="AC389:AC452" si="103">+M389-P389-Y389</f>
        <v>0</v>
      </c>
      <c r="AE389" s="19">
        <f t="shared" si="101"/>
        <v>0</v>
      </c>
      <c r="AF389" s="19"/>
      <c r="AG389" s="17"/>
      <c r="AK389" s="7"/>
      <c r="AL389" s="108">
        <f t="shared" ref="AL389:AL452" si="104">+AK389+AD389</f>
        <v>0</v>
      </c>
      <c r="AM389" s="108">
        <f t="shared" ref="AM389:AM452" si="105">+AL389-AC389</f>
        <v>0</v>
      </c>
      <c r="AN389" s="113"/>
    </row>
    <row r="390" spans="2:40" x14ac:dyDescent="0.2">
      <c r="B390" s="7"/>
      <c r="C390" s="8"/>
      <c r="D390" s="8"/>
      <c r="E390" s="9"/>
      <c r="F390" s="6"/>
      <c r="G390" s="8"/>
      <c r="H390" s="32"/>
      <c r="I390" s="10" t="str">
        <f t="shared" si="102"/>
        <v>21</v>
      </c>
      <c r="J390" s="11">
        <v>1</v>
      </c>
      <c r="K390" s="11"/>
      <c r="L390" s="11"/>
      <c r="M390" s="11">
        <f t="shared" si="91"/>
        <v>0</v>
      </c>
      <c r="N390" s="11"/>
      <c r="O390" s="11">
        <f t="shared" si="92"/>
        <v>0</v>
      </c>
      <c r="P390" s="11"/>
      <c r="Q390" s="11"/>
      <c r="R390" s="11"/>
      <c r="S390" s="11">
        <f t="shared" si="93"/>
        <v>0</v>
      </c>
      <c r="T390" s="11">
        <f t="shared" si="94"/>
        <v>1666.6666666666667</v>
      </c>
      <c r="U390" s="11">
        <f t="shared" si="95"/>
        <v>0</v>
      </c>
      <c r="V390" s="24">
        <f t="shared" si="96"/>
        <v>0</v>
      </c>
      <c r="W390" s="11">
        <f>IF(V390&lt;=40000,0,
IF(V390&lt;=55000,(V390-40000)*10%,
IF(V390&lt;=70000,(V390-55000)*15%+1500,
IF(V390&lt;=200000,(V390-70000)*20%+1500+2250,
IF(V390&lt;=400000,(V390-200000)*22.5%+1500+2250+26000,
IF(V390&lt;=600000,(V390-400000)*25%+1500+2250+26000+45000,
IF(AND(V390&gt;600000,V390&lt;=1200000),(V390-400000)*25%+1500+2250+26000+45000
+IFERROR(LOOKUP(V390,{600001;700001;800001;900001},{4000;6750;10250;15250}),0),IF(V390&gt;1200000,((V390-1200000)*27.5%)+300000,0)
)))))))</f>
        <v>0</v>
      </c>
      <c r="X390" s="12">
        <f t="shared" si="97"/>
        <v>0</v>
      </c>
      <c r="Y390" s="12">
        <f t="shared" si="98"/>
        <v>0</v>
      </c>
      <c r="Z390" s="11"/>
      <c r="AA390" s="13">
        <f t="shared" si="99"/>
        <v>0</v>
      </c>
      <c r="AB390" s="12">
        <f t="shared" si="100"/>
        <v>0</v>
      </c>
      <c r="AC390" s="14">
        <f t="shared" si="103"/>
        <v>0</v>
      </c>
      <c r="AE390" s="19">
        <f t="shared" si="101"/>
        <v>0</v>
      </c>
      <c r="AF390" s="19"/>
      <c r="AG390" s="17"/>
      <c r="AK390" s="7"/>
      <c r="AL390" s="108">
        <f t="shared" si="104"/>
        <v>0</v>
      </c>
      <c r="AM390" s="108">
        <f t="shared" si="105"/>
        <v>0</v>
      </c>
      <c r="AN390" s="113"/>
    </row>
    <row r="391" spans="2:40" x14ac:dyDescent="0.2">
      <c r="B391" s="7"/>
      <c r="C391" s="8"/>
      <c r="D391" s="8"/>
      <c r="E391" s="9"/>
      <c r="F391" s="6"/>
      <c r="G391" s="8"/>
      <c r="H391" s="32"/>
      <c r="I391" s="10" t="str">
        <f t="shared" si="102"/>
        <v>21</v>
      </c>
      <c r="J391" s="11">
        <v>1</v>
      </c>
      <c r="K391" s="11"/>
      <c r="L391" s="11"/>
      <c r="M391" s="11">
        <f t="shared" si="91"/>
        <v>0</v>
      </c>
      <c r="N391" s="11"/>
      <c r="O391" s="11">
        <f t="shared" si="92"/>
        <v>0</v>
      </c>
      <c r="P391" s="11"/>
      <c r="Q391" s="11"/>
      <c r="R391" s="11"/>
      <c r="S391" s="11">
        <f t="shared" si="93"/>
        <v>0</v>
      </c>
      <c r="T391" s="11">
        <f t="shared" si="94"/>
        <v>1666.6666666666667</v>
      </c>
      <c r="U391" s="11">
        <f t="shared" si="95"/>
        <v>0</v>
      </c>
      <c r="V391" s="24">
        <f t="shared" si="96"/>
        <v>0</v>
      </c>
      <c r="W391" s="11">
        <f>IF(V391&lt;=40000,0,
IF(V391&lt;=55000,(V391-40000)*10%,
IF(V391&lt;=70000,(V391-55000)*15%+1500,
IF(V391&lt;=200000,(V391-70000)*20%+1500+2250,
IF(V391&lt;=400000,(V391-200000)*22.5%+1500+2250+26000,
IF(V391&lt;=600000,(V391-400000)*25%+1500+2250+26000+45000,
IF(AND(V391&gt;600000,V391&lt;=1200000),(V391-400000)*25%+1500+2250+26000+45000
+IFERROR(LOOKUP(V391,{600001;700001;800001;900001},{4000;6750;10250;15250}),0),IF(V391&gt;1200000,((V391-1200000)*27.5%)+300000,0)
)))))))</f>
        <v>0</v>
      </c>
      <c r="X391" s="12">
        <f t="shared" si="97"/>
        <v>0</v>
      </c>
      <c r="Y391" s="12">
        <f t="shared" si="98"/>
        <v>0</v>
      </c>
      <c r="Z391" s="11"/>
      <c r="AA391" s="13">
        <f t="shared" si="99"/>
        <v>0</v>
      </c>
      <c r="AB391" s="12">
        <f t="shared" si="100"/>
        <v>0</v>
      </c>
      <c r="AC391" s="14">
        <f t="shared" si="103"/>
        <v>0</v>
      </c>
      <c r="AE391" s="19">
        <f t="shared" si="101"/>
        <v>0</v>
      </c>
      <c r="AF391" s="19"/>
      <c r="AG391" s="17"/>
      <c r="AK391" s="7"/>
      <c r="AL391" s="108">
        <f t="shared" si="104"/>
        <v>0</v>
      </c>
      <c r="AM391" s="108">
        <f t="shared" si="105"/>
        <v>0</v>
      </c>
      <c r="AN391" s="113"/>
    </row>
    <row r="392" spans="2:40" x14ac:dyDescent="0.2">
      <c r="B392" s="7"/>
      <c r="C392" s="8"/>
      <c r="D392" s="8"/>
      <c r="E392" s="9"/>
      <c r="F392" s="6"/>
      <c r="G392" s="8"/>
      <c r="H392" s="32"/>
      <c r="I392" s="10" t="str">
        <f t="shared" si="102"/>
        <v>21</v>
      </c>
      <c r="J392" s="11">
        <v>1</v>
      </c>
      <c r="K392" s="11"/>
      <c r="L392" s="11"/>
      <c r="M392" s="11">
        <f t="shared" si="91"/>
        <v>0</v>
      </c>
      <c r="N392" s="11"/>
      <c r="O392" s="11">
        <f t="shared" si="92"/>
        <v>0</v>
      </c>
      <c r="P392" s="11"/>
      <c r="Q392" s="11"/>
      <c r="R392" s="11"/>
      <c r="S392" s="11">
        <f t="shared" si="93"/>
        <v>0</v>
      </c>
      <c r="T392" s="11">
        <f t="shared" si="94"/>
        <v>1666.6666666666667</v>
      </c>
      <c r="U392" s="11">
        <f t="shared" si="95"/>
        <v>0</v>
      </c>
      <c r="V392" s="24">
        <f t="shared" si="96"/>
        <v>0</v>
      </c>
      <c r="W392" s="11">
        <f>IF(V392&lt;=40000,0,
IF(V392&lt;=55000,(V392-40000)*10%,
IF(V392&lt;=70000,(V392-55000)*15%+1500,
IF(V392&lt;=200000,(V392-70000)*20%+1500+2250,
IF(V392&lt;=400000,(V392-200000)*22.5%+1500+2250+26000,
IF(V392&lt;=600000,(V392-400000)*25%+1500+2250+26000+45000,
IF(AND(V392&gt;600000,V392&lt;=1200000),(V392-400000)*25%+1500+2250+26000+45000
+IFERROR(LOOKUP(V392,{600001;700001;800001;900001},{4000;6750;10250;15250}),0),IF(V392&gt;1200000,((V392-1200000)*27.5%)+300000,0)
)))))))</f>
        <v>0</v>
      </c>
      <c r="X392" s="12">
        <f t="shared" si="97"/>
        <v>0</v>
      </c>
      <c r="Y392" s="12">
        <f t="shared" si="98"/>
        <v>0</v>
      </c>
      <c r="Z392" s="11"/>
      <c r="AA392" s="13">
        <f t="shared" si="99"/>
        <v>0</v>
      </c>
      <c r="AB392" s="12">
        <f t="shared" si="100"/>
        <v>0</v>
      </c>
      <c r="AC392" s="14">
        <f t="shared" si="103"/>
        <v>0</v>
      </c>
      <c r="AE392" s="19">
        <f t="shared" si="101"/>
        <v>0</v>
      </c>
      <c r="AF392" s="19"/>
      <c r="AG392" s="17"/>
      <c r="AK392" s="7"/>
      <c r="AL392" s="108">
        <f t="shared" si="104"/>
        <v>0</v>
      </c>
      <c r="AM392" s="108">
        <f t="shared" si="105"/>
        <v>0</v>
      </c>
      <c r="AN392" s="113"/>
    </row>
    <row r="393" spans="2:40" x14ac:dyDescent="0.2">
      <c r="B393" s="7"/>
      <c r="C393" s="8"/>
      <c r="D393" s="8"/>
      <c r="E393" s="9"/>
      <c r="F393" s="6"/>
      <c r="G393" s="8"/>
      <c r="H393" s="32"/>
      <c r="I393" s="10" t="str">
        <f t="shared" si="102"/>
        <v>21</v>
      </c>
      <c r="J393" s="11">
        <v>1</v>
      </c>
      <c r="K393" s="11"/>
      <c r="L393" s="11"/>
      <c r="M393" s="11">
        <f t="shared" si="91"/>
        <v>0</v>
      </c>
      <c r="N393" s="11"/>
      <c r="O393" s="11">
        <f t="shared" si="92"/>
        <v>0</v>
      </c>
      <c r="P393" s="11"/>
      <c r="Q393" s="11"/>
      <c r="R393" s="11"/>
      <c r="S393" s="11">
        <f t="shared" si="93"/>
        <v>0</v>
      </c>
      <c r="T393" s="11">
        <f t="shared" si="94"/>
        <v>1666.6666666666667</v>
      </c>
      <c r="U393" s="11">
        <f t="shared" si="95"/>
        <v>0</v>
      </c>
      <c r="V393" s="24">
        <f t="shared" si="96"/>
        <v>0</v>
      </c>
      <c r="W393" s="11">
        <f>IF(V393&lt;=40000,0,
IF(V393&lt;=55000,(V393-40000)*10%,
IF(V393&lt;=70000,(V393-55000)*15%+1500,
IF(V393&lt;=200000,(V393-70000)*20%+1500+2250,
IF(V393&lt;=400000,(V393-200000)*22.5%+1500+2250+26000,
IF(V393&lt;=600000,(V393-400000)*25%+1500+2250+26000+45000,
IF(AND(V393&gt;600000,V393&lt;=1200000),(V393-400000)*25%+1500+2250+26000+45000
+IFERROR(LOOKUP(V393,{600001;700001;800001;900001},{4000;6750;10250;15250}),0),IF(V393&gt;1200000,((V393-1200000)*27.5%)+300000,0)
)))))))</f>
        <v>0</v>
      </c>
      <c r="X393" s="12">
        <f t="shared" si="97"/>
        <v>0</v>
      </c>
      <c r="Y393" s="12">
        <f t="shared" si="98"/>
        <v>0</v>
      </c>
      <c r="Z393" s="11"/>
      <c r="AA393" s="13">
        <f t="shared" si="99"/>
        <v>0</v>
      </c>
      <c r="AB393" s="12">
        <f t="shared" si="100"/>
        <v>0</v>
      </c>
      <c r="AC393" s="14">
        <f t="shared" si="103"/>
        <v>0</v>
      </c>
      <c r="AE393" s="19">
        <f t="shared" si="101"/>
        <v>0</v>
      </c>
      <c r="AF393" s="19"/>
      <c r="AG393" s="17"/>
      <c r="AK393" s="7"/>
      <c r="AL393" s="108">
        <f t="shared" si="104"/>
        <v>0</v>
      </c>
      <c r="AM393" s="108">
        <f t="shared" si="105"/>
        <v>0</v>
      </c>
      <c r="AN393" s="113"/>
    </row>
    <row r="394" spans="2:40" x14ac:dyDescent="0.2">
      <c r="B394" s="7"/>
      <c r="C394" s="8"/>
      <c r="D394" s="8"/>
      <c r="E394" s="9"/>
      <c r="F394" s="6"/>
      <c r="G394" s="8"/>
      <c r="H394" s="32"/>
      <c r="I394" s="10" t="str">
        <f t="shared" si="102"/>
        <v>21</v>
      </c>
      <c r="J394" s="11">
        <v>1</v>
      </c>
      <c r="K394" s="11"/>
      <c r="L394" s="11"/>
      <c r="M394" s="11">
        <f t="shared" si="91"/>
        <v>0</v>
      </c>
      <c r="N394" s="11"/>
      <c r="O394" s="11">
        <f t="shared" si="92"/>
        <v>0</v>
      </c>
      <c r="P394" s="11"/>
      <c r="Q394" s="11"/>
      <c r="R394" s="11"/>
      <c r="S394" s="11">
        <f t="shared" si="93"/>
        <v>0</v>
      </c>
      <c r="T394" s="11">
        <f t="shared" si="94"/>
        <v>1666.6666666666667</v>
      </c>
      <c r="U394" s="11">
        <f t="shared" si="95"/>
        <v>0</v>
      </c>
      <c r="V394" s="24">
        <f t="shared" si="96"/>
        <v>0</v>
      </c>
      <c r="W394" s="11">
        <f>IF(V394&lt;=40000,0,
IF(V394&lt;=55000,(V394-40000)*10%,
IF(V394&lt;=70000,(V394-55000)*15%+1500,
IF(V394&lt;=200000,(V394-70000)*20%+1500+2250,
IF(V394&lt;=400000,(V394-200000)*22.5%+1500+2250+26000,
IF(V394&lt;=600000,(V394-400000)*25%+1500+2250+26000+45000,
IF(AND(V394&gt;600000,V394&lt;=1200000),(V394-400000)*25%+1500+2250+26000+45000
+IFERROR(LOOKUP(V394,{600001;700001;800001;900001},{4000;6750;10250;15250}),0),IF(V394&gt;1200000,((V394-1200000)*27.5%)+300000,0)
)))))))</f>
        <v>0</v>
      </c>
      <c r="X394" s="12">
        <f t="shared" si="97"/>
        <v>0</v>
      </c>
      <c r="Y394" s="12">
        <f t="shared" si="98"/>
        <v>0</v>
      </c>
      <c r="Z394" s="11"/>
      <c r="AA394" s="13">
        <f t="shared" si="99"/>
        <v>0</v>
      </c>
      <c r="AB394" s="12">
        <f t="shared" si="100"/>
        <v>0</v>
      </c>
      <c r="AC394" s="14">
        <f t="shared" si="103"/>
        <v>0</v>
      </c>
      <c r="AE394" s="19">
        <f t="shared" si="101"/>
        <v>0</v>
      </c>
      <c r="AF394" s="19"/>
      <c r="AG394" s="17"/>
      <c r="AK394" s="7"/>
      <c r="AL394" s="108">
        <f t="shared" si="104"/>
        <v>0</v>
      </c>
      <c r="AM394" s="108">
        <f t="shared" si="105"/>
        <v>0</v>
      </c>
      <c r="AN394" s="113"/>
    </row>
    <row r="395" spans="2:40" x14ac:dyDescent="0.2">
      <c r="B395" s="7"/>
      <c r="C395" s="8"/>
      <c r="D395" s="8"/>
      <c r="E395" s="9"/>
      <c r="F395" s="6"/>
      <c r="G395" s="8"/>
      <c r="H395" s="32"/>
      <c r="I395" s="10" t="str">
        <f t="shared" si="102"/>
        <v>21</v>
      </c>
      <c r="J395" s="11">
        <v>1</v>
      </c>
      <c r="K395" s="11"/>
      <c r="L395" s="11"/>
      <c r="M395" s="11">
        <f t="shared" si="91"/>
        <v>0</v>
      </c>
      <c r="N395" s="11"/>
      <c r="O395" s="11">
        <f t="shared" si="92"/>
        <v>0</v>
      </c>
      <c r="P395" s="11"/>
      <c r="Q395" s="11"/>
      <c r="R395" s="11"/>
      <c r="S395" s="11">
        <f t="shared" si="93"/>
        <v>0</v>
      </c>
      <c r="T395" s="11">
        <f t="shared" si="94"/>
        <v>1666.6666666666667</v>
      </c>
      <c r="U395" s="11">
        <f t="shared" si="95"/>
        <v>0</v>
      </c>
      <c r="V395" s="24">
        <f t="shared" si="96"/>
        <v>0</v>
      </c>
      <c r="W395" s="11">
        <f>IF(V395&lt;=40000,0,
IF(V395&lt;=55000,(V395-40000)*10%,
IF(V395&lt;=70000,(V395-55000)*15%+1500,
IF(V395&lt;=200000,(V395-70000)*20%+1500+2250,
IF(V395&lt;=400000,(V395-200000)*22.5%+1500+2250+26000,
IF(V395&lt;=600000,(V395-400000)*25%+1500+2250+26000+45000,
IF(AND(V395&gt;600000,V395&lt;=1200000),(V395-400000)*25%+1500+2250+26000+45000
+IFERROR(LOOKUP(V395,{600001;700001;800001;900001},{4000;6750;10250;15250}),0),IF(V395&gt;1200000,((V395-1200000)*27.5%)+300000,0)
)))))))</f>
        <v>0</v>
      </c>
      <c r="X395" s="12">
        <f t="shared" si="97"/>
        <v>0</v>
      </c>
      <c r="Y395" s="12">
        <f t="shared" si="98"/>
        <v>0</v>
      </c>
      <c r="Z395" s="11"/>
      <c r="AA395" s="13">
        <f t="shared" si="99"/>
        <v>0</v>
      </c>
      <c r="AB395" s="12">
        <f t="shared" si="100"/>
        <v>0</v>
      </c>
      <c r="AC395" s="14">
        <f t="shared" si="103"/>
        <v>0</v>
      </c>
      <c r="AE395" s="19">
        <f t="shared" si="101"/>
        <v>0</v>
      </c>
      <c r="AF395" s="19"/>
      <c r="AG395" s="17"/>
      <c r="AK395" s="7"/>
      <c r="AL395" s="108">
        <f t="shared" si="104"/>
        <v>0</v>
      </c>
      <c r="AM395" s="108">
        <f t="shared" si="105"/>
        <v>0</v>
      </c>
      <c r="AN395" s="113"/>
    </row>
    <row r="396" spans="2:40" x14ac:dyDescent="0.2">
      <c r="B396" s="7"/>
      <c r="C396" s="8"/>
      <c r="D396" s="8"/>
      <c r="E396" s="9"/>
      <c r="F396" s="6"/>
      <c r="G396" s="8"/>
      <c r="H396" s="32"/>
      <c r="I396" s="10" t="str">
        <f t="shared" si="102"/>
        <v>21</v>
      </c>
      <c r="J396" s="11">
        <v>1</v>
      </c>
      <c r="K396" s="11"/>
      <c r="L396" s="11"/>
      <c r="M396" s="11">
        <f t="shared" si="91"/>
        <v>0</v>
      </c>
      <c r="N396" s="11"/>
      <c r="O396" s="11">
        <f t="shared" si="92"/>
        <v>0</v>
      </c>
      <c r="P396" s="11"/>
      <c r="Q396" s="11"/>
      <c r="R396" s="11"/>
      <c r="S396" s="11">
        <f t="shared" si="93"/>
        <v>0</v>
      </c>
      <c r="T396" s="11">
        <f t="shared" si="94"/>
        <v>1666.6666666666667</v>
      </c>
      <c r="U396" s="11">
        <f t="shared" si="95"/>
        <v>0</v>
      </c>
      <c r="V396" s="24">
        <f t="shared" si="96"/>
        <v>0</v>
      </c>
      <c r="W396" s="11">
        <f>IF(V396&lt;=40000,0,
IF(V396&lt;=55000,(V396-40000)*10%,
IF(V396&lt;=70000,(V396-55000)*15%+1500,
IF(V396&lt;=200000,(V396-70000)*20%+1500+2250,
IF(V396&lt;=400000,(V396-200000)*22.5%+1500+2250+26000,
IF(V396&lt;=600000,(V396-400000)*25%+1500+2250+26000+45000,
IF(AND(V396&gt;600000,V396&lt;=1200000),(V396-400000)*25%+1500+2250+26000+45000
+IFERROR(LOOKUP(V396,{600001;700001;800001;900001},{4000;6750;10250;15250}),0),IF(V396&gt;1200000,((V396-1200000)*27.5%)+300000,0)
)))))))</f>
        <v>0</v>
      </c>
      <c r="X396" s="12">
        <f t="shared" si="97"/>
        <v>0</v>
      </c>
      <c r="Y396" s="12">
        <f t="shared" si="98"/>
        <v>0</v>
      </c>
      <c r="Z396" s="11"/>
      <c r="AA396" s="13">
        <f t="shared" si="99"/>
        <v>0</v>
      </c>
      <c r="AB396" s="12">
        <f t="shared" si="100"/>
        <v>0</v>
      </c>
      <c r="AC396" s="14">
        <f t="shared" si="103"/>
        <v>0</v>
      </c>
      <c r="AE396" s="19">
        <f t="shared" si="101"/>
        <v>0</v>
      </c>
      <c r="AF396" s="19"/>
      <c r="AG396" s="17"/>
      <c r="AK396" s="7"/>
      <c r="AL396" s="108">
        <f t="shared" si="104"/>
        <v>0</v>
      </c>
      <c r="AM396" s="108">
        <f t="shared" si="105"/>
        <v>0</v>
      </c>
      <c r="AN396" s="113"/>
    </row>
    <row r="397" spans="2:40" x14ac:dyDescent="0.2">
      <c r="B397" s="7"/>
      <c r="C397" s="8"/>
      <c r="D397" s="8"/>
      <c r="E397" s="9"/>
      <c r="F397" s="6"/>
      <c r="G397" s="8"/>
      <c r="H397" s="32"/>
      <c r="I397" s="10" t="str">
        <f t="shared" si="102"/>
        <v>21</v>
      </c>
      <c r="J397" s="11">
        <v>1</v>
      </c>
      <c r="K397" s="11"/>
      <c r="L397" s="11"/>
      <c r="M397" s="11">
        <f t="shared" si="91"/>
        <v>0</v>
      </c>
      <c r="N397" s="11"/>
      <c r="O397" s="11">
        <f t="shared" si="92"/>
        <v>0</v>
      </c>
      <c r="P397" s="11"/>
      <c r="Q397" s="11"/>
      <c r="R397" s="11"/>
      <c r="S397" s="11">
        <f t="shared" si="93"/>
        <v>0</v>
      </c>
      <c r="T397" s="11">
        <f t="shared" si="94"/>
        <v>1666.6666666666667</v>
      </c>
      <c r="U397" s="11">
        <f t="shared" si="95"/>
        <v>0</v>
      </c>
      <c r="V397" s="24">
        <f t="shared" si="96"/>
        <v>0</v>
      </c>
      <c r="W397" s="11">
        <f>IF(V397&lt;=40000,0,
IF(V397&lt;=55000,(V397-40000)*10%,
IF(V397&lt;=70000,(V397-55000)*15%+1500,
IF(V397&lt;=200000,(V397-70000)*20%+1500+2250,
IF(V397&lt;=400000,(V397-200000)*22.5%+1500+2250+26000,
IF(V397&lt;=600000,(V397-400000)*25%+1500+2250+26000+45000,
IF(AND(V397&gt;600000,V397&lt;=1200000),(V397-400000)*25%+1500+2250+26000+45000
+IFERROR(LOOKUP(V397,{600001;700001;800001;900001},{4000;6750;10250;15250}),0),IF(V397&gt;1200000,((V397-1200000)*27.5%)+300000,0)
)))))))</f>
        <v>0</v>
      </c>
      <c r="X397" s="12">
        <f t="shared" si="97"/>
        <v>0</v>
      </c>
      <c r="Y397" s="12">
        <f t="shared" si="98"/>
        <v>0</v>
      </c>
      <c r="Z397" s="11"/>
      <c r="AA397" s="13">
        <f t="shared" si="99"/>
        <v>0</v>
      </c>
      <c r="AB397" s="12">
        <f t="shared" si="100"/>
        <v>0</v>
      </c>
      <c r="AC397" s="14">
        <f t="shared" si="103"/>
        <v>0</v>
      </c>
      <c r="AE397" s="19">
        <f t="shared" si="101"/>
        <v>0</v>
      </c>
      <c r="AF397" s="19"/>
      <c r="AG397" s="17"/>
      <c r="AK397" s="7"/>
      <c r="AL397" s="108">
        <f t="shared" si="104"/>
        <v>0</v>
      </c>
      <c r="AM397" s="108">
        <f t="shared" si="105"/>
        <v>0</v>
      </c>
      <c r="AN397" s="113"/>
    </row>
    <row r="398" spans="2:40" x14ac:dyDescent="0.2">
      <c r="B398" s="7"/>
      <c r="C398" s="8"/>
      <c r="D398" s="8"/>
      <c r="E398" s="9"/>
      <c r="F398" s="6"/>
      <c r="G398" s="8"/>
      <c r="H398" s="32"/>
      <c r="I398" s="10" t="str">
        <f t="shared" si="102"/>
        <v>21</v>
      </c>
      <c r="J398" s="11">
        <v>1</v>
      </c>
      <c r="K398" s="11"/>
      <c r="L398" s="11"/>
      <c r="M398" s="11">
        <f t="shared" si="91"/>
        <v>0</v>
      </c>
      <c r="N398" s="11"/>
      <c r="O398" s="11">
        <f t="shared" si="92"/>
        <v>0</v>
      </c>
      <c r="P398" s="11"/>
      <c r="Q398" s="11"/>
      <c r="R398" s="11"/>
      <c r="S398" s="11">
        <f t="shared" si="93"/>
        <v>0</v>
      </c>
      <c r="T398" s="11">
        <f t="shared" si="94"/>
        <v>1666.6666666666667</v>
      </c>
      <c r="U398" s="11">
        <f t="shared" si="95"/>
        <v>0</v>
      </c>
      <c r="V398" s="24">
        <f t="shared" si="96"/>
        <v>0</v>
      </c>
      <c r="W398" s="11">
        <f>IF(V398&lt;=40000,0,
IF(V398&lt;=55000,(V398-40000)*10%,
IF(V398&lt;=70000,(V398-55000)*15%+1500,
IF(V398&lt;=200000,(V398-70000)*20%+1500+2250,
IF(V398&lt;=400000,(V398-200000)*22.5%+1500+2250+26000,
IF(V398&lt;=600000,(V398-400000)*25%+1500+2250+26000+45000,
IF(AND(V398&gt;600000,V398&lt;=1200000),(V398-400000)*25%+1500+2250+26000+45000
+IFERROR(LOOKUP(V398,{600001;700001;800001;900001},{4000;6750;10250;15250}),0),IF(V398&gt;1200000,((V398-1200000)*27.5%)+300000,0)
)))))))</f>
        <v>0</v>
      </c>
      <c r="X398" s="12">
        <f t="shared" si="97"/>
        <v>0</v>
      </c>
      <c r="Y398" s="12">
        <f t="shared" si="98"/>
        <v>0</v>
      </c>
      <c r="Z398" s="11"/>
      <c r="AA398" s="13">
        <f t="shared" si="99"/>
        <v>0</v>
      </c>
      <c r="AB398" s="12">
        <f t="shared" si="100"/>
        <v>0</v>
      </c>
      <c r="AC398" s="14">
        <f t="shared" si="103"/>
        <v>0</v>
      </c>
      <c r="AE398" s="19">
        <f t="shared" si="101"/>
        <v>0</v>
      </c>
      <c r="AF398" s="19"/>
      <c r="AG398" s="17"/>
      <c r="AK398" s="7"/>
      <c r="AL398" s="108">
        <f t="shared" si="104"/>
        <v>0</v>
      </c>
      <c r="AM398" s="108">
        <f t="shared" si="105"/>
        <v>0</v>
      </c>
      <c r="AN398" s="113"/>
    </row>
    <row r="399" spans="2:40" x14ac:dyDescent="0.2">
      <c r="B399" s="7"/>
      <c r="C399" s="8"/>
      <c r="D399" s="8"/>
      <c r="E399" s="9"/>
      <c r="F399" s="6"/>
      <c r="G399" s="8"/>
      <c r="H399" s="32"/>
      <c r="I399" s="10" t="str">
        <f t="shared" si="102"/>
        <v>21</v>
      </c>
      <c r="J399" s="11">
        <v>1</v>
      </c>
      <c r="K399" s="11"/>
      <c r="L399" s="11"/>
      <c r="M399" s="11">
        <f t="shared" si="91"/>
        <v>0</v>
      </c>
      <c r="N399" s="11"/>
      <c r="O399" s="11">
        <f t="shared" si="92"/>
        <v>0</v>
      </c>
      <c r="P399" s="11"/>
      <c r="Q399" s="11"/>
      <c r="R399" s="11"/>
      <c r="S399" s="11">
        <f t="shared" si="93"/>
        <v>0</v>
      </c>
      <c r="T399" s="11">
        <f t="shared" si="94"/>
        <v>1666.6666666666667</v>
      </c>
      <c r="U399" s="11">
        <f t="shared" si="95"/>
        <v>0</v>
      </c>
      <c r="V399" s="24">
        <f t="shared" si="96"/>
        <v>0</v>
      </c>
      <c r="W399" s="11">
        <f>IF(V399&lt;=40000,0,
IF(V399&lt;=55000,(V399-40000)*10%,
IF(V399&lt;=70000,(V399-55000)*15%+1500,
IF(V399&lt;=200000,(V399-70000)*20%+1500+2250,
IF(V399&lt;=400000,(V399-200000)*22.5%+1500+2250+26000,
IF(V399&lt;=600000,(V399-400000)*25%+1500+2250+26000+45000,
IF(AND(V399&gt;600000,V399&lt;=1200000),(V399-400000)*25%+1500+2250+26000+45000
+IFERROR(LOOKUP(V399,{600001;700001;800001;900001},{4000;6750;10250;15250}),0),IF(V399&gt;1200000,((V399-1200000)*27.5%)+300000,0)
)))))))</f>
        <v>0</v>
      </c>
      <c r="X399" s="12">
        <f t="shared" si="97"/>
        <v>0</v>
      </c>
      <c r="Y399" s="12">
        <f t="shared" si="98"/>
        <v>0</v>
      </c>
      <c r="Z399" s="11"/>
      <c r="AA399" s="13">
        <f t="shared" si="99"/>
        <v>0</v>
      </c>
      <c r="AB399" s="12">
        <f t="shared" si="100"/>
        <v>0</v>
      </c>
      <c r="AC399" s="14">
        <f t="shared" si="103"/>
        <v>0</v>
      </c>
      <c r="AE399" s="19">
        <f t="shared" si="101"/>
        <v>0</v>
      </c>
      <c r="AF399" s="19"/>
      <c r="AG399" s="17"/>
      <c r="AK399" s="7"/>
      <c r="AL399" s="108">
        <f t="shared" si="104"/>
        <v>0</v>
      </c>
      <c r="AM399" s="108">
        <f t="shared" si="105"/>
        <v>0</v>
      </c>
      <c r="AN399" s="113"/>
    </row>
    <row r="400" spans="2:40" x14ac:dyDescent="0.2">
      <c r="B400" s="7"/>
      <c r="C400" s="8"/>
      <c r="D400" s="8"/>
      <c r="E400" s="9"/>
      <c r="F400" s="6"/>
      <c r="G400" s="8"/>
      <c r="H400" s="32"/>
      <c r="I400" s="10" t="str">
        <f t="shared" si="102"/>
        <v>21</v>
      </c>
      <c r="J400" s="11">
        <v>1</v>
      </c>
      <c r="K400" s="11"/>
      <c r="L400" s="11"/>
      <c r="M400" s="11">
        <f t="shared" si="91"/>
        <v>0</v>
      </c>
      <c r="N400" s="11"/>
      <c r="O400" s="11">
        <f t="shared" si="92"/>
        <v>0</v>
      </c>
      <c r="P400" s="11"/>
      <c r="Q400" s="11"/>
      <c r="R400" s="11"/>
      <c r="S400" s="11">
        <f t="shared" si="93"/>
        <v>0</v>
      </c>
      <c r="T400" s="11">
        <f t="shared" si="94"/>
        <v>1666.6666666666667</v>
      </c>
      <c r="U400" s="11">
        <f t="shared" si="95"/>
        <v>0</v>
      </c>
      <c r="V400" s="24">
        <f t="shared" si="96"/>
        <v>0</v>
      </c>
      <c r="W400" s="11">
        <f>IF(V400&lt;=40000,0,
IF(V400&lt;=55000,(V400-40000)*10%,
IF(V400&lt;=70000,(V400-55000)*15%+1500,
IF(V400&lt;=200000,(V400-70000)*20%+1500+2250,
IF(V400&lt;=400000,(V400-200000)*22.5%+1500+2250+26000,
IF(V400&lt;=600000,(V400-400000)*25%+1500+2250+26000+45000,
IF(AND(V400&gt;600000,V400&lt;=1200000),(V400-400000)*25%+1500+2250+26000+45000
+IFERROR(LOOKUP(V400,{600001;700001;800001;900001},{4000;6750;10250;15250}),0),IF(V400&gt;1200000,((V400-1200000)*27.5%)+300000,0)
)))))))</f>
        <v>0</v>
      </c>
      <c r="X400" s="12">
        <f t="shared" si="97"/>
        <v>0</v>
      </c>
      <c r="Y400" s="12">
        <f t="shared" si="98"/>
        <v>0</v>
      </c>
      <c r="Z400" s="11"/>
      <c r="AA400" s="13">
        <f t="shared" si="99"/>
        <v>0</v>
      </c>
      <c r="AB400" s="12">
        <f t="shared" si="100"/>
        <v>0</v>
      </c>
      <c r="AC400" s="14">
        <f t="shared" si="103"/>
        <v>0</v>
      </c>
      <c r="AE400" s="19">
        <f t="shared" si="101"/>
        <v>0</v>
      </c>
      <c r="AF400" s="19"/>
      <c r="AG400" s="17"/>
      <c r="AK400" s="7"/>
      <c r="AL400" s="108">
        <f t="shared" si="104"/>
        <v>0</v>
      </c>
      <c r="AM400" s="108">
        <f t="shared" si="105"/>
        <v>0</v>
      </c>
      <c r="AN400" s="113"/>
    </row>
    <row r="401" spans="2:40" x14ac:dyDescent="0.2">
      <c r="B401" s="7"/>
      <c r="C401" s="8"/>
      <c r="D401" s="8"/>
      <c r="E401" s="9"/>
      <c r="F401" s="6"/>
      <c r="G401" s="8"/>
      <c r="H401" s="32"/>
      <c r="I401" s="10" t="str">
        <f t="shared" si="102"/>
        <v>21</v>
      </c>
      <c r="J401" s="11">
        <v>1</v>
      </c>
      <c r="K401" s="11"/>
      <c r="L401" s="11"/>
      <c r="M401" s="11">
        <f t="shared" si="91"/>
        <v>0</v>
      </c>
      <c r="N401" s="11"/>
      <c r="O401" s="11">
        <f t="shared" si="92"/>
        <v>0</v>
      </c>
      <c r="P401" s="11"/>
      <c r="Q401" s="11"/>
      <c r="R401" s="11"/>
      <c r="S401" s="11">
        <f t="shared" si="93"/>
        <v>0</v>
      </c>
      <c r="T401" s="11">
        <f t="shared" si="94"/>
        <v>1666.6666666666667</v>
      </c>
      <c r="U401" s="11">
        <f t="shared" si="95"/>
        <v>0</v>
      </c>
      <c r="V401" s="24">
        <f t="shared" si="96"/>
        <v>0</v>
      </c>
      <c r="W401" s="11">
        <f>IF(V401&lt;=40000,0,
IF(V401&lt;=55000,(V401-40000)*10%,
IF(V401&lt;=70000,(V401-55000)*15%+1500,
IF(V401&lt;=200000,(V401-70000)*20%+1500+2250,
IF(V401&lt;=400000,(V401-200000)*22.5%+1500+2250+26000,
IF(V401&lt;=600000,(V401-400000)*25%+1500+2250+26000+45000,
IF(AND(V401&gt;600000,V401&lt;=1200000),(V401-400000)*25%+1500+2250+26000+45000
+IFERROR(LOOKUP(V401,{600001;700001;800001;900001},{4000;6750;10250;15250}),0),IF(V401&gt;1200000,((V401-1200000)*27.5%)+300000,0)
)))))))</f>
        <v>0</v>
      </c>
      <c r="X401" s="12">
        <f t="shared" si="97"/>
        <v>0</v>
      </c>
      <c r="Y401" s="12">
        <f t="shared" si="98"/>
        <v>0</v>
      </c>
      <c r="Z401" s="11"/>
      <c r="AA401" s="13">
        <f t="shared" si="99"/>
        <v>0</v>
      </c>
      <c r="AB401" s="12">
        <f t="shared" si="100"/>
        <v>0</v>
      </c>
      <c r="AC401" s="14">
        <f t="shared" si="103"/>
        <v>0</v>
      </c>
      <c r="AE401" s="19">
        <f t="shared" si="101"/>
        <v>0</v>
      </c>
      <c r="AF401" s="19"/>
      <c r="AG401" s="17"/>
      <c r="AK401" s="7"/>
      <c r="AL401" s="108">
        <f t="shared" si="104"/>
        <v>0</v>
      </c>
      <c r="AM401" s="108">
        <f t="shared" si="105"/>
        <v>0</v>
      </c>
      <c r="AN401" s="113"/>
    </row>
    <row r="402" spans="2:40" x14ac:dyDescent="0.2">
      <c r="B402" s="7"/>
      <c r="C402" s="8"/>
      <c r="D402" s="8"/>
      <c r="E402" s="9"/>
      <c r="F402" s="6"/>
      <c r="G402" s="8"/>
      <c r="H402" s="32"/>
      <c r="I402" s="10" t="str">
        <f t="shared" si="102"/>
        <v>21</v>
      </c>
      <c r="J402" s="11">
        <v>1</v>
      </c>
      <c r="K402" s="11"/>
      <c r="L402" s="11"/>
      <c r="M402" s="11">
        <f t="shared" si="91"/>
        <v>0</v>
      </c>
      <c r="N402" s="11"/>
      <c r="O402" s="11">
        <f t="shared" si="92"/>
        <v>0</v>
      </c>
      <c r="P402" s="11"/>
      <c r="Q402" s="11"/>
      <c r="R402" s="11"/>
      <c r="S402" s="11">
        <f t="shared" si="93"/>
        <v>0</v>
      </c>
      <c r="T402" s="11">
        <f t="shared" si="94"/>
        <v>1666.6666666666667</v>
      </c>
      <c r="U402" s="11">
        <f t="shared" si="95"/>
        <v>0</v>
      </c>
      <c r="V402" s="24">
        <f t="shared" si="96"/>
        <v>0</v>
      </c>
      <c r="W402" s="11">
        <f>IF(V402&lt;=40000,0,
IF(V402&lt;=55000,(V402-40000)*10%,
IF(V402&lt;=70000,(V402-55000)*15%+1500,
IF(V402&lt;=200000,(V402-70000)*20%+1500+2250,
IF(V402&lt;=400000,(V402-200000)*22.5%+1500+2250+26000,
IF(V402&lt;=600000,(V402-400000)*25%+1500+2250+26000+45000,
IF(AND(V402&gt;600000,V402&lt;=1200000),(V402-400000)*25%+1500+2250+26000+45000
+IFERROR(LOOKUP(V402,{600001;700001;800001;900001},{4000;6750;10250;15250}),0),IF(V402&gt;1200000,((V402-1200000)*27.5%)+300000,0)
)))))))</f>
        <v>0</v>
      </c>
      <c r="X402" s="12">
        <f t="shared" si="97"/>
        <v>0</v>
      </c>
      <c r="Y402" s="12">
        <f t="shared" si="98"/>
        <v>0</v>
      </c>
      <c r="Z402" s="11"/>
      <c r="AA402" s="13">
        <f t="shared" si="99"/>
        <v>0</v>
      </c>
      <c r="AB402" s="12">
        <f t="shared" si="100"/>
        <v>0</v>
      </c>
      <c r="AC402" s="14">
        <f t="shared" si="103"/>
        <v>0</v>
      </c>
      <c r="AE402" s="19">
        <f t="shared" si="101"/>
        <v>0</v>
      </c>
      <c r="AF402" s="19"/>
      <c r="AG402" s="17"/>
      <c r="AK402" s="7"/>
      <c r="AL402" s="108">
        <f t="shared" si="104"/>
        <v>0</v>
      </c>
      <c r="AM402" s="108">
        <f t="shared" si="105"/>
        <v>0</v>
      </c>
      <c r="AN402" s="113"/>
    </row>
    <row r="403" spans="2:40" x14ac:dyDescent="0.2">
      <c r="B403" s="7"/>
      <c r="C403" s="8"/>
      <c r="D403" s="8"/>
      <c r="E403" s="9"/>
      <c r="F403" s="6"/>
      <c r="G403" s="8"/>
      <c r="H403" s="32"/>
      <c r="I403" s="10" t="str">
        <f t="shared" si="102"/>
        <v>21</v>
      </c>
      <c r="J403" s="11">
        <v>1</v>
      </c>
      <c r="K403" s="11"/>
      <c r="L403" s="11"/>
      <c r="M403" s="11">
        <f t="shared" si="91"/>
        <v>0</v>
      </c>
      <c r="N403" s="11"/>
      <c r="O403" s="11">
        <f t="shared" si="92"/>
        <v>0</v>
      </c>
      <c r="P403" s="11"/>
      <c r="Q403" s="11"/>
      <c r="R403" s="11"/>
      <c r="S403" s="11">
        <f t="shared" si="93"/>
        <v>0</v>
      </c>
      <c r="T403" s="11">
        <f t="shared" si="94"/>
        <v>1666.6666666666667</v>
      </c>
      <c r="U403" s="11">
        <f t="shared" si="95"/>
        <v>0</v>
      </c>
      <c r="V403" s="24">
        <f t="shared" si="96"/>
        <v>0</v>
      </c>
      <c r="W403" s="11">
        <f>IF(V403&lt;=40000,0,
IF(V403&lt;=55000,(V403-40000)*10%,
IF(V403&lt;=70000,(V403-55000)*15%+1500,
IF(V403&lt;=200000,(V403-70000)*20%+1500+2250,
IF(V403&lt;=400000,(V403-200000)*22.5%+1500+2250+26000,
IF(V403&lt;=600000,(V403-400000)*25%+1500+2250+26000+45000,
IF(AND(V403&gt;600000,V403&lt;=1200000),(V403-400000)*25%+1500+2250+26000+45000
+IFERROR(LOOKUP(V403,{600001;700001;800001;900001},{4000;6750;10250;15250}),0),IF(V403&gt;1200000,((V403-1200000)*27.5%)+300000,0)
)))))))</f>
        <v>0</v>
      </c>
      <c r="X403" s="12">
        <f t="shared" si="97"/>
        <v>0</v>
      </c>
      <c r="Y403" s="12">
        <f t="shared" si="98"/>
        <v>0</v>
      </c>
      <c r="Z403" s="11"/>
      <c r="AA403" s="13">
        <f t="shared" si="99"/>
        <v>0</v>
      </c>
      <c r="AB403" s="12">
        <f t="shared" si="100"/>
        <v>0</v>
      </c>
      <c r="AC403" s="14">
        <f t="shared" si="103"/>
        <v>0</v>
      </c>
      <c r="AE403" s="19">
        <f t="shared" si="101"/>
        <v>0</v>
      </c>
      <c r="AF403" s="19"/>
      <c r="AG403" s="17"/>
      <c r="AK403" s="7"/>
      <c r="AL403" s="108">
        <f t="shared" si="104"/>
        <v>0</v>
      </c>
      <c r="AM403" s="108">
        <f t="shared" si="105"/>
        <v>0</v>
      </c>
      <c r="AN403" s="113"/>
    </row>
    <row r="404" spans="2:40" x14ac:dyDescent="0.2">
      <c r="B404" s="7"/>
      <c r="C404" s="8"/>
      <c r="D404" s="8"/>
      <c r="E404" s="9"/>
      <c r="F404" s="6"/>
      <c r="G404" s="8"/>
      <c r="H404" s="32"/>
      <c r="I404" s="10" t="str">
        <f t="shared" si="102"/>
        <v>21</v>
      </c>
      <c r="J404" s="11">
        <v>1</v>
      </c>
      <c r="K404" s="11"/>
      <c r="L404" s="11"/>
      <c r="M404" s="11">
        <f t="shared" si="91"/>
        <v>0</v>
      </c>
      <c r="N404" s="11"/>
      <c r="O404" s="11">
        <f t="shared" si="92"/>
        <v>0</v>
      </c>
      <c r="P404" s="11"/>
      <c r="Q404" s="11"/>
      <c r="R404" s="11"/>
      <c r="S404" s="11">
        <f t="shared" si="93"/>
        <v>0</v>
      </c>
      <c r="T404" s="11">
        <f t="shared" si="94"/>
        <v>1666.6666666666667</v>
      </c>
      <c r="U404" s="11">
        <f t="shared" si="95"/>
        <v>0</v>
      </c>
      <c r="V404" s="24">
        <f t="shared" si="96"/>
        <v>0</v>
      </c>
      <c r="W404" s="11">
        <f>IF(V404&lt;=40000,0,
IF(V404&lt;=55000,(V404-40000)*10%,
IF(V404&lt;=70000,(V404-55000)*15%+1500,
IF(V404&lt;=200000,(V404-70000)*20%+1500+2250,
IF(V404&lt;=400000,(V404-200000)*22.5%+1500+2250+26000,
IF(V404&lt;=600000,(V404-400000)*25%+1500+2250+26000+45000,
IF(AND(V404&gt;600000,V404&lt;=1200000),(V404-400000)*25%+1500+2250+26000+45000
+IFERROR(LOOKUP(V404,{600001;700001;800001;900001},{4000;6750;10250;15250}),0),IF(V404&gt;1200000,((V404-1200000)*27.5%)+300000,0)
)))))))</f>
        <v>0</v>
      </c>
      <c r="X404" s="12">
        <f t="shared" si="97"/>
        <v>0</v>
      </c>
      <c r="Y404" s="12">
        <f t="shared" si="98"/>
        <v>0</v>
      </c>
      <c r="Z404" s="11"/>
      <c r="AA404" s="13">
        <f t="shared" si="99"/>
        <v>0</v>
      </c>
      <c r="AB404" s="12">
        <f t="shared" si="100"/>
        <v>0</v>
      </c>
      <c r="AC404" s="14">
        <f t="shared" si="103"/>
        <v>0</v>
      </c>
      <c r="AE404" s="19">
        <f t="shared" si="101"/>
        <v>0</v>
      </c>
      <c r="AF404" s="19"/>
      <c r="AG404" s="17"/>
      <c r="AK404" s="7"/>
      <c r="AL404" s="108">
        <f t="shared" si="104"/>
        <v>0</v>
      </c>
      <c r="AM404" s="108">
        <f t="shared" si="105"/>
        <v>0</v>
      </c>
      <c r="AN404" s="113"/>
    </row>
    <row r="405" spans="2:40" x14ac:dyDescent="0.2">
      <c r="B405" s="7"/>
      <c r="C405" s="8"/>
      <c r="D405" s="8"/>
      <c r="E405" s="9"/>
      <c r="F405" s="6"/>
      <c r="G405" s="8"/>
      <c r="H405" s="32"/>
      <c r="I405" s="10" t="str">
        <f t="shared" si="102"/>
        <v>21</v>
      </c>
      <c r="J405" s="11">
        <v>1</v>
      </c>
      <c r="K405" s="11"/>
      <c r="L405" s="11"/>
      <c r="M405" s="11">
        <f t="shared" si="91"/>
        <v>0</v>
      </c>
      <c r="N405" s="11"/>
      <c r="O405" s="11">
        <f t="shared" si="92"/>
        <v>0</v>
      </c>
      <c r="P405" s="11"/>
      <c r="Q405" s="11"/>
      <c r="R405" s="11"/>
      <c r="S405" s="11">
        <f t="shared" si="93"/>
        <v>0</v>
      </c>
      <c r="T405" s="11">
        <f t="shared" si="94"/>
        <v>1666.6666666666667</v>
      </c>
      <c r="U405" s="11">
        <f t="shared" si="95"/>
        <v>0</v>
      </c>
      <c r="V405" s="24">
        <f t="shared" si="96"/>
        <v>0</v>
      </c>
      <c r="W405" s="11">
        <f>IF(V405&lt;=40000,0,
IF(V405&lt;=55000,(V405-40000)*10%,
IF(V405&lt;=70000,(V405-55000)*15%+1500,
IF(V405&lt;=200000,(V405-70000)*20%+1500+2250,
IF(V405&lt;=400000,(V405-200000)*22.5%+1500+2250+26000,
IF(V405&lt;=600000,(V405-400000)*25%+1500+2250+26000+45000,
IF(AND(V405&gt;600000,V405&lt;=1200000),(V405-400000)*25%+1500+2250+26000+45000
+IFERROR(LOOKUP(V405,{600001;700001;800001;900001},{4000;6750;10250;15250}),0),IF(V405&gt;1200000,((V405-1200000)*27.5%)+300000,0)
)))))))</f>
        <v>0</v>
      </c>
      <c r="X405" s="12">
        <f t="shared" si="97"/>
        <v>0</v>
      </c>
      <c r="Y405" s="12">
        <f t="shared" si="98"/>
        <v>0</v>
      </c>
      <c r="Z405" s="11"/>
      <c r="AA405" s="13">
        <f t="shared" si="99"/>
        <v>0</v>
      </c>
      <c r="AB405" s="12">
        <f t="shared" si="100"/>
        <v>0</v>
      </c>
      <c r="AC405" s="14">
        <f t="shared" si="103"/>
        <v>0</v>
      </c>
      <c r="AE405" s="19">
        <f t="shared" si="101"/>
        <v>0</v>
      </c>
      <c r="AF405" s="19"/>
      <c r="AG405" s="17"/>
      <c r="AK405" s="7"/>
      <c r="AL405" s="108">
        <f t="shared" si="104"/>
        <v>0</v>
      </c>
      <c r="AM405" s="108">
        <f t="shared" si="105"/>
        <v>0</v>
      </c>
      <c r="AN405" s="113"/>
    </row>
    <row r="406" spans="2:40" x14ac:dyDescent="0.2">
      <c r="B406" s="7"/>
      <c r="C406" s="8"/>
      <c r="D406" s="8"/>
      <c r="E406" s="9"/>
      <c r="F406" s="6"/>
      <c r="G406" s="8"/>
      <c r="H406" s="32"/>
      <c r="I406" s="10" t="str">
        <f t="shared" si="102"/>
        <v>21</v>
      </c>
      <c r="J406" s="11">
        <v>1</v>
      </c>
      <c r="K406" s="11"/>
      <c r="L406" s="11"/>
      <c r="M406" s="11">
        <f t="shared" si="91"/>
        <v>0</v>
      </c>
      <c r="N406" s="11"/>
      <c r="O406" s="11">
        <f t="shared" si="92"/>
        <v>0</v>
      </c>
      <c r="P406" s="11"/>
      <c r="Q406" s="11"/>
      <c r="R406" s="11"/>
      <c r="S406" s="11">
        <f t="shared" si="93"/>
        <v>0</v>
      </c>
      <c r="T406" s="11">
        <f t="shared" si="94"/>
        <v>1666.6666666666667</v>
      </c>
      <c r="U406" s="11">
        <f t="shared" si="95"/>
        <v>0</v>
      </c>
      <c r="V406" s="24">
        <f t="shared" si="96"/>
        <v>0</v>
      </c>
      <c r="W406" s="11">
        <f>IF(V406&lt;=40000,0,
IF(V406&lt;=55000,(V406-40000)*10%,
IF(V406&lt;=70000,(V406-55000)*15%+1500,
IF(V406&lt;=200000,(V406-70000)*20%+1500+2250,
IF(V406&lt;=400000,(V406-200000)*22.5%+1500+2250+26000,
IF(V406&lt;=600000,(V406-400000)*25%+1500+2250+26000+45000,
IF(AND(V406&gt;600000,V406&lt;=1200000),(V406-400000)*25%+1500+2250+26000+45000
+IFERROR(LOOKUP(V406,{600001;700001;800001;900001},{4000;6750;10250;15250}),0),IF(V406&gt;1200000,((V406-1200000)*27.5%)+300000,0)
)))))))</f>
        <v>0</v>
      </c>
      <c r="X406" s="12">
        <f t="shared" si="97"/>
        <v>0</v>
      </c>
      <c r="Y406" s="12">
        <f t="shared" si="98"/>
        <v>0</v>
      </c>
      <c r="Z406" s="11"/>
      <c r="AA406" s="13">
        <f t="shared" si="99"/>
        <v>0</v>
      </c>
      <c r="AB406" s="12">
        <f t="shared" si="100"/>
        <v>0</v>
      </c>
      <c r="AC406" s="14">
        <f t="shared" si="103"/>
        <v>0</v>
      </c>
      <c r="AE406" s="19">
        <f t="shared" si="101"/>
        <v>0</v>
      </c>
      <c r="AF406" s="19"/>
      <c r="AG406" s="17"/>
      <c r="AK406" s="7"/>
      <c r="AL406" s="108">
        <f t="shared" si="104"/>
        <v>0</v>
      </c>
      <c r="AM406" s="108">
        <f t="shared" si="105"/>
        <v>0</v>
      </c>
      <c r="AN406" s="113"/>
    </row>
    <row r="407" spans="2:40" x14ac:dyDescent="0.2">
      <c r="B407" s="7"/>
      <c r="C407" s="8"/>
      <c r="D407" s="8"/>
      <c r="E407" s="9"/>
      <c r="F407" s="6"/>
      <c r="G407" s="8"/>
      <c r="H407" s="32"/>
      <c r="I407" s="10" t="str">
        <f t="shared" si="102"/>
        <v>21</v>
      </c>
      <c r="J407" s="11">
        <v>1</v>
      </c>
      <c r="K407" s="11"/>
      <c r="L407" s="11"/>
      <c r="M407" s="11">
        <f t="shared" si="91"/>
        <v>0</v>
      </c>
      <c r="N407" s="11"/>
      <c r="O407" s="11">
        <f t="shared" si="92"/>
        <v>0</v>
      </c>
      <c r="P407" s="11"/>
      <c r="Q407" s="11"/>
      <c r="R407" s="11"/>
      <c r="S407" s="11">
        <f t="shared" si="93"/>
        <v>0</v>
      </c>
      <c r="T407" s="11">
        <f t="shared" si="94"/>
        <v>1666.6666666666667</v>
      </c>
      <c r="U407" s="11">
        <f t="shared" si="95"/>
        <v>0</v>
      </c>
      <c r="V407" s="24">
        <f t="shared" si="96"/>
        <v>0</v>
      </c>
      <c r="W407" s="11">
        <f>IF(V407&lt;=40000,0,
IF(V407&lt;=55000,(V407-40000)*10%,
IF(V407&lt;=70000,(V407-55000)*15%+1500,
IF(V407&lt;=200000,(V407-70000)*20%+1500+2250,
IF(V407&lt;=400000,(V407-200000)*22.5%+1500+2250+26000,
IF(V407&lt;=600000,(V407-400000)*25%+1500+2250+26000+45000,
IF(AND(V407&gt;600000,V407&lt;=1200000),(V407-400000)*25%+1500+2250+26000+45000
+IFERROR(LOOKUP(V407,{600001;700001;800001;900001},{4000;6750;10250;15250}),0),IF(V407&gt;1200000,((V407-1200000)*27.5%)+300000,0)
)))))))</f>
        <v>0</v>
      </c>
      <c r="X407" s="12">
        <f t="shared" si="97"/>
        <v>0</v>
      </c>
      <c r="Y407" s="12">
        <f t="shared" si="98"/>
        <v>0</v>
      </c>
      <c r="Z407" s="11"/>
      <c r="AA407" s="13">
        <f t="shared" si="99"/>
        <v>0</v>
      </c>
      <c r="AB407" s="12">
        <f t="shared" si="100"/>
        <v>0</v>
      </c>
      <c r="AC407" s="14">
        <f t="shared" si="103"/>
        <v>0</v>
      </c>
      <c r="AE407" s="19">
        <f t="shared" si="101"/>
        <v>0</v>
      </c>
      <c r="AF407" s="19"/>
      <c r="AG407" s="17"/>
      <c r="AK407" s="7"/>
      <c r="AL407" s="108">
        <f t="shared" si="104"/>
        <v>0</v>
      </c>
      <c r="AM407" s="108">
        <f t="shared" si="105"/>
        <v>0</v>
      </c>
      <c r="AN407" s="113"/>
    </row>
    <row r="408" spans="2:40" x14ac:dyDescent="0.2">
      <c r="B408" s="7"/>
      <c r="C408" s="8"/>
      <c r="D408" s="8"/>
      <c r="E408" s="9"/>
      <c r="F408" s="6"/>
      <c r="G408" s="8"/>
      <c r="H408" s="32"/>
      <c r="I408" s="10" t="str">
        <f t="shared" si="102"/>
        <v>21</v>
      </c>
      <c r="J408" s="11">
        <v>1</v>
      </c>
      <c r="K408" s="11"/>
      <c r="L408" s="11"/>
      <c r="M408" s="11">
        <f t="shared" si="91"/>
        <v>0</v>
      </c>
      <c r="N408" s="11"/>
      <c r="O408" s="11">
        <f t="shared" si="92"/>
        <v>0</v>
      </c>
      <c r="P408" s="11"/>
      <c r="Q408" s="11"/>
      <c r="R408" s="11"/>
      <c r="S408" s="11">
        <f t="shared" si="93"/>
        <v>0</v>
      </c>
      <c r="T408" s="11">
        <f t="shared" si="94"/>
        <v>1666.6666666666667</v>
      </c>
      <c r="U408" s="11">
        <f t="shared" si="95"/>
        <v>0</v>
      </c>
      <c r="V408" s="24">
        <f t="shared" si="96"/>
        <v>0</v>
      </c>
      <c r="W408" s="11">
        <f>IF(V408&lt;=40000,0,
IF(V408&lt;=55000,(V408-40000)*10%,
IF(V408&lt;=70000,(V408-55000)*15%+1500,
IF(V408&lt;=200000,(V408-70000)*20%+1500+2250,
IF(V408&lt;=400000,(V408-200000)*22.5%+1500+2250+26000,
IF(V408&lt;=600000,(V408-400000)*25%+1500+2250+26000+45000,
IF(AND(V408&gt;600000,V408&lt;=1200000),(V408-400000)*25%+1500+2250+26000+45000
+IFERROR(LOOKUP(V408,{600001;700001;800001;900001},{4000;6750;10250;15250}),0),IF(V408&gt;1200000,((V408-1200000)*27.5%)+300000,0)
)))))))</f>
        <v>0</v>
      </c>
      <c r="X408" s="12">
        <f t="shared" si="97"/>
        <v>0</v>
      </c>
      <c r="Y408" s="12">
        <f t="shared" si="98"/>
        <v>0</v>
      </c>
      <c r="Z408" s="11"/>
      <c r="AA408" s="13">
        <f t="shared" si="99"/>
        <v>0</v>
      </c>
      <c r="AB408" s="12">
        <f t="shared" si="100"/>
        <v>0</v>
      </c>
      <c r="AC408" s="14">
        <f t="shared" si="103"/>
        <v>0</v>
      </c>
      <c r="AE408" s="19">
        <f t="shared" si="101"/>
        <v>0</v>
      </c>
      <c r="AF408" s="19"/>
      <c r="AG408" s="17"/>
      <c r="AK408" s="7"/>
      <c r="AL408" s="108">
        <f t="shared" si="104"/>
        <v>0</v>
      </c>
      <c r="AM408" s="108">
        <f t="shared" si="105"/>
        <v>0</v>
      </c>
      <c r="AN408" s="113"/>
    </row>
    <row r="409" spans="2:40" x14ac:dyDescent="0.2">
      <c r="B409" s="7"/>
      <c r="C409" s="8"/>
      <c r="D409" s="8"/>
      <c r="E409" s="9"/>
      <c r="F409" s="6"/>
      <c r="G409" s="8"/>
      <c r="H409" s="32"/>
      <c r="I409" s="10" t="str">
        <f t="shared" si="102"/>
        <v>21</v>
      </c>
      <c r="J409" s="11">
        <v>1</v>
      </c>
      <c r="K409" s="11"/>
      <c r="L409" s="11"/>
      <c r="M409" s="11">
        <f t="shared" si="91"/>
        <v>0</v>
      </c>
      <c r="N409" s="11"/>
      <c r="O409" s="11">
        <f t="shared" si="92"/>
        <v>0</v>
      </c>
      <c r="P409" s="11"/>
      <c r="Q409" s="11"/>
      <c r="R409" s="11"/>
      <c r="S409" s="11">
        <f t="shared" si="93"/>
        <v>0</v>
      </c>
      <c r="T409" s="11">
        <f t="shared" si="94"/>
        <v>1666.6666666666667</v>
      </c>
      <c r="U409" s="11">
        <f t="shared" si="95"/>
        <v>0</v>
      </c>
      <c r="V409" s="24">
        <f t="shared" si="96"/>
        <v>0</v>
      </c>
      <c r="W409" s="11">
        <f>IF(V409&lt;=40000,0,
IF(V409&lt;=55000,(V409-40000)*10%,
IF(V409&lt;=70000,(V409-55000)*15%+1500,
IF(V409&lt;=200000,(V409-70000)*20%+1500+2250,
IF(V409&lt;=400000,(V409-200000)*22.5%+1500+2250+26000,
IF(V409&lt;=600000,(V409-400000)*25%+1500+2250+26000+45000,
IF(AND(V409&gt;600000,V409&lt;=1200000),(V409-400000)*25%+1500+2250+26000+45000
+IFERROR(LOOKUP(V409,{600001;700001;800001;900001},{4000;6750;10250;15250}),0),IF(V409&gt;1200000,((V409-1200000)*27.5%)+300000,0)
)))))))</f>
        <v>0</v>
      </c>
      <c r="X409" s="12">
        <f t="shared" si="97"/>
        <v>0</v>
      </c>
      <c r="Y409" s="12">
        <f t="shared" si="98"/>
        <v>0</v>
      </c>
      <c r="Z409" s="11"/>
      <c r="AA409" s="13">
        <f t="shared" si="99"/>
        <v>0</v>
      </c>
      <c r="AB409" s="12">
        <f t="shared" si="100"/>
        <v>0</v>
      </c>
      <c r="AC409" s="14">
        <f t="shared" si="103"/>
        <v>0</v>
      </c>
      <c r="AE409" s="19">
        <f t="shared" si="101"/>
        <v>0</v>
      </c>
      <c r="AF409" s="19"/>
      <c r="AG409" s="17"/>
      <c r="AK409" s="7"/>
      <c r="AL409" s="108">
        <f t="shared" si="104"/>
        <v>0</v>
      </c>
      <c r="AM409" s="108">
        <f t="shared" si="105"/>
        <v>0</v>
      </c>
      <c r="AN409" s="113"/>
    </row>
    <row r="410" spans="2:40" x14ac:dyDescent="0.2">
      <c r="B410" s="7"/>
      <c r="C410" s="8"/>
      <c r="D410" s="8"/>
      <c r="E410" s="9"/>
      <c r="F410" s="6"/>
      <c r="G410" s="8"/>
      <c r="H410" s="32"/>
      <c r="I410" s="10" t="str">
        <f t="shared" si="102"/>
        <v>21</v>
      </c>
      <c r="J410" s="11">
        <v>1</v>
      </c>
      <c r="K410" s="11"/>
      <c r="L410" s="11"/>
      <c r="M410" s="11">
        <f t="shared" si="91"/>
        <v>0</v>
      </c>
      <c r="N410" s="11"/>
      <c r="O410" s="11">
        <f t="shared" si="92"/>
        <v>0</v>
      </c>
      <c r="P410" s="11"/>
      <c r="Q410" s="11"/>
      <c r="R410" s="11"/>
      <c r="S410" s="11">
        <f t="shared" si="93"/>
        <v>0</v>
      </c>
      <c r="T410" s="11">
        <f t="shared" si="94"/>
        <v>1666.6666666666667</v>
      </c>
      <c r="U410" s="11">
        <f t="shared" si="95"/>
        <v>0</v>
      </c>
      <c r="V410" s="24">
        <f t="shared" si="96"/>
        <v>0</v>
      </c>
      <c r="W410" s="11">
        <f>IF(V410&lt;=40000,0,
IF(V410&lt;=55000,(V410-40000)*10%,
IF(V410&lt;=70000,(V410-55000)*15%+1500,
IF(V410&lt;=200000,(V410-70000)*20%+1500+2250,
IF(V410&lt;=400000,(V410-200000)*22.5%+1500+2250+26000,
IF(V410&lt;=600000,(V410-400000)*25%+1500+2250+26000+45000,
IF(AND(V410&gt;600000,V410&lt;=1200000),(V410-400000)*25%+1500+2250+26000+45000
+IFERROR(LOOKUP(V410,{600001;700001;800001;900001},{4000;6750;10250;15250}),0),IF(V410&gt;1200000,((V410-1200000)*27.5%)+300000,0)
)))))))</f>
        <v>0</v>
      </c>
      <c r="X410" s="12">
        <f t="shared" si="97"/>
        <v>0</v>
      </c>
      <c r="Y410" s="12">
        <f t="shared" si="98"/>
        <v>0</v>
      </c>
      <c r="Z410" s="11"/>
      <c r="AA410" s="13">
        <f t="shared" si="99"/>
        <v>0</v>
      </c>
      <c r="AB410" s="12">
        <f t="shared" si="100"/>
        <v>0</v>
      </c>
      <c r="AC410" s="14">
        <f t="shared" si="103"/>
        <v>0</v>
      </c>
      <c r="AE410" s="19">
        <f t="shared" si="101"/>
        <v>0</v>
      </c>
      <c r="AF410" s="19"/>
      <c r="AG410" s="17"/>
      <c r="AK410" s="7"/>
      <c r="AL410" s="108">
        <f t="shared" si="104"/>
        <v>0</v>
      </c>
      <c r="AM410" s="108">
        <f t="shared" si="105"/>
        <v>0</v>
      </c>
      <c r="AN410" s="113"/>
    </row>
    <row r="411" spans="2:40" x14ac:dyDescent="0.2">
      <c r="B411" s="7"/>
      <c r="C411" s="8"/>
      <c r="D411" s="8"/>
      <c r="E411" s="9"/>
      <c r="F411" s="6"/>
      <c r="G411" s="8"/>
      <c r="H411" s="32"/>
      <c r="I411" s="10" t="str">
        <f t="shared" si="102"/>
        <v>21</v>
      </c>
      <c r="J411" s="11">
        <v>1</v>
      </c>
      <c r="K411" s="11"/>
      <c r="L411" s="11"/>
      <c r="M411" s="11">
        <f t="shared" si="91"/>
        <v>0</v>
      </c>
      <c r="N411" s="11"/>
      <c r="O411" s="11">
        <f t="shared" si="92"/>
        <v>0</v>
      </c>
      <c r="P411" s="11"/>
      <c r="Q411" s="11"/>
      <c r="R411" s="11"/>
      <c r="S411" s="11">
        <f t="shared" si="93"/>
        <v>0</v>
      </c>
      <c r="T411" s="11">
        <f t="shared" si="94"/>
        <v>1666.6666666666667</v>
      </c>
      <c r="U411" s="11">
        <f t="shared" si="95"/>
        <v>0</v>
      </c>
      <c r="V411" s="24">
        <f t="shared" si="96"/>
        <v>0</v>
      </c>
      <c r="W411" s="11">
        <f>IF(V411&lt;=40000,0,
IF(V411&lt;=55000,(V411-40000)*10%,
IF(V411&lt;=70000,(V411-55000)*15%+1500,
IF(V411&lt;=200000,(V411-70000)*20%+1500+2250,
IF(V411&lt;=400000,(V411-200000)*22.5%+1500+2250+26000,
IF(V411&lt;=600000,(V411-400000)*25%+1500+2250+26000+45000,
IF(AND(V411&gt;600000,V411&lt;=1200000),(V411-400000)*25%+1500+2250+26000+45000
+IFERROR(LOOKUP(V411,{600001;700001;800001;900001},{4000;6750;10250;15250}),0),IF(V411&gt;1200000,((V411-1200000)*27.5%)+300000,0)
)))))))</f>
        <v>0</v>
      </c>
      <c r="X411" s="12">
        <f t="shared" si="97"/>
        <v>0</v>
      </c>
      <c r="Y411" s="12">
        <f t="shared" si="98"/>
        <v>0</v>
      </c>
      <c r="Z411" s="11"/>
      <c r="AA411" s="13">
        <f t="shared" si="99"/>
        <v>0</v>
      </c>
      <c r="AB411" s="12">
        <f t="shared" si="100"/>
        <v>0</v>
      </c>
      <c r="AC411" s="14">
        <f t="shared" si="103"/>
        <v>0</v>
      </c>
      <c r="AE411" s="19">
        <f t="shared" si="101"/>
        <v>0</v>
      </c>
      <c r="AF411" s="19"/>
      <c r="AG411" s="17"/>
      <c r="AK411" s="7"/>
      <c r="AL411" s="108">
        <f t="shared" si="104"/>
        <v>0</v>
      </c>
      <c r="AM411" s="108">
        <f t="shared" si="105"/>
        <v>0</v>
      </c>
      <c r="AN411" s="113"/>
    </row>
    <row r="412" spans="2:40" x14ac:dyDescent="0.2">
      <c r="B412" s="7"/>
      <c r="C412" s="8"/>
      <c r="D412" s="8"/>
      <c r="E412" s="9"/>
      <c r="F412" s="6"/>
      <c r="G412" s="8"/>
      <c r="H412" s="32"/>
      <c r="I412" s="10" t="str">
        <f t="shared" si="102"/>
        <v>21</v>
      </c>
      <c r="J412" s="11">
        <v>1</v>
      </c>
      <c r="K412" s="11"/>
      <c r="L412" s="11"/>
      <c r="M412" s="11">
        <f t="shared" si="91"/>
        <v>0</v>
      </c>
      <c r="N412" s="11"/>
      <c r="O412" s="11">
        <f t="shared" si="92"/>
        <v>0</v>
      </c>
      <c r="P412" s="11"/>
      <c r="Q412" s="11"/>
      <c r="R412" s="11"/>
      <c r="S412" s="11">
        <f t="shared" si="93"/>
        <v>0</v>
      </c>
      <c r="T412" s="11">
        <f t="shared" si="94"/>
        <v>1666.6666666666667</v>
      </c>
      <c r="U412" s="11">
        <f t="shared" si="95"/>
        <v>0</v>
      </c>
      <c r="V412" s="24">
        <f t="shared" si="96"/>
        <v>0</v>
      </c>
      <c r="W412" s="11">
        <f>IF(V412&lt;=40000,0,
IF(V412&lt;=55000,(V412-40000)*10%,
IF(V412&lt;=70000,(V412-55000)*15%+1500,
IF(V412&lt;=200000,(V412-70000)*20%+1500+2250,
IF(V412&lt;=400000,(V412-200000)*22.5%+1500+2250+26000,
IF(V412&lt;=600000,(V412-400000)*25%+1500+2250+26000+45000,
IF(AND(V412&gt;600000,V412&lt;=1200000),(V412-400000)*25%+1500+2250+26000+45000
+IFERROR(LOOKUP(V412,{600001;700001;800001;900001},{4000;6750;10250;15250}),0),IF(V412&gt;1200000,((V412-1200000)*27.5%)+300000,0)
)))))))</f>
        <v>0</v>
      </c>
      <c r="X412" s="12">
        <f t="shared" si="97"/>
        <v>0</v>
      </c>
      <c r="Y412" s="12">
        <f t="shared" si="98"/>
        <v>0</v>
      </c>
      <c r="Z412" s="11"/>
      <c r="AA412" s="13">
        <f t="shared" si="99"/>
        <v>0</v>
      </c>
      <c r="AB412" s="12">
        <f t="shared" si="100"/>
        <v>0</v>
      </c>
      <c r="AC412" s="14">
        <f t="shared" si="103"/>
        <v>0</v>
      </c>
      <c r="AE412" s="19">
        <f t="shared" si="101"/>
        <v>0</v>
      </c>
      <c r="AF412" s="19"/>
      <c r="AG412" s="17"/>
      <c r="AK412" s="7"/>
      <c r="AL412" s="108">
        <f t="shared" si="104"/>
        <v>0</v>
      </c>
      <c r="AM412" s="108">
        <f t="shared" si="105"/>
        <v>0</v>
      </c>
      <c r="AN412" s="113"/>
    </row>
    <row r="413" spans="2:40" x14ac:dyDescent="0.2">
      <c r="B413" s="7"/>
      <c r="C413" s="8"/>
      <c r="D413" s="8"/>
      <c r="E413" s="9"/>
      <c r="F413" s="6"/>
      <c r="G413" s="8"/>
      <c r="H413" s="32"/>
      <c r="I413" s="10" t="str">
        <f t="shared" si="102"/>
        <v>21</v>
      </c>
      <c r="J413" s="11">
        <v>1</v>
      </c>
      <c r="K413" s="11"/>
      <c r="L413" s="11"/>
      <c r="M413" s="11">
        <f t="shared" ref="M413:M476" si="106">SUM(K413:L413)</f>
        <v>0</v>
      </c>
      <c r="N413" s="11"/>
      <c r="O413" s="11">
        <f t="shared" ref="O413:O476" si="107">+N413+M413</f>
        <v>0</v>
      </c>
      <c r="P413" s="11"/>
      <c r="Q413" s="11"/>
      <c r="R413" s="11"/>
      <c r="S413" s="11">
        <f t="shared" ref="S413:S476" si="108">O413-P413-Q413-R413</f>
        <v>0</v>
      </c>
      <c r="T413" s="11">
        <f t="shared" ref="T413:T476" si="109">IF(J413&gt;0,(20000/12*J413),0)</f>
        <v>1666.6666666666667</v>
      </c>
      <c r="U413" s="11">
        <f t="shared" ref="U413:U476" si="110">IF(AND(J413&gt;0,S413-T413&gt;0),S413-T413,0)</f>
        <v>0</v>
      </c>
      <c r="V413" s="24">
        <f t="shared" ref="V413:V476" si="111">IF(J413=0,0,(U413/J413*12))</f>
        <v>0</v>
      </c>
      <c r="W413" s="11">
        <f>IF(V413&lt;=40000,0,
IF(V413&lt;=55000,(V413-40000)*10%,
IF(V413&lt;=70000,(V413-55000)*15%+1500,
IF(V413&lt;=200000,(V413-70000)*20%+1500+2250,
IF(V413&lt;=400000,(V413-200000)*22.5%+1500+2250+26000,
IF(V413&lt;=600000,(V413-400000)*25%+1500+2250+26000+45000,
IF(AND(V413&gt;600000,V413&lt;=1200000),(V413-400000)*25%+1500+2250+26000+45000
+IFERROR(LOOKUP(V413,{600001;700001;800001;900001},{4000;6750;10250;15250}),0),IF(V413&gt;1200000,((V413-1200000)*27.5%)+300000,0)
)))))))</f>
        <v>0</v>
      </c>
      <c r="X413" s="12">
        <f t="shared" ref="X413:X476" si="112">N413*0.1</f>
        <v>0</v>
      </c>
      <c r="Y413" s="12">
        <f t="shared" ref="Y413:Y476" si="113">(W413/12*J413)-X413</f>
        <v>0</v>
      </c>
      <c r="Z413" s="11"/>
      <c r="AA413" s="13">
        <f t="shared" ref="AA413:AA476" si="114">+O413-P413-Y413-Z413</f>
        <v>0</v>
      </c>
      <c r="AB413" s="12">
        <f t="shared" ref="AB413:AB476" si="115">(P413/0.11)*18.75%</f>
        <v>0</v>
      </c>
      <c r="AC413" s="14">
        <f t="shared" si="103"/>
        <v>0</v>
      </c>
      <c r="AE413" s="19">
        <f t="shared" ref="AE413:AE476" si="116">+AD413-AC413</f>
        <v>0</v>
      </c>
      <c r="AF413" s="19"/>
      <c r="AG413" s="17"/>
      <c r="AK413" s="7"/>
      <c r="AL413" s="108">
        <f t="shared" si="104"/>
        <v>0</v>
      </c>
      <c r="AM413" s="108">
        <f t="shared" si="105"/>
        <v>0</v>
      </c>
      <c r="AN413" s="113"/>
    </row>
    <row r="414" spans="2:40" x14ac:dyDescent="0.2">
      <c r="B414" s="7"/>
      <c r="C414" s="8"/>
      <c r="D414" s="8"/>
      <c r="E414" s="9"/>
      <c r="F414" s="6"/>
      <c r="G414" s="8"/>
      <c r="H414" s="32"/>
      <c r="I414" s="10" t="str">
        <f t="shared" si="102"/>
        <v>21</v>
      </c>
      <c r="J414" s="11">
        <v>1</v>
      </c>
      <c r="K414" s="11"/>
      <c r="L414" s="11"/>
      <c r="M414" s="11">
        <f t="shared" si="106"/>
        <v>0</v>
      </c>
      <c r="N414" s="11"/>
      <c r="O414" s="11">
        <f t="shared" si="107"/>
        <v>0</v>
      </c>
      <c r="P414" s="11"/>
      <c r="Q414" s="11"/>
      <c r="R414" s="11"/>
      <c r="S414" s="11">
        <f t="shared" si="108"/>
        <v>0</v>
      </c>
      <c r="T414" s="11">
        <f t="shared" si="109"/>
        <v>1666.6666666666667</v>
      </c>
      <c r="U414" s="11">
        <f t="shared" si="110"/>
        <v>0</v>
      </c>
      <c r="V414" s="24">
        <f t="shared" si="111"/>
        <v>0</v>
      </c>
      <c r="W414" s="11">
        <f>IF(V414&lt;=40000,0,
IF(V414&lt;=55000,(V414-40000)*10%,
IF(V414&lt;=70000,(V414-55000)*15%+1500,
IF(V414&lt;=200000,(V414-70000)*20%+1500+2250,
IF(V414&lt;=400000,(V414-200000)*22.5%+1500+2250+26000,
IF(V414&lt;=600000,(V414-400000)*25%+1500+2250+26000+45000,
IF(AND(V414&gt;600000,V414&lt;=1200000),(V414-400000)*25%+1500+2250+26000+45000
+IFERROR(LOOKUP(V414,{600001;700001;800001;900001},{4000;6750;10250;15250}),0),IF(V414&gt;1200000,((V414-1200000)*27.5%)+300000,0)
)))))))</f>
        <v>0</v>
      </c>
      <c r="X414" s="12">
        <f t="shared" si="112"/>
        <v>0</v>
      </c>
      <c r="Y414" s="12">
        <f t="shared" si="113"/>
        <v>0</v>
      </c>
      <c r="Z414" s="11"/>
      <c r="AA414" s="13">
        <f t="shared" si="114"/>
        <v>0</v>
      </c>
      <c r="AB414" s="12">
        <f t="shared" si="115"/>
        <v>0</v>
      </c>
      <c r="AC414" s="14">
        <f t="shared" si="103"/>
        <v>0</v>
      </c>
      <c r="AE414" s="19">
        <f t="shared" si="116"/>
        <v>0</v>
      </c>
      <c r="AF414" s="19"/>
      <c r="AG414" s="17"/>
      <c r="AK414" s="7"/>
      <c r="AL414" s="108">
        <f t="shared" si="104"/>
        <v>0</v>
      </c>
      <c r="AM414" s="108">
        <f t="shared" si="105"/>
        <v>0</v>
      </c>
      <c r="AN414" s="113"/>
    </row>
    <row r="415" spans="2:40" x14ac:dyDescent="0.2">
      <c r="B415" s="7"/>
      <c r="C415" s="8"/>
      <c r="D415" s="8"/>
      <c r="E415" s="9"/>
      <c r="F415" s="6"/>
      <c r="G415" s="8"/>
      <c r="H415" s="32"/>
      <c r="I415" s="10" t="str">
        <f t="shared" si="102"/>
        <v>21</v>
      </c>
      <c r="J415" s="11">
        <v>1</v>
      </c>
      <c r="K415" s="11"/>
      <c r="L415" s="11"/>
      <c r="M415" s="11">
        <f t="shared" si="106"/>
        <v>0</v>
      </c>
      <c r="N415" s="11"/>
      <c r="O415" s="11">
        <f t="shared" si="107"/>
        <v>0</v>
      </c>
      <c r="P415" s="11"/>
      <c r="Q415" s="11"/>
      <c r="R415" s="11"/>
      <c r="S415" s="11">
        <f t="shared" si="108"/>
        <v>0</v>
      </c>
      <c r="T415" s="11">
        <f t="shared" si="109"/>
        <v>1666.6666666666667</v>
      </c>
      <c r="U415" s="11">
        <f t="shared" si="110"/>
        <v>0</v>
      </c>
      <c r="V415" s="24">
        <f t="shared" si="111"/>
        <v>0</v>
      </c>
      <c r="W415" s="11">
        <f>IF(V415&lt;=40000,0,
IF(V415&lt;=55000,(V415-40000)*10%,
IF(V415&lt;=70000,(V415-55000)*15%+1500,
IF(V415&lt;=200000,(V415-70000)*20%+1500+2250,
IF(V415&lt;=400000,(V415-200000)*22.5%+1500+2250+26000,
IF(V415&lt;=600000,(V415-400000)*25%+1500+2250+26000+45000,
IF(AND(V415&gt;600000,V415&lt;=1200000),(V415-400000)*25%+1500+2250+26000+45000
+IFERROR(LOOKUP(V415,{600001;700001;800001;900001},{4000;6750;10250;15250}),0),IF(V415&gt;1200000,((V415-1200000)*27.5%)+300000,0)
)))))))</f>
        <v>0</v>
      </c>
      <c r="X415" s="12">
        <f t="shared" si="112"/>
        <v>0</v>
      </c>
      <c r="Y415" s="12">
        <f t="shared" si="113"/>
        <v>0</v>
      </c>
      <c r="Z415" s="11"/>
      <c r="AA415" s="13">
        <f t="shared" si="114"/>
        <v>0</v>
      </c>
      <c r="AB415" s="12">
        <f t="shared" si="115"/>
        <v>0</v>
      </c>
      <c r="AC415" s="14">
        <f t="shared" si="103"/>
        <v>0</v>
      </c>
      <c r="AE415" s="19">
        <f t="shared" si="116"/>
        <v>0</v>
      </c>
      <c r="AF415" s="19"/>
      <c r="AG415" s="17"/>
      <c r="AK415" s="7"/>
      <c r="AL415" s="108">
        <f t="shared" si="104"/>
        <v>0</v>
      </c>
      <c r="AM415" s="108">
        <f t="shared" si="105"/>
        <v>0</v>
      </c>
      <c r="AN415" s="113"/>
    </row>
    <row r="416" spans="2:40" x14ac:dyDescent="0.2">
      <c r="B416" s="7"/>
      <c r="C416" s="8"/>
      <c r="D416" s="8"/>
      <c r="E416" s="9"/>
      <c r="F416" s="6"/>
      <c r="G416" s="8"/>
      <c r="H416" s="32"/>
      <c r="I416" s="10" t="str">
        <f t="shared" si="102"/>
        <v>21</v>
      </c>
      <c r="J416" s="11">
        <v>1</v>
      </c>
      <c r="K416" s="11"/>
      <c r="L416" s="11"/>
      <c r="M416" s="11">
        <f t="shared" si="106"/>
        <v>0</v>
      </c>
      <c r="N416" s="11"/>
      <c r="O416" s="11">
        <f t="shared" si="107"/>
        <v>0</v>
      </c>
      <c r="P416" s="11"/>
      <c r="Q416" s="11"/>
      <c r="R416" s="11"/>
      <c r="S416" s="11">
        <f t="shared" si="108"/>
        <v>0</v>
      </c>
      <c r="T416" s="11">
        <f t="shared" si="109"/>
        <v>1666.6666666666667</v>
      </c>
      <c r="U416" s="11">
        <f t="shared" si="110"/>
        <v>0</v>
      </c>
      <c r="V416" s="24">
        <f t="shared" si="111"/>
        <v>0</v>
      </c>
      <c r="W416" s="11">
        <f>IF(V416&lt;=40000,0,
IF(V416&lt;=55000,(V416-40000)*10%,
IF(V416&lt;=70000,(V416-55000)*15%+1500,
IF(V416&lt;=200000,(V416-70000)*20%+1500+2250,
IF(V416&lt;=400000,(V416-200000)*22.5%+1500+2250+26000,
IF(V416&lt;=600000,(V416-400000)*25%+1500+2250+26000+45000,
IF(AND(V416&gt;600000,V416&lt;=1200000),(V416-400000)*25%+1500+2250+26000+45000
+IFERROR(LOOKUP(V416,{600001;700001;800001;900001},{4000;6750;10250;15250}),0),IF(V416&gt;1200000,((V416-1200000)*27.5%)+300000,0)
)))))))</f>
        <v>0</v>
      </c>
      <c r="X416" s="12">
        <f t="shared" si="112"/>
        <v>0</v>
      </c>
      <c r="Y416" s="12">
        <f t="shared" si="113"/>
        <v>0</v>
      </c>
      <c r="Z416" s="11"/>
      <c r="AA416" s="13">
        <f t="shared" si="114"/>
        <v>0</v>
      </c>
      <c r="AB416" s="12">
        <f t="shared" si="115"/>
        <v>0</v>
      </c>
      <c r="AC416" s="14">
        <f t="shared" si="103"/>
        <v>0</v>
      </c>
      <c r="AE416" s="19">
        <f t="shared" si="116"/>
        <v>0</v>
      </c>
      <c r="AF416" s="19"/>
      <c r="AG416" s="17"/>
      <c r="AK416" s="7"/>
      <c r="AL416" s="108">
        <f t="shared" si="104"/>
        <v>0</v>
      </c>
      <c r="AM416" s="108">
        <f t="shared" si="105"/>
        <v>0</v>
      </c>
      <c r="AN416" s="113"/>
    </row>
    <row r="417" spans="2:40" x14ac:dyDescent="0.2">
      <c r="B417" s="7"/>
      <c r="C417" s="8"/>
      <c r="D417" s="8"/>
      <c r="E417" s="9"/>
      <c r="F417" s="6"/>
      <c r="G417" s="8"/>
      <c r="H417" s="32"/>
      <c r="I417" s="10" t="str">
        <f t="shared" si="102"/>
        <v>21</v>
      </c>
      <c r="J417" s="11">
        <v>1</v>
      </c>
      <c r="K417" s="11"/>
      <c r="L417" s="11"/>
      <c r="M417" s="11">
        <f t="shared" si="106"/>
        <v>0</v>
      </c>
      <c r="N417" s="11"/>
      <c r="O417" s="11">
        <f t="shared" si="107"/>
        <v>0</v>
      </c>
      <c r="P417" s="11"/>
      <c r="Q417" s="11"/>
      <c r="R417" s="11"/>
      <c r="S417" s="11">
        <f t="shared" si="108"/>
        <v>0</v>
      </c>
      <c r="T417" s="11">
        <f t="shared" si="109"/>
        <v>1666.6666666666667</v>
      </c>
      <c r="U417" s="11">
        <f t="shared" si="110"/>
        <v>0</v>
      </c>
      <c r="V417" s="24">
        <f t="shared" si="111"/>
        <v>0</v>
      </c>
      <c r="W417" s="11">
        <f>IF(V417&lt;=40000,0,
IF(V417&lt;=55000,(V417-40000)*10%,
IF(V417&lt;=70000,(V417-55000)*15%+1500,
IF(V417&lt;=200000,(V417-70000)*20%+1500+2250,
IF(V417&lt;=400000,(V417-200000)*22.5%+1500+2250+26000,
IF(V417&lt;=600000,(V417-400000)*25%+1500+2250+26000+45000,
IF(AND(V417&gt;600000,V417&lt;=1200000),(V417-400000)*25%+1500+2250+26000+45000
+IFERROR(LOOKUP(V417,{600001;700001;800001;900001},{4000;6750;10250;15250}),0),IF(V417&gt;1200000,((V417-1200000)*27.5%)+300000,0)
)))))))</f>
        <v>0</v>
      </c>
      <c r="X417" s="12">
        <f t="shared" si="112"/>
        <v>0</v>
      </c>
      <c r="Y417" s="12">
        <f t="shared" si="113"/>
        <v>0</v>
      </c>
      <c r="Z417" s="11"/>
      <c r="AA417" s="13">
        <f t="shared" si="114"/>
        <v>0</v>
      </c>
      <c r="AB417" s="12">
        <f t="shared" si="115"/>
        <v>0</v>
      </c>
      <c r="AC417" s="14">
        <f t="shared" si="103"/>
        <v>0</v>
      </c>
      <c r="AE417" s="19">
        <f t="shared" si="116"/>
        <v>0</v>
      </c>
      <c r="AF417" s="19"/>
      <c r="AG417" s="17"/>
      <c r="AK417" s="7"/>
      <c r="AL417" s="108">
        <f t="shared" si="104"/>
        <v>0</v>
      </c>
      <c r="AM417" s="108">
        <f t="shared" si="105"/>
        <v>0</v>
      </c>
      <c r="AN417" s="113"/>
    </row>
    <row r="418" spans="2:40" x14ac:dyDescent="0.2">
      <c r="B418" s="7"/>
      <c r="C418" s="8"/>
      <c r="D418" s="8"/>
      <c r="E418" s="9"/>
      <c r="F418" s="6"/>
      <c r="G418" s="8"/>
      <c r="H418" s="32"/>
      <c r="I418" s="10" t="str">
        <f t="shared" si="102"/>
        <v>21</v>
      </c>
      <c r="J418" s="11">
        <v>1</v>
      </c>
      <c r="K418" s="11"/>
      <c r="L418" s="11"/>
      <c r="M418" s="11">
        <f t="shared" si="106"/>
        <v>0</v>
      </c>
      <c r="N418" s="11"/>
      <c r="O418" s="11">
        <f t="shared" si="107"/>
        <v>0</v>
      </c>
      <c r="P418" s="11"/>
      <c r="Q418" s="11"/>
      <c r="R418" s="11"/>
      <c r="S418" s="11">
        <f t="shared" si="108"/>
        <v>0</v>
      </c>
      <c r="T418" s="11">
        <f t="shared" si="109"/>
        <v>1666.6666666666667</v>
      </c>
      <c r="U418" s="11">
        <f t="shared" si="110"/>
        <v>0</v>
      </c>
      <c r="V418" s="24">
        <f t="shared" si="111"/>
        <v>0</v>
      </c>
      <c r="W418" s="11">
        <f>IF(V418&lt;=40000,0,
IF(V418&lt;=55000,(V418-40000)*10%,
IF(V418&lt;=70000,(V418-55000)*15%+1500,
IF(V418&lt;=200000,(V418-70000)*20%+1500+2250,
IF(V418&lt;=400000,(V418-200000)*22.5%+1500+2250+26000,
IF(V418&lt;=600000,(V418-400000)*25%+1500+2250+26000+45000,
IF(AND(V418&gt;600000,V418&lt;=1200000),(V418-400000)*25%+1500+2250+26000+45000
+IFERROR(LOOKUP(V418,{600001;700001;800001;900001},{4000;6750;10250;15250}),0),IF(V418&gt;1200000,((V418-1200000)*27.5%)+300000,0)
)))))))</f>
        <v>0</v>
      </c>
      <c r="X418" s="12">
        <f t="shared" si="112"/>
        <v>0</v>
      </c>
      <c r="Y418" s="12">
        <f t="shared" si="113"/>
        <v>0</v>
      </c>
      <c r="Z418" s="11"/>
      <c r="AA418" s="13">
        <f t="shared" si="114"/>
        <v>0</v>
      </c>
      <c r="AB418" s="12">
        <f t="shared" si="115"/>
        <v>0</v>
      </c>
      <c r="AC418" s="14">
        <f t="shared" si="103"/>
        <v>0</v>
      </c>
      <c r="AE418" s="19">
        <f t="shared" si="116"/>
        <v>0</v>
      </c>
      <c r="AF418" s="19"/>
      <c r="AG418" s="17"/>
      <c r="AK418" s="7"/>
      <c r="AL418" s="108">
        <f t="shared" si="104"/>
        <v>0</v>
      </c>
      <c r="AM418" s="108">
        <f t="shared" si="105"/>
        <v>0</v>
      </c>
      <c r="AN418" s="113"/>
    </row>
    <row r="419" spans="2:40" x14ac:dyDescent="0.2">
      <c r="B419" s="7"/>
      <c r="C419" s="8"/>
      <c r="D419" s="8"/>
      <c r="E419" s="9"/>
      <c r="F419" s="6"/>
      <c r="G419" s="8"/>
      <c r="H419" s="32"/>
      <c r="I419" s="10" t="str">
        <f t="shared" si="102"/>
        <v>21</v>
      </c>
      <c r="J419" s="11">
        <v>1</v>
      </c>
      <c r="K419" s="11"/>
      <c r="L419" s="11"/>
      <c r="M419" s="11">
        <f t="shared" si="106"/>
        <v>0</v>
      </c>
      <c r="N419" s="11"/>
      <c r="O419" s="11">
        <f t="shared" si="107"/>
        <v>0</v>
      </c>
      <c r="P419" s="11"/>
      <c r="Q419" s="11"/>
      <c r="R419" s="11"/>
      <c r="S419" s="11">
        <f t="shared" si="108"/>
        <v>0</v>
      </c>
      <c r="T419" s="11">
        <f t="shared" si="109"/>
        <v>1666.6666666666667</v>
      </c>
      <c r="U419" s="11">
        <f t="shared" si="110"/>
        <v>0</v>
      </c>
      <c r="V419" s="24">
        <f t="shared" si="111"/>
        <v>0</v>
      </c>
      <c r="W419" s="11">
        <f>IF(V419&lt;=40000,0,
IF(V419&lt;=55000,(V419-40000)*10%,
IF(V419&lt;=70000,(V419-55000)*15%+1500,
IF(V419&lt;=200000,(V419-70000)*20%+1500+2250,
IF(V419&lt;=400000,(V419-200000)*22.5%+1500+2250+26000,
IF(V419&lt;=600000,(V419-400000)*25%+1500+2250+26000+45000,
IF(AND(V419&gt;600000,V419&lt;=1200000),(V419-400000)*25%+1500+2250+26000+45000
+IFERROR(LOOKUP(V419,{600001;700001;800001;900001},{4000;6750;10250;15250}),0),IF(V419&gt;1200000,((V419-1200000)*27.5%)+300000,0)
)))))))</f>
        <v>0</v>
      </c>
      <c r="X419" s="12">
        <f t="shared" si="112"/>
        <v>0</v>
      </c>
      <c r="Y419" s="12">
        <f t="shared" si="113"/>
        <v>0</v>
      </c>
      <c r="Z419" s="11"/>
      <c r="AA419" s="13">
        <f t="shared" si="114"/>
        <v>0</v>
      </c>
      <c r="AB419" s="12">
        <f t="shared" si="115"/>
        <v>0</v>
      </c>
      <c r="AC419" s="14">
        <f t="shared" si="103"/>
        <v>0</v>
      </c>
      <c r="AE419" s="19">
        <f t="shared" si="116"/>
        <v>0</v>
      </c>
      <c r="AF419" s="19"/>
      <c r="AG419" s="17"/>
      <c r="AK419" s="7"/>
      <c r="AL419" s="108">
        <f t="shared" si="104"/>
        <v>0</v>
      </c>
      <c r="AM419" s="108">
        <f t="shared" si="105"/>
        <v>0</v>
      </c>
      <c r="AN419" s="113"/>
    </row>
    <row r="420" spans="2:40" x14ac:dyDescent="0.2">
      <c r="B420" s="7"/>
      <c r="C420" s="8"/>
      <c r="D420" s="8"/>
      <c r="E420" s="9"/>
      <c r="F420" s="6"/>
      <c r="G420" s="8"/>
      <c r="H420" s="32"/>
      <c r="I420" s="10" t="str">
        <f t="shared" si="102"/>
        <v>21</v>
      </c>
      <c r="J420" s="11">
        <v>1</v>
      </c>
      <c r="K420" s="11"/>
      <c r="L420" s="11"/>
      <c r="M420" s="11">
        <f t="shared" si="106"/>
        <v>0</v>
      </c>
      <c r="N420" s="11"/>
      <c r="O420" s="11">
        <f t="shared" si="107"/>
        <v>0</v>
      </c>
      <c r="P420" s="11"/>
      <c r="Q420" s="11"/>
      <c r="R420" s="11"/>
      <c r="S420" s="11">
        <f t="shared" si="108"/>
        <v>0</v>
      </c>
      <c r="T420" s="11">
        <f t="shared" si="109"/>
        <v>1666.6666666666667</v>
      </c>
      <c r="U420" s="11">
        <f t="shared" si="110"/>
        <v>0</v>
      </c>
      <c r="V420" s="24">
        <f t="shared" si="111"/>
        <v>0</v>
      </c>
      <c r="W420" s="11">
        <f>IF(V420&lt;=40000,0,
IF(V420&lt;=55000,(V420-40000)*10%,
IF(V420&lt;=70000,(V420-55000)*15%+1500,
IF(V420&lt;=200000,(V420-70000)*20%+1500+2250,
IF(V420&lt;=400000,(V420-200000)*22.5%+1500+2250+26000,
IF(V420&lt;=600000,(V420-400000)*25%+1500+2250+26000+45000,
IF(AND(V420&gt;600000,V420&lt;=1200000),(V420-400000)*25%+1500+2250+26000+45000
+IFERROR(LOOKUP(V420,{600001;700001;800001;900001},{4000;6750;10250;15250}),0),IF(V420&gt;1200000,((V420-1200000)*27.5%)+300000,0)
)))))))</f>
        <v>0</v>
      </c>
      <c r="X420" s="12">
        <f t="shared" si="112"/>
        <v>0</v>
      </c>
      <c r="Y420" s="12">
        <f t="shared" si="113"/>
        <v>0</v>
      </c>
      <c r="Z420" s="11"/>
      <c r="AA420" s="13">
        <f t="shared" si="114"/>
        <v>0</v>
      </c>
      <c r="AB420" s="12">
        <f t="shared" si="115"/>
        <v>0</v>
      </c>
      <c r="AC420" s="14">
        <f t="shared" si="103"/>
        <v>0</v>
      </c>
      <c r="AE420" s="19">
        <f t="shared" si="116"/>
        <v>0</v>
      </c>
      <c r="AF420" s="19"/>
      <c r="AG420" s="17"/>
      <c r="AK420" s="7"/>
      <c r="AL420" s="108">
        <f t="shared" si="104"/>
        <v>0</v>
      </c>
      <c r="AM420" s="108">
        <f t="shared" si="105"/>
        <v>0</v>
      </c>
      <c r="AN420" s="113"/>
    </row>
    <row r="421" spans="2:40" x14ac:dyDescent="0.2">
      <c r="B421" s="7"/>
      <c r="C421" s="8"/>
      <c r="D421" s="8"/>
      <c r="E421" s="9"/>
      <c r="F421" s="6"/>
      <c r="G421" s="8"/>
      <c r="H421" s="32"/>
      <c r="I421" s="10" t="str">
        <f t="shared" si="102"/>
        <v>21</v>
      </c>
      <c r="J421" s="11">
        <v>1</v>
      </c>
      <c r="K421" s="11"/>
      <c r="L421" s="11"/>
      <c r="M421" s="11">
        <f t="shared" si="106"/>
        <v>0</v>
      </c>
      <c r="N421" s="11"/>
      <c r="O421" s="11">
        <f t="shared" si="107"/>
        <v>0</v>
      </c>
      <c r="P421" s="11"/>
      <c r="Q421" s="11"/>
      <c r="R421" s="11"/>
      <c r="S421" s="11">
        <f t="shared" si="108"/>
        <v>0</v>
      </c>
      <c r="T421" s="11">
        <f t="shared" si="109"/>
        <v>1666.6666666666667</v>
      </c>
      <c r="U421" s="11">
        <f t="shared" si="110"/>
        <v>0</v>
      </c>
      <c r="V421" s="24">
        <f t="shared" si="111"/>
        <v>0</v>
      </c>
      <c r="W421" s="11">
        <f>IF(V421&lt;=40000,0,
IF(V421&lt;=55000,(V421-40000)*10%,
IF(V421&lt;=70000,(V421-55000)*15%+1500,
IF(V421&lt;=200000,(V421-70000)*20%+1500+2250,
IF(V421&lt;=400000,(V421-200000)*22.5%+1500+2250+26000,
IF(V421&lt;=600000,(V421-400000)*25%+1500+2250+26000+45000,
IF(AND(V421&gt;600000,V421&lt;=1200000),(V421-400000)*25%+1500+2250+26000+45000
+IFERROR(LOOKUP(V421,{600001;700001;800001;900001},{4000;6750;10250;15250}),0),IF(V421&gt;1200000,((V421-1200000)*27.5%)+300000,0)
)))))))</f>
        <v>0</v>
      </c>
      <c r="X421" s="12">
        <f t="shared" si="112"/>
        <v>0</v>
      </c>
      <c r="Y421" s="12">
        <f t="shared" si="113"/>
        <v>0</v>
      </c>
      <c r="Z421" s="11"/>
      <c r="AA421" s="13">
        <f t="shared" si="114"/>
        <v>0</v>
      </c>
      <c r="AB421" s="12">
        <f t="shared" si="115"/>
        <v>0</v>
      </c>
      <c r="AC421" s="14">
        <f t="shared" si="103"/>
        <v>0</v>
      </c>
      <c r="AE421" s="19">
        <f t="shared" si="116"/>
        <v>0</v>
      </c>
      <c r="AF421" s="19"/>
      <c r="AG421" s="17"/>
      <c r="AK421" s="7"/>
      <c r="AL421" s="108">
        <f t="shared" si="104"/>
        <v>0</v>
      </c>
      <c r="AM421" s="108">
        <f t="shared" si="105"/>
        <v>0</v>
      </c>
      <c r="AN421" s="113"/>
    </row>
    <row r="422" spans="2:40" x14ac:dyDescent="0.2">
      <c r="B422" s="7"/>
      <c r="C422" s="8"/>
      <c r="D422" s="8"/>
      <c r="E422" s="9"/>
      <c r="F422" s="6"/>
      <c r="G422" s="8"/>
      <c r="H422" s="32"/>
      <c r="I422" s="10" t="str">
        <f t="shared" si="102"/>
        <v>21</v>
      </c>
      <c r="J422" s="11">
        <v>1</v>
      </c>
      <c r="K422" s="11"/>
      <c r="L422" s="11"/>
      <c r="M422" s="11">
        <f t="shared" si="106"/>
        <v>0</v>
      </c>
      <c r="N422" s="11"/>
      <c r="O422" s="11">
        <f t="shared" si="107"/>
        <v>0</v>
      </c>
      <c r="P422" s="11"/>
      <c r="Q422" s="11"/>
      <c r="R422" s="11"/>
      <c r="S422" s="11">
        <f t="shared" si="108"/>
        <v>0</v>
      </c>
      <c r="T422" s="11">
        <f t="shared" si="109"/>
        <v>1666.6666666666667</v>
      </c>
      <c r="U422" s="11">
        <f t="shared" si="110"/>
        <v>0</v>
      </c>
      <c r="V422" s="24">
        <f t="shared" si="111"/>
        <v>0</v>
      </c>
      <c r="W422" s="11">
        <f>IF(V422&lt;=40000,0,
IF(V422&lt;=55000,(V422-40000)*10%,
IF(V422&lt;=70000,(V422-55000)*15%+1500,
IF(V422&lt;=200000,(V422-70000)*20%+1500+2250,
IF(V422&lt;=400000,(V422-200000)*22.5%+1500+2250+26000,
IF(V422&lt;=600000,(V422-400000)*25%+1500+2250+26000+45000,
IF(AND(V422&gt;600000,V422&lt;=1200000),(V422-400000)*25%+1500+2250+26000+45000
+IFERROR(LOOKUP(V422,{600001;700001;800001;900001},{4000;6750;10250;15250}),0),IF(V422&gt;1200000,((V422-1200000)*27.5%)+300000,0)
)))))))</f>
        <v>0</v>
      </c>
      <c r="X422" s="12">
        <f t="shared" si="112"/>
        <v>0</v>
      </c>
      <c r="Y422" s="12">
        <f t="shared" si="113"/>
        <v>0</v>
      </c>
      <c r="Z422" s="11"/>
      <c r="AA422" s="13">
        <f t="shared" si="114"/>
        <v>0</v>
      </c>
      <c r="AB422" s="12">
        <f t="shared" si="115"/>
        <v>0</v>
      </c>
      <c r="AC422" s="14">
        <f t="shared" si="103"/>
        <v>0</v>
      </c>
      <c r="AE422" s="19">
        <f t="shared" si="116"/>
        <v>0</v>
      </c>
      <c r="AF422" s="19"/>
      <c r="AG422" s="17"/>
      <c r="AK422" s="7"/>
      <c r="AL422" s="108">
        <f t="shared" si="104"/>
        <v>0</v>
      </c>
      <c r="AM422" s="108">
        <f t="shared" si="105"/>
        <v>0</v>
      </c>
      <c r="AN422" s="113"/>
    </row>
    <row r="423" spans="2:40" x14ac:dyDescent="0.2">
      <c r="B423" s="7"/>
      <c r="C423" s="8"/>
      <c r="D423" s="8"/>
      <c r="E423" s="9"/>
      <c r="F423" s="6"/>
      <c r="G423" s="8"/>
      <c r="H423" s="32"/>
      <c r="I423" s="10" t="str">
        <f t="shared" si="102"/>
        <v>21</v>
      </c>
      <c r="J423" s="11">
        <v>1</v>
      </c>
      <c r="K423" s="11"/>
      <c r="L423" s="11"/>
      <c r="M423" s="11">
        <f t="shared" si="106"/>
        <v>0</v>
      </c>
      <c r="N423" s="11"/>
      <c r="O423" s="11">
        <f t="shared" si="107"/>
        <v>0</v>
      </c>
      <c r="P423" s="11"/>
      <c r="Q423" s="11"/>
      <c r="R423" s="11"/>
      <c r="S423" s="11">
        <f t="shared" si="108"/>
        <v>0</v>
      </c>
      <c r="T423" s="11">
        <f t="shared" si="109"/>
        <v>1666.6666666666667</v>
      </c>
      <c r="U423" s="11">
        <f t="shared" si="110"/>
        <v>0</v>
      </c>
      <c r="V423" s="24">
        <f t="shared" si="111"/>
        <v>0</v>
      </c>
      <c r="W423" s="11">
        <f>IF(V423&lt;=40000,0,
IF(V423&lt;=55000,(V423-40000)*10%,
IF(V423&lt;=70000,(V423-55000)*15%+1500,
IF(V423&lt;=200000,(V423-70000)*20%+1500+2250,
IF(V423&lt;=400000,(V423-200000)*22.5%+1500+2250+26000,
IF(V423&lt;=600000,(V423-400000)*25%+1500+2250+26000+45000,
IF(AND(V423&gt;600000,V423&lt;=1200000),(V423-400000)*25%+1500+2250+26000+45000
+IFERROR(LOOKUP(V423,{600001;700001;800001;900001},{4000;6750;10250;15250}),0),IF(V423&gt;1200000,((V423-1200000)*27.5%)+300000,0)
)))))))</f>
        <v>0</v>
      </c>
      <c r="X423" s="12">
        <f t="shared" si="112"/>
        <v>0</v>
      </c>
      <c r="Y423" s="12">
        <f t="shared" si="113"/>
        <v>0</v>
      </c>
      <c r="Z423" s="11"/>
      <c r="AA423" s="13">
        <f t="shared" si="114"/>
        <v>0</v>
      </c>
      <c r="AB423" s="12">
        <f t="shared" si="115"/>
        <v>0</v>
      </c>
      <c r="AC423" s="14">
        <f t="shared" si="103"/>
        <v>0</v>
      </c>
      <c r="AE423" s="19">
        <f t="shared" si="116"/>
        <v>0</v>
      </c>
      <c r="AF423" s="19"/>
      <c r="AG423" s="17"/>
      <c r="AK423" s="7"/>
      <c r="AL423" s="108">
        <f t="shared" si="104"/>
        <v>0</v>
      </c>
      <c r="AM423" s="108">
        <f t="shared" si="105"/>
        <v>0</v>
      </c>
      <c r="AN423" s="113"/>
    </row>
    <row r="424" spans="2:40" x14ac:dyDescent="0.2">
      <c r="B424" s="7"/>
      <c r="C424" s="8"/>
      <c r="D424" s="8"/>
      <c r="E424" s="9"/>
      <c r="F424" s="6"/>
      <c r="G424" s="8"/>
      <c r="H424" s="32"/>
      <c r="I424" s="10" t="str">
        <f t="shared" si="102"/>
        <v>21</v>
      </c>
      <c r="J424" s="11">
        <v>1</v>
      </c>
      <c r="K424" s="11"/>
      <c r="L424" s="11"/>
      <c r="M424" s="11">
        <f t="shared" si="106"/>
        <v>0</v>
      </c>
      <c r="N424" s="11"/>
      <c r="O424" s="11">
        <f t="shared" si="107"/>
        <v>0</v>
      </c>
      <c r="P424" s="11"/>
      <c r="Q424" s="11"/>
      <c r="R424" s="11"/>
      <c r="S424" s="11">
        <f t="shared" si="108"/>
        <v>0</v>
      </c>
      <c r="T424" s="11">
        <f t="shared" si="109"/>
        <v>1666.6666666666667</v>
      </c>
      <c r="U424" s="11">
        <f t="shared" si="110"/>
        <v>0</v>
      </c>
      <c r="V424" s="24">
        <f t="shared" si="111"/>
        <v>0</v>
      </c>
      <c r="W424" s="11">
        <f>IF(V424&lt;=40000,0,
IF(V424&lt;=55000,(V424-40000)*10%,
IF(V424&lt;=70000,(V424-55000)*15%+1500,
IF(V424&lt;=200000,(V424-70000)*20%+1500+2250,
IF(V424&lt;=400000,(V424-200000)*22.5%+1500+2250+26000,
IF(V424&lt;=600000,(V424-400000)*25%+1500+2250+26000+45000,
IF(AND(V424&gt;600000,V424&lt;=1200000),(V424-400000)*25%+1500+2250+26000+45000
+IFERROR(LOOKUP(V424,{600001;700001;800001;900001},{4000;6750;10250;15250}),0),IF(V424&gt;1200000,((V424-1200000)*27.5%)+300000,0)
)))))))</f>
        <v>0</v>
      </c>
      <c r="X424" s="12">
        <f t="shared" si="112"/>
        <v>0</v>
      </c>
      <c r="Y424" s="12">
        <f t="shared" si="113"/>
        <v>0</v>
      </c>
      <c r="Z424" s="11"/>
      <c r="AA424" s="13">
        <f t="shared" si="114"/>
        <v>0</v>
      </c>
      <c r="AB424" s="12">
        <f t="shared" si="115"/>
        <v>0</v>
      </c>
      <c r="AC424" s="14">
        <f t="shared" si="103"/>
        <v>0</v>
      </c>
      <c r="AE424" s="19">
        <f t="shared" si="116"/>
        <v>0</v>
      </c>
      <c r="AF424" s="19"/>
      <c r="AG424" s="17"/>
      <c r="AK424" s="7"/>
      <c r="AL424" s="108">
        <f t="shared" si="104"/>
        <v>0</v>
      </c>
      <c r="AM424" s="108">
        <f t="shared" si="105"/>
        <v>0</v>
      </c>
      <c r="AN424" s="113"/>
    </row>
    <row r="425" spans="2:40" x14ac:dyDescent="0.2">
      <c r="B425" s="7"/>
      <c r="C425" s="8"/>
      <c r="D425" s="8"/>
      <c r="E425" s="9"/>
      <c r="F425" s="6"/>
      <c r="G425" s="8"/>
      <c r="H425" s="32"/>
      <c r="I425" s="10" t="str">
        <f t="shared" si="102"/>
        <v>21</v>
      </c>
      <c r="J425" s="11">
        <v>1</v>
      </c>
      <c r="K425" s="11"/>
      <c r="L425" s="11"/>
      <c r="M425" s="11">
        <f t="shared" si="106"/>
        <v>0</v>
      </c>
      <c r="N425" s="11"/>
      <c r="O425" s="11">
        <f t="shared" si="107"/>
        <v>0</v>
      </c>
      <c r="P425" s="11"/>
      <c r="Q425" s="11"/>
      <c r="R425" s="11"/>
      <c r="S425" s="11">
        <f t="shared" si="108"/>
        <v>0</v>
      </c>
      <c r="T425" s="11">
        <f t="shared" si="109"/>
        <v>1666.6666666666667</v>
      </c>
      <c r="U425" s="11">
        <f t="shared" si="110"/>
        <v>0</v>
      </c>
      <c r="V425" s="24">
        <f t="shared" si="111"/>
        <v>0</v>
      </c>
      <c r="W425" s="11">
        <f>IF(V425&lt;=40000,0,
IF(V425&lt;=55000,(V425-40000)*10%,
IF(V425&lt;=70000,(V425-55000)*15%+1500,
IF(V425&lt;=200000,(V425-70000)*20%+1500+2250,
IF(V425&lt;=400000,(V425-200000)*22.5%+1500+2250+26000,
IF(V425&lt;=600000,(V425-400000)*25%+1500+2250+26000+45000,
IF(AND(V425&gt;600000,V425&lt;=1200000),(V425-400000)*25%+1500+2250+26000+45000
+IFERROR(LOOKUP(V425,{600001;700001;800001;900001},{4000;6750;10250;15250}),0),IF(V425&gt;1200000,((V425-1200000)*27.5%)+300000,0)
)))))))</f>
        <v>0</v>
      </c>
      <c r="X425" s="12">
        <f t="shared" si="112"/>
        <v>0</v>
      </c>
      <c r="Y425" s="12">
        <f t="shared" si="113"/>
        <v>0</v>
      </c>
      <c r="Z425" s="11"/>
      <c r="AA425" s="13">
        <f t="shared" si="114"/>
        <v>0</v>
      </c>
      <c r="AB425" s="12">
        <f t="shared" si="115"/>
        <v>0</v>
      </c>
      <c r="AC425" s="14">
        <f t="shared" si="103"/>
        <v>0</v>
      </c>
      <c r="AE425" s="19">
        <f t="shared" si="116"/>
        <v>0</v>
      </c>
      <c r="AF425" s="19"/>
      <c r="AG425" s="17"/>
      <c r="AK425" s="7"/>
      <c r="AL425" s="108">
        <f t="shared" si="104"/>
        <v>0</v>
      </c>
      <c r="AM425" s="108">
        <f t="shared" si="105"/>
        <v>0</v>
      </c>
      <c r="AN425" s="113"/>
    </row>
    <row r="426" spans="2:40" x14ac:dyDescent="0.2">
      <c r="B426" s="7"/>
      <c r="C426" s="8"/>
      <c r="D426" s="8"/>
      <c r="E426" s="9"/>
      <c r="F426" s="6"/>
      <c r="G426" s="8"/>
      <c r="H426" s="32"/>
      <c r="I426" s="10" t="str">
        <f t="shared" si="102"/>
        <v>21</v>
      </c>
      <c r="J426" s="11">
        <v>1</v>
      </c>
      <c r="K426" s="11"/>
      <c r="L426" s="11"/>
      <c r="M426" s="11">
        <f t="shared" si="106"/>
        <v>0</v>
      </c>
      <c r="N426" s="11"/>
      <c r="O426" s="11">
        <f t="shared" si="107"/>
        <v>0</v>
      </c>
      <c r="P426" s="11"/>
      <c r="Q426" s="11"/>
      <c r="R426" s="11"/>
      <c r="S426" s="11">
        <f t="shared" si="108"/>
        <v>0</v>
      </c>
      <c r="T426" s="11">
        <f t="shared" si="109"/>
        <v>1666.6666666666667</v>
      </c>
      <c r="U426" s="11">
        <f t="shared" si="110"/>
        <v>0</v>
      </c>
      <c r="V426" s="24">
        <f t="shared" si="111"/>
        <v>0</v>
      </c>
      <c r="W426" s="11">
        <f>IF(V426&lt;=40000,0,
IF(V426&lt;=55000,(V426-40000)*10%,
IF(V426&lt;=70000,(V426-55000)*15%+1500,
IF(V426&lt;=200000,(V426-70000)*20%+1500+2250,
IF(V426&lt;=400000,(V426-200000)*22.5%+1500+2250+26000,
IF(V426&lt;=600000,(V426-400000)*25%+1500+2250+26000+45000,
IF(AND(V426&gt;600000,V426&lt;=1200000),(V426-400000)*25%+1500+2250+26000+45000
+IFERROR(LOOKUP(V426,{600001;700001;800001;900001},{4000;6750;10250;15250}),0),IF(V426&gt;1200000,((V426-1200000)*27.5%)+300000,0)
)))))))</f>
        <v>0</v>
      </c>
      <c r="X426" s="12">
        <f t="shared" si="112"/>
        <v>0</v>
      </c>
      <c r="Y426" s="12">
        <f t="shared" si="113"/>
        <v>0</v>
      </c>
      <c r="Z426" s="11"/>
      <c r="AA426" s="13">
        <f t="shared" si="114"/>
        <v>0</v>
      </c>
      <c r="AB426" s="12">
        <f t="shared" si="115"/>
        <v>0</v>
      </c>
      <c r="AC426" s="14">
        <f t="shared" si="103"/>
        <v>0</v>
      </c>
      <c r="AE426" s="19">
        <f t="shared" si="116"/>
        <v>0</v>
      </c>
      <c r="AF426" s="19"/>
      <c r="AG426" s="17"/>
      <c r="AK426" s="7"/>
      <c r="AL426" s="108">
        <f t="shared" si="104"/>
        <v>0</v>
      </c>
      <c r="AM426" s="108">
        <f t="shared" si="105"/>
        <v>0</v>
      </c>
      <c r="AN426" s="113"/>
    </row>
    <row r="427" spans="2:40" x14ac:dyDescent="0.2">
      <c r="B427" s="7"/>
      <c r="C427" s="8"/>
      <c r="D427" s="8"/>
      <c r="E427" s="9"/>
      <c r="F427" s="6"/>
      <c r="G427" s="8"/>
      <c r="H427" s="32"/>
      <c r="I427" s="10" t="str">
        <f t="shared" si="102"/>
        <v>21</v>
      </c>
      <c r="J427" s="11">
        <v>1</v>
      </c>
      <c r="K427" s="11"/>
      <c r="L427" s="11"/>
      <c r="M427" s="11">
        <f t="shared" si="106"/>
        <v>0</v>
      </c>
      <c r="N427" s="11"/>
      <c r="O427" s="11">
        <f t="shared" si="107"/>
        <v>0</v>
      </c>
      <c r="P427" s="11"/>
      <c r="Q427" s="11"/>
      <c r="R427" s="11"/>
      <c r="S427" s="11">
        <f t="shared" si="108"/>
        <v>0</v>
      </c>
      <c r="T427" s="11">
        <f t="shared" si="109"/>
        <v>1666.6666666666667</v>
      </c>
      <c r="U427" s="11">
        <f t="shared" si="110"/>
        <v>0</v>
      </c>
      <c r="V427" s="24">
        <f t="shared" si="111"/>
        <v>0</v>
      </c>
      <c r="W427" s="11">
        <f>IF(V427&lt;=40000,0,
IF(V427&lt;=55000,(V427-40000)*10%,
IF(V427&lt;=70000,(V427-55000)*15%+1500,
IF(V427&lt;=200000,(V427-70000)*20%+1500+2250,
IF(V427&lt;=400000,(V427-200000)*22.5%+1500+2250+26000,
IF(V427&lt;=600000,(V427-400000)*25%+1500+2250+26000+45000,
IF(AND(V427&gt;600000,V427&lt;=1200000),(V427-400000)*25%+1500+2250+26000+45000
+IFERROR(LOOKUP(V427,{600001;700001;800001;900001},{4000;6750;10250;15250}),0),IF(V427&gt;1200000,((V427-1200000)*27.5%)+300000,0)
)))))))</f>
        <v>0</v>
      </c>
      <c r="X427" s="12">
        <f t="shared" si="112"/>
        <v>0</v>
      </c>
      <c r="Y427" s="12">
        <f t="shared" si="113"/>
        <v>0</v>
      </c>
      <c r="Z427" s="11"/>
      <c r="AA427" s="13">
        <f t="shared" si="114"/>
        <v>0</v>
      </c>
      <c r="AB427" s="12">
        <f t="shared" si="115"/>
        <v>0</v>
      </c>
      <c r="AC427" s="14">
        <f t="shared" si="103"/>
        <v>0</v>
      </c>
      <c r="AE427" s="19">
        <f t="shared" si="116"/>
        <v>0</v>
      </c>
      <c r="AF427" s="19"/>
      <c r="AG427" s="17"/>
      <c r="AK427" s="7"/>
      <c r="AL427" s="108">
        <f t="shared" si="104"/>
        <v>0</v>
      </c>
      <c r="AM427" s="108">
        <f t="shared" si="105"/>
        <v>0</v>
      </c>
      <c r="AN427" s="113"/>
    </row>
    <row r="428" spans="2:40" x14ac:dyDescent="0.2">
      <c r="B428" s="7"/>
      <c r="C428" s="8"/>
      <c r="D428" s="8"/>
      <c r="E428" s="9"/>
      <c r="F428" s="6"/>
      <c r="G428" s="8"/>
      <c r="H428" s="32"/>
      <c r="I428" s="10" t="str">
        <f t="shared" si="102"/>
        <v>21</v>
      </c>
      <c r="J428" s="11">
        <v>1</v>
      </c>
      <c r="K428" s="11"/>
      <c r="L428" s="11"/>
      <c r="M428" s="11">
        <f t="shared" si="106"/>
        <v>0</v>
      </c>
      <c r="N428" s="11"/>
      <c r="O428" s="11">
        <f t="shared" si="107"/>
        <v>0</v>
      </c>
      <c r="P428" s="11"/>
      <c r="Q428" s="11"/>
      <c r="R428" s="11"/>
      <c r="S428" s="11">
        <f t="shared" si="108"/>
        <v>0</v>
      </c>
      <c r="T428" s="11">
        <f t="shared" si="109"/>
        <v>1666.6666666666667</v>
      </c>
      <c r="U428" s="11">
        <f t="shared" si="110"/>
        <v>0</v>
      </c>
      <c r="V428" s="24">
        <f t="shared" si="111"/>
        <v>0</v>
      </c>
      <c r="W428" s="11">
        <f>IF(V428&lt;=40000,0,
IF(V428&lt;=55000,(V428-40000)*10%,
IF(V428&lt;=70000,(V428-55000)*15%+1500,
IF(V428&lt;=200000,(V428-70000)*20%+1500+2250,
IF(V428&lt;=400000,(V428-200000)*22.5%+1500+2250+26000,
IF(V428&lt;=600000,(V428-400000)*25%+1500+2250+26000+45000,
IF(AND(V428&gt;600000,V428&lt;=1200000),(V428-400000)*25%+1500+2250+26000+45000
+IFERROR(LOOKUP(V428,{600001;700001;800001;900001},{4000;6750;10250;15250}),0),IF(V428&gt;1200000,((V428-1200000)*27.5%)+300000,0)
)))))))</f>
        <v>0</v>
      </c>
      <c r="X428" s="12">
        <f t="shared" si="112"/>
        <v>0</v>
      </c>
      <c r="Y428" s="12">
        <f t="shared" si="113"/>
        <v>0</v>
      </c>
      <c r="Z428" s="11"/>
      <c r="AA428" s="13">
        <f t="shared" si="114"/>
        <v>0</v>
      </c>
      <c r="AB428" s="12">
        <f t="shared" si="115"/>
        <v>0</v>
      </c>
      <c r="AC428" s="14">
        <f t="shared" si="103"/>
        <v>0</v>
      </c>
      <c r="AE428" s="19">
        <f t="shared" si="116"/>
        <v>0</v>
      </c>
      <c r="AF428" s="19"/>
      <c r="AG428" s="17"/>
      <c r="AK428" s="7"/>
      <c r="AL428" s="108">
        <f t="shared" si="104"/>
        <v>0</v>
      </c>
      <c r="AM428" s="108">
        <f t="shared" si="105"/>
        <v>0</v>
      </c>
      <c r="AN428" s="113"/>
    </row>
    <row r="429" spans="2:40" x14ac:dyDescent="0.2">
      <c r="B429" s="7"/>
      <c r="C429" s="8"/>
      <c r="D429" s="8"/>
      <c r="E429" s="9"/>
      <c r="F429" s="6"/>
      <c r="G429" s="8"/>
      <c r="H429" s="32"/>
      <c r="I429" s="10" t="str">
        <f t="shared" si="102"/>
        <v>21</v>
      </c>
      <c r="J429" s="11">
        <v>1</v>
      </c>
      <c r="K429" s="11"/>
      <c r="L429" s="11"/>
      <c r="M429" s="11">
        <f t="shared" si="106"/>
        <v>0</v>
      </c>
      <c r="N429" s="11"/>
      <c r="O429" s="11">
        <f t="shared" si="107"/>
        <v>0</v>
      </c>
      <c r="P429" s="11"/>
      <c r="Q429" s="11"/>
      <c r="R429" s="11"/>
      <c r="S429" s="11">
        <f t="shared" si="108"/>
        <v>0</v>
      </c>
      <c r="T429" s="11">
        <f t="shared" si="109"/>
        <v>1666.6666666666667</v>
      </c>
      <c r="U429" s="11">
        <f t="shared" si="110"/>
        <v>0</v>
      </c>
      <c r="V429" s="24">
        <f t="shared" si="111"/>
        <v>0</v>
      </c>
      <c r="W429" s="11">
        <f>IF(V429&lt;=40000,0,
IF(V429&lt;=55000,(V429-40000)*10%,
IF(V429&lt;=70000,(V429-55000)*15%+1500,
IF(V429&lt;=200000,(V429-70000)*20%+1500+2250,
IF(V429&lt;=400000,(V429-200000)*22.5%+1500+2250+26000,
IF(V429&lt;=600000,(V429-400000)*25%+1500+2250+26000+45000,
IF(AND(V429&gt;600000,V429&lt;=1200000),(V429-400000)*25%+1500+2250+26000+45000
+IFERROR(LOOKUP(V429,{600001;700001;800001;900001},{4000;6750;10250;15250}),0),IF(V429&gt;1200000,((V429-1200000)*27.5%)+300000,0)
)))))))</f>
        <v>0</v>
      </c>
      <c r="X429" s="12">
        <f t="shared" si="112"/>
        <v>0</v>
      </c>
      <c r="Y429" s="12">
        <f t="shared" si="113"/>
        <v>0</v>
      </c>
      <c r="Z429" s="11"/>
      <c r="AA429" s="13">
        <f t="shared" si="114"/>
        <v>0</v>
      </c>
      <c r="AB429" s="12">
        <f t="shared" si="115"/>
        <v>0</v>
      </c>
      <c r="AC429" s="14">
        <f t="shared" si="103"/>
        <v>0</v>
      </c>
      <c r="AE429" s="19">
        <f t="shared" si="116"/>
        <v>0</v>
      </c>
      <c r="AF429" s="19"/>
      <c r="AG429" s="17"/>
      <c r="AK429" s="7"/>
      <c r="AL429" s="108">
        <f t="shared" si="104"/>
        <v>0</v>
      </c>
      <c r="AM429" s="108">
        <f t="shared" si="105"/>
        <v>0</v>
      </c>
      <c r="AN429" s="113"/>
    </row>
    <row r="430" spans="2:40" x14ac:dyDescent="0.2">
      <c r="B430" s="7"/>
      <c r="C430" s="8"/>
      <c r="D430" s="8"/>
      <c r="E430" s="9"/>
      <c r="F430" s="6"/>
      <c r="G430" s="8"/>
      <c r="H430" s="32"/>
      <c r="I430" s="10" t="str">
        <f t="shared" si="102"/>
        <v>21</v>
      </c>
      <c r="J430" s="11">
        <v>1</v>
      </c>
      <c r="K430" s="11"/>
      <c r="L430" s="11"/>
      <c r="M430" s="11">
        <f t="shared" si="106"/>
        <v>0</v>
      </c>
      <c r="N430" s="11"/>
      <c r="O430" s="11">
        <f t="shared" si="107"/>
        <v>0</v>
      </c>
      <c r="P430" s="11"/>
      <c r="Q430" s="11"/>
      <c r="R430" s="11"/>
      <c r="S430" s="11">
        <f t="shared" si="108"/>
        <v>0</v>
      </c>
      <c r="T430" s="11">
        <f t="shared" si="109"/>
        <v>1666.6666666666667</v>
      </c>
      <c r="U430" s="11">
        <f t="shared" si="110"/>
        <v>0</v>
      </c>
      <c r="V430" s="24">
        <f t="shared" si="111"/>
        <v>0</v>
      </c>
      <c r="W430" s="11">
        <f>IF(V430&lt;=40000,0,
IF(V430&lt;=55000,(V430-40000)*10%,
IF(V430&lt;=70000,(V430-55000)*15%+1500,
IF(V430&lt;=200000,(V430-70000)*20%+1500+2250,
IF(V430&lt;=400000,(V430-200000)*22.5%+1500+2250+26000,
IF(V430&lt;=600000,(V430-400000)*25%+1500+2250+26000+45000,
IF(AND(V430&gt;600000,V430&lt;=1200000),(V430-400000)*25%+1500+2250+26000+45000
+IFERROR(LOOKUP(V430,{600001;700001;800001;900001},{4000;6750;10250;15250}),0),IF(V430&gt;1200000,((V430-1200000)*27.5%)+300000,0)
)))))))</f>
        <v>0</v>
      </c>
      <c r="X430" s="12">
        <f t="shared" si="112"/>
        <v>0</v>
      </c>
      <c r="Y430" s="12">
        <f t="shared" si="113"/>
        <v>0</v>
      </c>
      <c r="Z430" s="11"/>
      <c r="AA430" s="13">
        <f t="shared" si="114"/>
        <v>0</v>
      </c>
      <c r="AB430" s="12">
        <f t="shared" si="115"/>
        <v>0</v>
      </c>
      <c r="AC430" s="14">
        <f t="shared" si="103"/>
        <v>0</v>
      </c>
      <c r="AE430" s="19">
        <f t="shared" si="116"/>
        <v>0</v>
      </c>
      <c r="AF430" s="19"/>
      <c r="AG430" s="17"/>
      <c r="AK430" s="7"/>
      <c r="AL430" s="108">
        <f t="shared" si="104"/>
        <v>0</v>
      </c>
      <c r="AM430" s="108">
        <f t="shared" si="105"/>
        <v>0</v>
      </c>
      <c r="AN430" s="113"/>
    </row>
    <row r="431" spans="2:40" x14ac:dyDescent="0.2">
      <c r="B431" s="7"/>
      <c r="C431" s="8"/>
      <c r="D431" s="8"/>
      <c r="E431" s="9"/>
      <c r="F431" s="6"/>
      <c r="G431" s="8"/>
      <c r="H431" s="32"/>
      <c r="I431" s="10" t="str">
        <f t="shared" si="102"/>
        <v>21</v>
      </c>
      <c r="J431" s="11">
        <v>1</v>
      </c>
      <c r="K431" s="11"/>
      <c r="L431" s="11"/>
      <c r="M431" s="11">
        <f t="shared" si="106"/>
        <v>0</v>
      </c>
      <c r="N431" s="11"/>
      <c r="O431" s="11">
        <f t="shared" si="107"/>
        <v>0</v>
      </c>
      <c r="P431" s="11"/>
      <c r="Q431" s="11"/>
      <c r="R431" s="11"/>
      <c r="S431" s="11">
        <f t="shared" si="108"/>
        <v>0</v>
      </c>
      <c r="T431" s="11">
        <f t="shared" si="109"/>
        <v>1666.6666666666667</v>
      </c>
      <c r="U431" s="11">
        <f t="shared" si="110"/>
        <v>0</v>
      </c>
      <c r="V431" s="24">
        <f t="shared" si="111"/>
        <v>0</v>
      </c>
      <c r="W431" s="11">
        <f>IF(V431&lt;=40000,0,
IF(V431&lt;=55000,(V431-40000)*10%,
IF(V431&lt;=70000,(V431-55000)*15%+1500,
IF(V431&lt;=200000,(V431-70000)*20%+1500+2250,
IF(V431&lt;=400000,(V431-200000)*22.5%+1500+2250+26000,
IF(V431&lt;=600000,(V431-400000)*25%+1500+2250+26000+45000,
IF(AND(V431&gt;600000,V431&lt;=1200000),(V431-400000)*25%+1500+2250+26000+45000
+IFERROR(LOOKUP(V431,{600001;700001;800001;900001},{4000;6750;10250;15250}),0),IF(V431&gt;1200000,((V431-1200000)*27.5%)+300000,0)
)))))))</f>
        <v>0</v>
      </c>
      <c r="X431" s="12">
        <f t="shared" si="112"/>
        <v>0</v>
      </c>
      <c r="Y431" s="12">
        <f t="shared" si="113"/>
        <v>0</v>
      </c>
      <c r="Z431" s="11"/>
      <c r="AA431" s="13">
        <f t="shared" si="114"/>
        <v>0</v>
      </c>
      <c r="AB431" s="12">
        <f t="shared" si="115"/>
        <v>0</v>
      </c>
      <c r="AC431" s="14">
        <f t="shared" si="103"/>
        <v>0</v>
      </c>
      <c r="AE431" s="19">
        <f t="shared" si="116"/>
        <v>0</v>
      </c>
      <c r="AF431" s="19"/>
      <c r="AG431" s="17"/>
      <c r="AK431" s="7"/>
      <c r="AL431" s="108">
        <f t="shared" si="104"/>
        <v>0</v>
      </c>
      <c r="AM431" s="108">
        <f t="shared" si="105"/>
        <v>0</v>
      </c>
      <c r="AN431" s="113"/>
    </row>
    <row r="432" spans="2:40" x14ac:dyDescent="0.2">
      <c r="B432" s="7"/>
      <c r="C432" s="8"/>
      <c r="D432" s="8"/>
      <c r="E432" s="9"/>
      <c r="F432" s="6"/>
      <c r="G432" s="8"/>
      <c r="H432" s="32"/>
      <c r="I432" s="10" t="str">
        <f t="shared" si="102"/>
        <v>21</v>
      </c>
      <c r="J432" s="11">
        <v>1</v>
      </c>
      <c r="K432" s="11"/>
      <c r="L432" s="11"/>
      <c r="M432" s="11">
        <f t="shared" si="106"/>
        <v>0</v>
      </c>
      <c r="N432" s="11"/>
      <c r="O432" s="11">
        <f t="shared" si="107"/>
        <v>0</v>
      </c>
      <c r="P432" s="11"/>
      <c r="Q432" s="11"/>
      <c r="R432" s="11"/>
      <c r="S432" s="11">
        <f t="shared" si="108"/>
        <v>0</v>
      </c>
      <c r="T432" s="11">
        <f t="shared" si="109"/>
        <v>1666.6666666666667</v>
      </c>
      <c r="U432" s="11">
        <f t="shared" si="110"/>
        <v>0</v>
      </c>
      <c r="V432" s="24">
        <f t="shared" si="111"/>
        <v>0</v>
      </c>
      <c r="W432" s="11">
        <f>IF(V432&lt;=40000,0,
IF(V432&lt;=55000,(V432-40000)*10%,
IF(V432&lt;=70000,(V432-55000)*15%+1500,
IF(V432&lt;=200000,(V432-70000)*20%+1500+2250,
IF(V432&lt;=400000,(V432-200000)*22.5%+1500+2250+26000,
IF(V432&lt;=600000,(V432-400000)*25%+1500+2250+26000+45000,
IF(AND(V432&gt;600000,V432&lt;=1200000),(V432-400000)*25%+1500+2250+26000+45000
+IFERROR(LOOKUP(V432,{600001;700001;800001;900001},{4000;6750;10250;15250}),0),IF(V432&gt;1200000,((V432-1200000)*27.5%)+300000,0)
)))))))</f>
        <v>0</v>
      </c>
      <c r="X432" s="12">
        <f t="shared" si="112"/>
        <v>0</v>
      </c>
      <c r="Y432" s="12">
        <f t="shared" si="113"/>
        <v>0</v>
      </c>
      <c r="Z432" s="11"/>
      <c r="AA432" s="13">
        <f t="shared" si="114"/>
        <v>0</v>
      </c>
      <c r="AB432" s="12">
        <f t="shared" si="115"/>
        <v>0</v>
      </c>
      <c r="AC432" s="14">
        <f t="shared" si="103"/>
        <v>0</v>
      </c>
      <c r="AE432" s="19">
        <f t="shared" si="116"/>
        <v>0</v>
      </c>
      <c r="AF432" s="19"/>
      <c r="AG432" s="17"/>
      <c r="AK432" s="7"/>
      <c r="AL432" s="108">
        <f t="shared" si="104"/>
        <v>0</v>
      </c>
      <c r="AM432" s="108">
        <f t="shared" si="105"/>
        <v>0</v>
      </c>
      <c r="AN432" s="113"/>
    </row>
    <row r="433" spans="2:40" x14ac:dyDescent="0.2">
      <c r="B433" s="7"/>
      <c r="C433" s="8"/>
      <c r="D433" s="8"/>
      <c r="E433" s="9"/>
      <c r="F433" s="6"/>
      <c r="G433" s="8"/>
      <c r="H433" s="32"/>
      <c r="I433" s="10" t="str">
        <f t="shared" si="102"/>
        <v>21</v>
      </c>
      <c r="J433" s="11">
        <v>1</v>
      </c>
      <c r="K433" s="11"/>
      <c r="L433" s="11"/>
      <c r="M433" s="11">
        <f t="shared" si="106"/>
        <v>0</v>
      </c>
      <c r="N433" s="11"/>
      <c r="O433" s="11">
        <f t="shared" si="107"/>
        <v>0</v>
      </c>
      <c r="P433" s="11"/>
      <c r="Q433" s="11"/>
      <c r="R433" s="11"/>
      <c r="S433" s="11">
        <f t="shared" si="108"/>
        <v>0</v>
      </c>
      <c r="T433" s="11">
        <f t="shared" si="109"/>
        <v>1666.6666666666667</v>
      </c>
      <c r="U433" s="11">
        <f t="shared" si="110"/>
        <v>0</v>
      </c>
      <c r="V433" s="24">
        <f t="shared" si="111"/>
        <v>0</v>
      </c>
      <c r="W433" s="11">
        <f>IF(V433&lt;=40000,0,
IF(V433&lt;=55000,(V433-40000)*10%,
IF(V433&lt;=70000,(V433-55000)*15%+1500,
IF(V433&lt;=200000,(V433-70000)*20%+1500+2250,
IF(V433&lt;=400000,(V433-200000)*22.5%+1500+2250+26000,
IF(V433&lt;=600000,(V433-400000)*25%+1500+2250+26000+45000,
IF(AND(V433&gt;600000,V433&lt;=1200000),(V433-400000)*25%+1500+2250+26000+45000
+IFERROR(LOOKUP(V433,{600001;700001;800001;900001},{4000;6750;10250;15250}),0),IF(V433&gt;1200000,((V433-1200000)*27.5%)+300000,0)
)))))))</f>
        <v>0</v>
      </c>
      <c r="X433" s="12">
        <f t="shared" si="112"/>
        <v>0</v>
      </c>
      <c r="Y433" s="12">
        <f t="shared" si="113"/>
        <v>0</v>
      </c>
      <c r="Z433" s="11"/>
      <c r="AA433" s="13">
        <f t="shared" si="114"/>
        <v>0</v>
      </c>
      <c r="AB433" s="12">
        <f t="shared" si="115"/>
        <v>0</v>
      </c>
      <c r="AC433" s="14">
        <f t="shared" si="103"/>
        <v>0</v>
      </c>
      <c r="AE433" s="19">
        <f t="shared" si="116"/>
        <v>0</v>
      </c>
      <c r="AF433" s="19"/>
      <c r="AG433" s="17"/>
      <c r="AK433" s="7"/>
      <c r="AL433" s="108">
        <f t="shared" si="104"/>
        <v>0</v>
      </c>
      <c r="AM433" s="108">
        <f t="shared" si="105"/>
        <v>0</v>
      </c>
      <c r="AN433" s="113"/>
    </row>
    <row r="434" spans="2:40" x14ac:dyDescent="0.2">
      <c r="B434" s="7"/>
      <c r="C434" s="8"/>
      <c r="D434" s="8"/>
      <c r="E434" s="9"/>
      <c r="F434" s="6"/>
      <c r="G434" s="8"/>
      <c r="H434" s="32"/>
      <c r="I434" s="10" t="str">
        <f t="shared" si="102"/>
        <v>21</v>
      </c>
      <c r="J434" s="11">
        <v>1</v>
      </c>
      <c r="K434" s="11"/>
      <c r="L434" s="11"/>
      <c r="M434" s="11">
        <f t="shared" si="106"/>
        <v>0</v>
      </c>
      <c r="N434" s="11"/>
      <c r="O434" s="11">
        <f t="shared" si="107"/>
        <v>0</v>
      </c>
      <c r="P434" s="11"/>
      <c r="Q434" s="11"/>
      <c r="R434" s="11"/>
      <c r="S434" s="11">
        <f t="shared" si="108"/>
        <v>0</v>
      </c>
      <c r="T434" s="11">
        <f t="shared" si="109"/>
        <v>1666.6666666666667</v>
      </c>
      <c r="U434" s="11">
        <f t="shared" si="110"/>
        <v>0</v>
      </c>
      <c r="V434" s="24">
        <f t="shared" si="111"/>
        <v>0</v>
      </c>
      <c r="W434" s="11">
        <f>IF(V434&lt;=40000,0,
IF(V434&lt;=55000,(V434-40000)*10%,
IF(V434&lt;=70000,(V434-55000)*15%+1500,
IF(V434&lt;=200000,(V434-70000)*20%+1500+2250,
IF(V434&lt;=400000,(V434-200000)*22.5%+1500+2250+26000,
IF(V434&lt;=600000,(V434-400000)*25%+1500+2250+26000+45000,
IF(AND(V434&gt;600000,V434&lt;=1200000),(V434-400000)*25%+1500+2250+26000+45000
+IFERROR(LOOKUP(V434,{600001;700001;800001;900001},{4000;6750;10250;15250}),0),IF(V434&gt;1200000,((V434-1200000)*27.5%)+300000,0)
)))))))</f>
        <v>0</v>
      </c>
      <c r="X434" s="12">
        <f t="shared" si="112"/>
        <v>0</v>
      </c>
      <c r="Y434" s="12">
        <f t="shared" si="113"/>
        <v>0</v>
      </c>
      <c r="Z434" s="11"/>
      <c r="AA434" s="13">
        <f t="shared" si="114"/>
        <v>0</v>
      </c>
      <c r="AB434" s="12">
        <f t="shared" si="115"/>
        <v>0</v>
      </c>
      <c r="AC434" s="14">
        <f t="shared" si="103"/>
        <v>0</v>
      </c>
      <c r="AE434" s="19">
        <f t="shared" si="116"/>
        <v>0</v>
      </c>
      <c r="AF434" s="19"/>
      <c r="AG434" s="17"/>
      <c r="AK434" s="7"/>
      <c r="AL434" s="108">
        <f t="shared" si="104"/>
        <v>0</v>
      </c>
      <c r="AM434" s="108">
        <f t="shared" si="105"/>
        <v>0</v>
      </c>
      <c r="AN434" s="113"/>
    </row>
    <row r="435" spans="2:40" x14ac:dyDescent="0.2">
      <c r="B435" s="7"/>
      <c r="C435" s="8"/>
      <c r="D435" s="8"/>
      <c r="E435" s="9"/>
      <c r="F435" s="6"/>
      <c r="G435" s="8"/>
      <c r="H435" s="32"/>
      <c r="I435" s="10" t="str">
        <f t="shared" si="102"/>
        <v>21</v>
      </c>
      <c r="J435" s="11">
        <v>1</v>
      </c>
      <c r="K435" s="11"/>
      <c r="L435" s="11"/>
      <c r="M435" s="11">
        <f t="shared" si="106"/>
        <v>0</v>
      </c>
      <c r="N435" s="11"/>
      <c r="O435" s="11">
        <f t="shared" si="107"/>
        <v>0</v>
      </c>
      <c r="P435" s="11"/>
      <c r="Q435" s="11"/>
      <c r="R435" s="11"/>
      <c r="S435" s="11">
        <f t="shared" si="108"/>
        <v>0</v>
      </c>
      <c r="T435" s="11">
        <f t="shared" si="109"/>
        <v>1666.6666666666667</v>
      </c>
      <c r="U435" s="11">
        <f t="shared" si="110"/>
        <v>0</v>
      </c>
      <c r="V435" s="24">
        <f t="shared" si="111"/>
        <v>0</v>
      </c>
      <c r="W435" s="11">
        <f>IF(V435&lt;=40000,0,
IF(V435&lt;=55000,(V435-40000)*10%,
IF(V435&lt;=70000,(V435-55000)*15%+1500,
IF(V435&lt;=200000,(V435-70000)*20%+1500+2250,
IF(V435&lt;=400000,(V435-200000)*22.5%+1500+2250+26000,
IF(V435&lt;=600000,(V435-400000)*25%+1500+2250+26000+45000,
IF(AND(V435&gt;600000,V435&lt;=1200000),(V435-400000)*25%+1500+2250+26000+45000
+IFERROR(LOOKUP(V435,{600001;700001;800001;900001},{4000;6750;10250;15250}),0),IF(V435&gt;1200000,((V435-1200000)*27.5%)+300000,0)
)))))))</f>
        <v>0</v>
      </c>
      <c r="X435" s="12">
        <f t="shared" si="112"/>
        <v>0</v>
      </c>
      <c r="Y435" s="12">
        <f t="shared" si="113"/>
        <v>0</v>
      </c>
      <c r="Z435" s="11"/>
      <c r="AA435" s="13">
        <f t="shared" si="114"/>
        <v>0</v>
      </c>
      <c r="AB435" s="12">
        <f t="shared" si="115"/>
        <v>0</v>
      </c>
      <c r="AC435" s="14">
        <f t="shared" si="103"/>
        <v>0</v>
      </c>
      <c r="AE435" s="19">
        <f t="shared" si="116"/>
        <v>0</v>
      </c>
      <c r="AF435" s="19"/>
      <c r="AG435" s="17"/>
      <c r="AK435" s="7"/>
      <c r="AL435" s="108">
        <f t="shared" si="104"/>
        <v>0</v>
      </c>
      <c r="AM435" s="108">
        <f t="shared" si="105"/>
        <v>0</v>
      </c>
      <c r="AN435" s="113"/>
    </row>
    <row r="436" spans="2:40" x14ac:dyDescent="0.2">
      <c r="B436" s="7"/>
      <c r="C436" s="8"/>
      <c r="D436" s="8"/>
      <c r="E436" s="9"/>
      <c r="F436" s="6"/>
      <c r="G436" s="8"/>
      <c r="H436" s="32"/>
      <c r="I436" s="10" t="str">
        <f t="shared" si="102"/>
        <v>21</v>
      </c>
      <c r="J436" s="11">
        <v>1</v>
      </c>
      <c r="K436" s="11"/>
      <c r="L436" s="11"/>
      <c r="M436" s="11">
        <f t="shared" si="106"/>
        <v>0</v>
      </c>
      <c r="N436" s="11"/>
      <c r="O436" s="11">
        <f t="shared" si="107"/>
        <v>0</v>
      </c>
      <c r="P436" s="11"/>
      <c r="Q436" s="11"/>
      <c r="R436" s="11"/>
      <c r="S436" s="11">
        <f t="shared" si="108"/>
        <v>0</v>
      </c>
      <c r="T436" s="11">
        <f t="shared" si="109"/>
        <v>1666.6666666666667</v>
      </c>
      <c r="U436" s="11">
        <f t="shared" si="110"/>
        <v>0</v>
      </c>
      <c r="V436" s="24">
        <f t="shared" si="111"/>
        <v>0</v>
      </c>
      <c r="W436" s="11">
        <f>IF(V436&lt;=40000,0,
IF(V436&lt;=55000,(V436-40000)*10%,
IF(V436&lt;=70000,(V436-55000)*15%+1500,
IF(V436&lt;=200000,(V436-70000)*20%+1500+2250,
IF(V436&lt;=400000,(V436-200000)*22.5%+1500+2250+26000,
IF(V436&lt;=600000,(V436-400000)*25%+1500+2250+26000+45000,
IF(AND(V436&gt;600000,V436&lt;=1200000),(V436-400000)*25%+1500+2250+26000+45000
+IFERROR(LOOKUP(V436,{600001;700001;800001;900001},{4000;6750;10250;15250}),0),IF(V436&gt;1200000,((V436-1200000)*27.5%)+300000,0)
)))))))</f>
        <v>0</v>
      </c>
      <c r="X436" s="12">
        <f t="shared" si="112"/>
        <v>0</v>
      </c>
      <c r="Y436" s="12">
        <f t="shared" si="113"/>
        <v>0</v>
      </c>
      <c r="Z436" s="11"/>
      <c r="AA436" s="13">
        <f t="shared" si="114"/>
        <v>0</v>
      </c>
      <c r="AB436" s="12">
        <f t="shared" si="115"/>
        <v>0</v>
      </c>
      <c r="AC436" s="14">
        <f t="shared" si="103"/>
        <v>0</v>
      </c>
      <c r="AE436" s="19">
        <f t="shared" si="116"/>
        <v>0</v>
      </c>
      <c r="AF436" s="19"/>
      <c r="AG436" s="17"/>
      <c r="AK436" s="7"/>
      <c r="AL436" s="108">
        <f t="shared" si="104"/>
        <v>0</v>
      </c>
      <c r="AM436" s="108">
        <f t="shared" si="105"/>
        <v>0</v>
      </c>
      <c r="AN436" s="113"/>
    </row>
    <row r="437" spans="2:40" x14ac:dyDescent="0.2">
      <c r="B437" s="7"/>
      <c r="C437" s="8"/>
      <c r="D437" s="8"/>
      <c r="E437" s="9"/>
      <c r="F437" s="6"/>
      <c r="G437" s="8"/>
      <c r="H437" s="32"/>
      <c r="I437" s="10" t="str">
        <f t="shared" si="102"/>
        <v>21</v>
      </c>
      <c r="J437" s="11">
        <v>1</v>
      </c>
      <c r="K437" s="11"/>
      <c r="L437" s="11"/>
      <c r="M437" s="11">
        <f t="shared" si="106"/>
        <v>0</v>
      </c>
      <c r="N437" s="11"/>
      <c r="O437" s="11">
        <f t="shared" si="107"/>
        <v>0</v>
      </c>
      <c r="P437" s="11"/>
      <c r="Q437" s="11"/>
      <c r="R437" s="11"/>
      <c r="S437" s="11">
        <f t="shared" si="108"/>
        <v>0</v>
      </c>
      <c r="T437" s="11">
        <f t="shared" si="109"/>
        <v>1666.6666666666667</v>
      </c>
      <c r="U437" s="11">
        <f t="shared" si="110"/>
        <v>0</v>
      </c>
      <c r="V437" s="24">
        <f t="shared" si="111"/>
        <v>0</v>
      </c>
      <c r="W437" s="11">
        <f>IF(V437&lt;=40000,0,
IF(V437&lt;=55000,(V437-40000)*10%,
IF(V437&lt;=70000,(V437-55000)*15%+1500,
IF(V437&lt;=200000,(V437-70000)*20%+1500+2250,
IF(V437&lt;=400000,(V437-200000)*22.5%+1500+2250+26000,
IF(V437&lt;=600000,(V437-400000)*25%+1500+2250+26000+45000,
IF(AND(V437&gt;600000,V437&lt;=1200000),(V437-400000)*25%+1500+2250+26000+45000
+IFERROR(LOOKUP(V437,{600001;700001;800001;900001},{4000;6750;10250;15250}),0),IF(V437&gt;1200000,((V437-1200000)*27.5%)+300000,0)
)))))))</f>
        <v>0</v>
      </c>
      <c r="X437" s="12">
        <f t="shared" si="112"/>
        <v>0</v>
      </c>
      <c r="Y437" s="12">
        <f t="shared" si="113"/>
        <v>0</v>
      </c>
      <c r="Z437" s="11"/>
      <c r="AA437" s="13">
        <f t="shared" si="114"/>
        <v>0</v>
      </c>
      <c r="AB437" s="12">
        <f t="shared" si="115"/>
        <v>0</v>
      </c>
      <c r="AC437" s="14">
        <f t="shared" si="103"/>
        <v>0</v>
      </c>
      <c r="AE437" s="19">
        <f t="shared" si="116"/>
        <v>0</v>
      </c>
      <c r="AF437" s="19"/>
      <c r="AG437" s="17"/>
      <c r="AK437" s="7"/>
      <c r="AL437" s="108">
        <f t="shared" si="104"/>
        <v>0</v>
      </c>
      <c r="AM437" s="108">
        <f t="shared" si="105"/>
        <v>0</v>
      </c>
      <c r="AN437" s="113"/>
    </row>
    <row r="438" spans="2:40" x14ac:dyDescent="0.2">
      <c r="B438" s="7"/>
      <c r="C438" s="8"/>
      <c r="D438" s="8"/>
      <c r="E438" s="9"/>
      <c r="F438" s="6"/>
      <c r="G438" s="8"/>
      <c r="H438" s="32"/>
      <c r="I438" s="10" t="str">
        <f t="shared" si="102"/>
        <v>21</v>
      </c>
      <c r="J438" s="11">
        <v>1</v>
      </c>
      <c r="K438" s="11"/>
      <c r="L438" s="11"/>
      <c r="M438" s="11">
        <f t="shared" si="106"/>
        <v>0</v>
      </c>
      <c r="N438" s="11"/>
      <c r="O438" s="11">
        <f t="shared" si="107"/>
        <v>0</v>
      </c>
      <c r="P438" s="11"/>
      <c r="Q438" s="11"/>
      <c r="R438" s="11"/>
      <c r="S438" s="11">
        <f t="shared" si="108"/>
        <v>0</v>
      </c>
      <c r="T438" s="11">
        <f t="shared" si="109"/>
        <v>1666.6666666666667</v>
      </c>
      <c r="U438" s="11">
        <f t="shared" si="110"/>
        <v>0</v>
      </c>
      <c r="V438" s="24">
        <f t="shared" si="111"/>
        <v>0</v>
      </c>
      <c r="W438" s="11">
        <f>IF(V438&lt;=40000,0,
IF(V438&lt;=55000,(V438-40000)*10%,
IF(V438&lt;=70000,(V438-55000)*15%+1500,
IF(V438&lt;=200000,(V438-70000)*20%+1500+2250,
IF(V438&lt;=400000,(V438-200000)*22.5%+1500+2250+26000,
IF(V438&lt;=600000,(V438-400000)*25%+1500+2250+26000+45000,
IF(AND(V438&gt;600000,V438&lt;=1200000),(V438-400000)*25%+1500+2250+26000+45000
+IFERROR(LOOKUP(V438,{600001;700001;800001;900001},{4000;6750;10250;15250}),0),IF(V438&gt;1200000,((V438-1200000)*27.5%)+300000,0)
)))))))</f>
        <v>0</v>
      </c>
      <c r="X438" s="12">
        <f t="shared" si="112"/>
        <v>0</v>
      </c>
      <c r="Y438" s="12">
        <f t="shared" si="113"/>
        <v>0</v>
      </c>
      <c r="Z438" s="11"/>
      <c r="AA438" s="13">
        <f t="shared" si="114"/>
        <v>0</v>
      </c>
      <c r="AB438" s="12">
        <f t="shared" si="115"/>
        <v>0</v>
      </c>
      <c r="AC438" s="14">
        <f t="shared" si="103"/>
        <v>0</v>
      </c>
      <c r="AE438" s="19">
        <f t="shared" si="116"/>
        <v>0</v>
      </c>
      <c r="AF438" s="19"/>
      <c r="AG438" s="17"/>
      <c r="AK438" s="7"/>
      <c r="AL438" s="108">
        <f t="shared" si="104"/>
        <v>0</v>
      </c>
      <c r="AM438" s="108">
        <f t="shared" si="105"/>
        <v>0</v>
      </c>
      <c r="AN438" s="113"/>
    </row>
    <row r="439" spans="2:40" x14ac:dyDescent="0.2">
      <c r="B439" s="7"/>
      <c r="C439" s="8"/>
      <c r="D439" s="8"/>
      <c r="E439" s="9"/>
      <c r="F439" s="6"/>
      <c r="G439" s="8"/>
      <c r="H439" s="32"/>
      <c r="I439" s="10" t="str">
        <f t="shared" si="102"/>
        <v>21</v>
      </c>
      <c r="J439" s="11">
        <v>1</v>
      </c>
      <c r="K439" s="11"/>
      <c r="L439" s="11"/>
      <c r="M439" s="11">
        <f t="shared" si="106"/>
        <v>0</v>
      </c>
      <c r="N439" s="11"/>
      <c r="O439" s="11">
        <f t="shared" si="107"/>
        <v>0</v>
      </c>
      <c r="P439" s="11"/>
      <c r="Q439" s="11"/>
      <c r="R439" s="11"/>
      <c r="S439" s="11">
        <f t="shared" si="108"/>
        <v>0</v>
      </c>
      <c r="T439" s="11">
        <f t="shared" si="109"/>
        <v>1666.6666666666667</v>
      </c>
      <c r="U439" s="11">
        <f t="shared" si="110"/>
        <v>0</v>
      </c>
      <c r="V439" s="24">
        <f t="shared" si="111"/>
        <v>0</v>
      </c>
      <c r="W439" s="11">
        <f>IF(V439&lt;=40000,0,
IF(V439&lt;=55000,(V439-40000)*10%,
IF(V439&lt;=70000,(V439-55000)*15%+1500,
IF(V439&lt;=200000,(V439-70000)*20%+1500+2250,
IF(V439&lt;=400000,(V439-200000)*22.5%+1500+2250+26000,
IF(V439&lt;=600000,(V439-400000)*25%+1500+2250+26000+45000,
IF(AND(V439&gt;600000,V439&lt;=1200000),(V439-400000)*25%+1500+2250+26000+45000
+IFERROR(LOOKUP(V439,{600001;700001;800001;900001},{4000;6750;10250;15250}),0),IF(V439&gt;1200000,((V439-1200000)*27.5%)+300000,0)
)))))))</f>
        <v>0</v>
      </c>
      <c r="X439" s="12">
        <f t="shared" si="112"/>
        <v>0</v>
      </c>
      <c r="Y439" s="12">
        <f t="shared" si="113"/>
        <v>0</v>
      </c>
      <c r="Z439" s="11"/>
      <c r="AA439" s="13">
        <f t="shared" si="114"/>
        <v>0</v>
      </c>
      <c r="AB439" s="12">
        <f t="shared" si="115"/>
        <v>0</v>
      </c>
      <c r="AC439" s="14">
        <f t="shared" si="103"/>
        <v>0</v>
      </c>
      <c r="AE439" s="19">
        <f t="shared" si="116"/>
        <v>0</v>
      </c>
      <c r="AF439" s="19"/>
      <c r="AG439" s="17"/>
      <c r="AK439" s="7"/>
      <c r="AL439" s="108">
        <f t="shared" si="104"/>
        <v>0</v>
      </c>
      <c r="AM439" s="108">
        <f t="shared" si="105"/>
        <v>0</v>
      </c>
      <c r="AN439" s="113"/>
    </row>
    <row r="440" spans="2:40" x14ac:dyDescent="0.2">
      <c r="B440" s="7"/>
      <c r="C440" s="8"/>
      <c r="D440" s="8"/>
      <c r="E440" s="9"/>
      <c r="F440" s="6"/>
      <c r="G440" s="8"/>
      <c r="H440" s="32"/>
      <c r="I440" s="10" t="str">
        <f t="shared" si="102"/>
        <v>21</v>
      </c>
      <c r="J440" s="11">
        <v>1</v>
      </c>
      <c r="K440" s="11"/>
      <c r="L440" s="11"/>
      <c r="M440" s="11">
        <f t="shared" si="106"/>
        <v>0</v>
      </c>
      <c r="N440" s="11"/>
      <c r="O440" s="11">
        <f t="shared" si="107"/>
        <v>0</v>
      </c>
      <c r="P440" s="11"/>
      <c r="Q440" s="11"/>
      <c r="R440" s="11"/>
      <c r="S440" s="11">
        <f t="shared" si="108"/>
        <v>0</v>
      </c>
      <c r="T440" s="11">
        <f t="shared" si="109"/>
        <v>1666.6666666666667</v>
      </c>
      <c r="U440" s="11">
        <f t="shared" si="110"/>
        <v>0</v>
      </c>
      <c r="V440" s="24">
        <f t="shared" si="111"/>
        <v>0</v>
      </c>
      <c r="W440" s="11">
        <f>IF(V440&lt;=40000,0,
IF(V440&lt;=55000,(V440-40000)*10%,
IF(V440&lt;=70000,(V440-55000)*15%+1500,
IF(V440&lt;=200000,(V440-70000)*20%+1500+2250,
IF(V440&lt;=400000,(V440-200000)*22.5%+1500+2250+26000,
IF(V440&lt;=600000,(V440-400000)*25%+1500+2250+26000+45000,
IF(AND(V440&gt;600000,V440&lt;=1200000),(V440-400000)*25%+1500+2250+26000+45000
+IFERROR(LOOKUP(V440,{600001;700001;800001;900001},{4000;6750;10250;15250}),0),IF(V440&gt;1200000,((V440-1200000)*27.5%)+300000,0)
)))))))</f>
        <v>0</v>
      </c>
      <c r="X440" s="12">
        <f t="shared" si="112"/>
        <v>0</v>
      </c>
      <c r="Y440" s="12">
        <f t="shared" si="113"/>
        <v>0</v>
      </c>
      <c r="Z440" s="11"/>
      <c r="AA440" s="13">
        <f t="shared" si="114"/>
        <v>0</v>
      </c>
      <c r="AB440" s="12">
        <f t="shared" si="115"/>
        <v>0</v>
      </c>
      <c r="AC440" s="14">
        <f t="shared" si="103"/>
        <v>0</v>
      </c>
      <c r="AE440" s="19">
        <f t="shared" si="116"/>
        <v>0</v>
      </c>
      <c r="AF440" s="19"/>
      <c r="AG440" s="17"/>
      <c r="AK440" s="7"/>
      <c r="AL440" s="108">
        <f t="shared" si="104"/>
        <v>0</v>
      </c>
      <c r="AM440" s="108">
        <f t="shared" si="105"/>
        <v>0</v>
      </c>
      <c r="AN440" s="113"/>
    </row>
    <row r="441" spans="2:40" x14ac:dyDescent="0.2">
      <c r="B441" s="7"/>
      <c r="C441" s="8"/>
      <c r="D441" s="8"/>
      <c r="E441" s="9"/>
      <c r="F441" s="6"/>
      <c r="G441" s="8"/>
      <c r="H441" s="32"/>
      <c r="I441" s="10" t="str">
        <f t="shared" si="102"/>
        <v>21</v>
      </c>
      <c r="J441" s="11">
        <v>1</v>
      </c>
      <c r="K441" s="11"/>
      <c r="L441" s="11"/>
      <c r="M441" s="11">
        <f t="shared" si="106"/>
        <v>0</v>
      </c>
      <c r="N441" s="11"/>
      <c r="O441" s="11">
        <f t="shared" si="107"/>
        <v>0</v>
      </c>
      <c r="P441" s="11"/>
      <c r="Q441" s="11"/>
      <c r="R441" s="11"/>
      <c r="S441" s="11">
        <f t="shared" si="108"/>
        <v>0</v>
      </c>
      <c r="T441" s="11">
        <f t="shared" si="109"/>
        <v>1666.6666666666667</v>
      </c>
      <c r="U441" s="11">
        <f t="shared" si="110"/>
        <v>0</v>
      </c>
      <c r="V441" s="24">
        <f t="shared" si="111"/>
        <v>0</v>
      </c>
      <c r="W441" s="11">
        <f>IF(V441&lt;=40000,0,
IF(V441&lt;=55000,(V441-40000)*10%,
IF(V441&lt;=70000,(V441-55000)*15%+1500,
IF(V441&lt;=200000,(V441-70000)*20%+1500+2250,
IF(V441&lt;=400000,(V441-200000)*22.5%+1500+2250+26000,
IF(V441&lt;=600000,(V441-400000)*25%+1500+2250+26000+45000,
IF(AND(V441&gt;600000,V441&lt;=1200000),(V441-400000)*25%+1500+2250+26000+45000
+IFERROR(LOOKUP(V441,{600001;700001;800001;900001},{4000;6750;10250;15250}),0),IF(V441&gt;1200000,((V441-1200000)*27.5%)+300000,0)
)))))))</f>
        <v>0</v>
      </c>
      <c r="X441" s="12">
        <f t="shared" si="112"/>
        <v>0</v>
      </c>
      <c r="Y441" s="12">
        <f t="shared" si="113"/>
        <v>0</v>
      </c>
      <c r="Z441" s="11"/>
      <c r="AA441" s="13">
        <f t="shared" si="114"/>
        <v>0</v>
      </c>
      <c r="AB441" s="12">
        <f t="shared" si="115"/>
        <v>0</v>
      </c>
      <c r="AC441" s="14">
        <f t="shared" si="103"/>
        <v>0</v>
      </c>
      <c r="AE441" s="19">
        <f t="shared" si="116"/>
        <v>0</v>
      </c>
      <c r="AF441" s="19"/>
      <c r="AG441" s="17"/>
      <c r="AK441" s="7"/>
      <c r="AL441" s="108">
        <f t="shared" si="104"/>
        <v>0</v>
      </c>
      <c r="AM441" s="108">
        <f t="shared" si="105"/>
        <v>0</v>
      </c>
      <c r="AN441" s="113"/>
    </row>
    <row r="442" spans="2:40" x14ac:dyDescent="0.2">
      <c r="B442" s="7"/>
      <c r="C442" s="8"/>
      <c r="D442" s="8"/>
      <c r="E442" s="9"/>
      <c r="F442" s="6"/>
      <c r="G442" s="8"/>
      <c r="H442" s="32"/>
      <c r="I442" s="10" t="str">
        <f t="shared" si="102"/>
        <v>21</v>
      </c>
      <c r="J442" s="11">
        <v>1</v>
      </c>
      <c r="K442" s="11"/>
      <c r="L442" s="11"/>
      <c r="M442" s="11">
        <f t="shared" si="106"/>
        <v>0</v>
      </c>
      <c r="N442" s="11"/>
      <c r="O442" s="11">
        <f t="shared" si="107"/>
        <v>0</v>
      </c>
      <c r="P442" s="11"/>
      <c r="Q442" s="11"/>
      <c r="R442" s="11"/>
      <c r="S442" s="11">
        <f t="shared" si="108"/>
        <v>0</v>
      </c>
      <c r="T442" s="11">
        <f t="shared" si="109"/>
        <v>1666.6666666666667</v>
      </c>
      <c r="U442" s="11">
        <f t="shared" si="110"/>
        <v>0</v>
      </c>
      <c r="V442" s="24">
        <f t="shared" si="111"/>
        <v>0</v>
      </c>
      <c r="W442" s="11">
        <f>IF(V442&lt;=40000,0,
IF(V442&lt;=55000,(V442-40000)*10%,
IF(V442&lt;=70000,(V442-55000)*15%+1500,
IF(V442&lt;=200000,(V442-70000)*20%+1500+2250,
IF(V442&lt;=400000,(V442-200000)*22.5%+1500+2250+26000,
IF(V442&lt;=600000,(V442-400000)*25%+1500+2250+26000+45000,
IF(AND(V442&gt;600000,V442&lt;=1200000),(V442-400000)*25%+1500+2250+26000+45000
+IFERROR(LOOKUP(V442,{600001;700001;800001;900001},{4000;6750;10250;15250}),0),IF(V442&gt;1200000,((V442-1200000)*27.5%)+300000,0)
)))))))</f>
        <v>0</v>
      </c>
      <c r="X442" s="12">
        <f t="shared" si="112"/>
        <v>0</v>
      </c>
      <c r="Y442" s="12">
        <f t="shared" si="113"/>
        <v>0</v>
      </c>
      <c r="Z442" s="11"/>
      <c r="AA442" s="13">
        <f t="shared" si="114"/>
        <v>0</v>
      </c>
      <c r="AB442" s="12">
        <f t="shared" si="115"/>
        <v>0</v>
      </c>
      <c r="AC442" s="14">
        <f t="shared" si="103"/>
        <v>0</v>
      </c>
      <c r="AE442" s="19">
        <f t="shared" si="116"/>
        <v>0</v>
      </c>
      <c r="AF442" s="19"/>
      <c r="AG442" s="17"/>
      <c r="AK442" s="7"/>
      <c r="AL442" s="108">
        <f t="shared" si="104"/>
        <v>0</v>
      </c>
      <c r="AM442" s="108">
        <f t="shared" si="105"/>
        <v>0</v>
      </c>
      <c r="AN442" s="113"/>
    </row>
    <row r="443" spans="2:40" x14ac:dyDescent="0.2">
      <c r="B443" s="7"/>
      <c r="C443" s="8"/>
      <c r="D443" s="8"/>
      <c r="E443" s="9"/>
      <c r="F443" s="6"/>
      <c r="G443" s="8"/>
      <c r="H443" s="32"/>
      <c r="I443" s="10" t="str">
        <f t="shared" si="102"/>
        <v>21</v>
      </c>
      <c r="J443" s="11">
        <v>1</v>
      </c>
      <c r="K443" s="11"/>
      <c r="L443" s="11"/>
      <c r="M443" s="11">
        <f t="shared" si="106"/>
        <v>0</v>
      </c>
      <c r="N443" s="11"/>
      <c r="O443" s="11">
        <f t="shared" si="107"/>
        <v>0</v>
      </c>
      <c r="P443" s="11"/>
      <c r="Q443" s="11"/>
      <c r="R443" s="11"/>
      <c r="S443" s="11">
        <f t="shared" si="108"/>
        <v>0</v>
      </c>
      <c r="T443" s="11">
        <f t="shared" si="109"/>
        <v>1666.6666666666667</v>
      </c>
      <c r="U443" s="11">
        <f t="shared" si="110"/>
        <v>0</v>
      </c>
      <c r="V443" s="24">
        <f t="shared" si="111"/>
        <v>0</v>
      </c>
      <c r="W443" s="11">
        <f>IF(V443&lt;=40000,0,
IF(V443&lt;=55000,(V443-40000)*10%,
IF(V443&lt;=70000,(V443-55000)*15%+1500,
IF(V443&lt;=200000,(V443-70000)*20%+1500+2250,
IF(V443&lt;=400000,(V443-200000)*22.5%+1500+2250+26000,
IF(V443&lt;=600000,(V443-400000)*25%+1500+2250+26000+45000,
IF(AND(V443&gt;600000,V443&lt;=1200000),(V443-400000)*25%+1500+2250+26000+45000
+IFERROR(LOOKUP(V443,{600001;700001;800001;900001},{4000;6750;10250;15250}),0),IF(V443&gt;1200000,((V443-1200000)*27.5%)+300000,0)
)))))))</f>
        <v>0</v>
      </c>
      <c r="X443" s="12">
        <f t="shared" si="112"/>
        <v>0</v>
      </c>
      <c r="Y443" s="12">
        <f t="shared" si="113"/>
        <v>0</v>
      </c>
      <c r="Z443" s="11"/>
      <c r="AA443" s="13">
        <f t="shared" si="114"/>
        <v>0</v>
      </c>
      <c r="AB443" s="12">
        <f t="shared" si="115"/>
        <v>0</v>
      </c>
      <c r="AC443" s="14">
        <f t="shared" si="103"/>
        <v>0</v>
      </c>
      <c r="AE443" s="19">
        <f t="shared" si="116"/>
        <v>0</v>
      </c>
      <c r="AF443" s="19"/>
      <c r="AG443" s="17"/>
      <c r="AK443" s="7"/>
      <c r="AL443" s="108">
        <f t="shared" si="104"/>
        <v>0</v>
      </c>
      <c r="AM443" s="108">
        <f t="shared" si="105"/>
        <v>0</v>
      </c>
      <c r="AN443" s="113"/>
    </row>
    <row r="444" spans="2:40" x14ac:dyDescent="0.2">
      <c r="B444" s="7"/>
      <c r="C444" s="8"/>
      <c r="D444" s="8"/>
      <c r="E444" s="9"/>
      <c r="F444" s="6"/>
      <c r="G444" s="8"/>
      <c r="H444" s="32"/>
      <c r="I444" s="10" t="str">
        <f t="shared" si="102"/>
        <v>21</v>
      </c>
      <c r="J444" s="11">
        <v>1</v>
      </c>
      <c r="K444" s="11"/>
      <c r="L444" s="11"/>
      <c r="M444" s="11">
        <f t="shared" si="106"/>
        <v>0</v>
      </c>
      <c r="N444" s="11"/>
      <c r="O444" s="11">
        <f t="shared" si="107"/>
        <v>0</v>
      </c>
      <c r="P444" s="11"/>
      <c r="Q444" s="11"/>
      <c r="R444" s="11"/>
      <c r="S444" s="11">
        <f t="shared" si="108"/>
        <v>0</v>
      </c>
      <c r="T444" s="11">
        <f t="shared" si="109"/>
        <v>1666.6666666666667</v>
      </c>
      <c r="U444" s="11">
        <f t="shared" si="110"/>
        <v>0</v>
      </c>
      <c r="V444" s="24">
        <f t="shared" si="111"/>
        <v>0</v>
      </c>
      <c r="W444" s="11">
        <f>IF(V444&lt;=40000,0,
IF(V444&lt;=55000,(V444-40000)*10%,
IF(V444&lt;=70000,(V444-55000)*15%+1500,
IF(V444&lt;=200000,(V444-70000)*20%+1500+2250,
IF(V444&lt;=400000,(V444-200000)*22.5%+1500+2250+26000,
IF(V444&lt;=600000,(V444-400000)*25%+1500+2250+26000+45000,
IF(AND(V444&gt;600000,V444&lt;=1200000),(V444-400000)*25%+1500+2250+26000+45000
+IFERROR(LOOKUP(V444,{600001;700001;800001;900001},{4000;6750;10250;15250}),0),IF(V444&gt;1200000,((V444-1200000)*27.5%)+300000,0)
)))))))</f>
        <v>0</v>
      </c>
      <c r="X444" s="12">
        <f t="shared" si="112"/>
        <v>0</v>
      </c>
      <c r="Y444" s="12">
        <f t="shared" si="113"/>
        <v>0</v>
      </c>
      <c r="Z444" s="11"/>
      <c r="AA444" s="13">
        <f t="shared" si="114"/>
        <v>0</v>
      </c>
      <c r="AB444" s="12">
        <f t="shared" si="115"/>
        <v>0</v>
      </c>
      <c r="AC444" s="14">
        <f t="shared" si="103"/>
        <v>0</v>
      </c>
      <c r="AE444" s="19">
        <f t="shared" si="116"/>
        <v>0</v>
      </c>
      <c r="AF444" s="19"/>
      <c r="AG444" s="17"/>
      <c r="AK444" s="7"/>
      <c r="AL444" s="108">
        <f t="shared" si="104"/>
        <v>0</v>
      </c>
      <c r="AM444" s="108">
        <f t="shared" si="105"/>
        <v>0</v>
      </c>
      <c r="AN444" s="113"/>
    </row>
    <row r="445" spans="2:40" x14ac:dyDescent="0.2">
      <c r="B445" s="7"/>
      <c r="C445" s="8"/>
      <c r="D445" s="8"/>
      <c r="E445" s="9"/>
      <c r="F445" s="6"/>
      <c r="G445" s="8"/>
      <c r="H445" s="32"/>
      <c r="I445" s="10" t="str">
        <f t="shared" si="102"/>
        <v>21</v>
      </c>
      <c r="J445" s="11">
        <v>1</v>
      </c>
      <c r="K445" s="11"/>
      <c r="L445" s="11"/>
      <c r="M445" s="11">
        <f t="shared" si="106"/>
        <v>0</v>
      </c>
      <c r="N445" s="11"/>
      <c r="O445" s="11">
        <f t="shared" si="107"/>
        <v>0</v>
      </c>
      <c r="P445" s="11"/>
      <c r="Q445" s="11"/>
      <c r="R445" s="11"/>
      <c r="S445" s="11">
        <f t="shared" si="108"/>
        <v>0</v>
      </c>
      <c r="T445" s="11">
        <f t="shared" si="109"/>
        <v>1666.6666666666667</v>
      </c>
      <c r="U445" s="11">
        <f t="shared" si="110"/>
        <v>0</v>
      </c>
      <c r="V445" s="24">
        <f t="shared" si="111"/>
        <v>0</v>
      </c>
      <c r="W445" s="11">
        <f>IF(V445&lt;=40000,0,
IF(V445&lt;=55000,(V445-40000)*10%,
IF(V445&lt;=70000,(V445-55000)*15%+1500,
IF(V445&lt;=200000,(V445-70000)*20%+1500+2250,
IF(V445&lt;=400000,(V445-200000)*22.5%+1500+2250+26000,
IF(V445&lt;=600000,(V445-400000)*25%+1500+2250+26000+45000,
IF(AND(V445&gt;600000,V445&lt;=1200000),(V445-400000)*25%+1500+2250+26000+45000
+IFERROR(LOOKUP(V445,{600001;700001;800001;900001},{4000;6750;10250;15250}),0),IF(V445&gt;1200000,((V445-1200000)*27.5%)+300000,0)
)))))))</f>
        <v>0</v>
      </c>
      <c r="X445" s="12">
        <f t="shared" si="112"/>
        <v>0</v>
      </c>
      <c r="Y445" s="12">
        <f t="shared" si="113"/>
        <v>0</v>
      </c>
      <c r="Z445" s="11"/>
      <c r="AA445" s="13">
        <f t="shared" si="114"/>
        <v>0</v>
      </c>
      <c r="AB445" s="12">
        <f t="shared" si="115"/>
        <v>0</v>
      </c>
      <c r="AC445" s="14">
        <f t="shared" si="103"/>
        <v>0</v>
      </c>
      <c r="AE445" s="19">
        <f t="shared" si="116"/>
        <v>0</v>
      </c>
      <c r="AF445" s="19"/>
      <c r="AG445" s="17"/>
      <c r="AK445" s="7"/>
      <c r="AL445" s="108">
        <f t="shared" si="104"/>
        <v>0</v>
      </c>
      <c r="AM445" s="108">
        <f t="shared" si="105"/>
        <v>0</v>
      </c>
      <c r="AN445" s="113"/>
    </row>
    <row r="446" spans="2:40" x14ac:dyDescent="0.2">
      <c r="B446" s="7"/>
      <c r="C446" s="8"/>
      <c r="D446" s="8"/>
      <c r="E446" s="9"/>
      <c r="F446" s="6"/>
      <c r="G446" s="8"/>
      <c r="H446" s="32"/>
      <c r="I446" s="10" t="str">
        <f t="shared" si="102"/>
        <v>21</v>
      </c>
      <c r="J446" s="11">
        <v>1</v>
      </c>
      <c r="K446" s="11"/>
      <c r="L446" s="11"/>
      <c r="M446" s="11">
        <f t="shared" si="106"/>
        <v>0</v>
      </c>
      <c r="N446" s="11"/>
      <c r="O446" s="11">
        <f t="shared" si="107"/>
        <v>0</v>
      </c>
      <c r="P446" s="11"/>
      <c r="Q446" s="11"/>
      <c r="R446" s="11"/>
      <c r="S446" s="11">
        <f t="shared" si="108"/>
        <v>0</v>
      </c>
      <c r="T446" s="11">
        <f t="shared" si="109"/>
        <v>1666.6666666666667</v>
      </c>
      <c r="U446" s="11">
        <f t="shared" si="110"/>
        <v>0</v>
      </c>
      <c r="V446" s="24">
        <f t="shared" si="111"/>
        <v>0</v>
      </c>
      <c r="W446" s="11">
        <f>IF(V446&lt;=40000,0,
IF(V446&lt;=55000,(V446-40000)*10%,
IF(V446&lt;=70000,(V446-55000)*15%+1500,
IF(V446&lt;=200000,(V446-70000)*20%+1500+2250,
IF(V446&lt;=400000,(V446-200000)*22.5%+1500+2250+26000,
IF(V446&lt;=600000,(V446-400000)*25%+1500+2250+26000+45000,
IF(AND(V446&gt;600000,V446&lt;=1200000),(V446-400000)*25%+1500+2250+26000+45000
+IFERROR(LOOKUP(V446,{600001;700001;800001;900001},{4000;6750;10250;15250}),0),IF(V446&gt;1200000,((V446-1200000)*27.5%)+300000,0)
)))))))</f>
        <v>0</v>
      </c>
      <c r="X446" s="12">
        <f t="shared" si="112"/>
        <v>0</v>
      </c>
      <c r="Y446" s="12">
        <f t="shared" si="113"/>
        <v>0</v>
      </c>
      <c r="Z446" s="11"/>
      <c r="AA446" s="13">
        <f t="shared" si="114"/>
        <v>0</v>
      </c>
      <c r="AB446" s="12">
        <f t="shared" si="115"/>
        <v>0</v>
      </c>
      <c r="AC446" s="14">
        <f t="shared" si="103"/>
        <v>0</v>
      </c>
      <c r="AE446" s="19">
        <f t="shared" si="116"/>
        <v>0</v>
      </c>
      <c r="AF446" s="19"/>
      <c r="AG446" s="17"/>
      <c r="AK446" s="7"/>
      <c r="AL446" s="108">
        <f t="shared" si="104"/>
        <v>0</v>
      </c>
      <c r="AM446" s="108">
        <f t="shared" si="105"/>
        <v>0</v>
      </c>
      <c r="AN446" s="113"/>
    </row>
    <row r="447" spans="2:40" x14ac:dyDescent="0.2">
      <c r="B447" s="7"/>
      <c r="C447" s="8"/>
      <c r="D447" s="8"/>
      <c r="E447" s="9"/>
      <c r="F447" s="6"/>
      <c r="G447" s="8"/>
      <c r="H447" s="32"/>
      <c r="I447" s="10" t="str">
        <f t="shared" si="102"/>
        <v>21</v>
      </c>
      <c r="J447" s="11">
        <v>1</v>
      </c>
      <c r="K447" s="11"/>
      <c r="L447" s="11"/>
      <c r="M447" s="11">
        <f t="shared" si="106"/>
        <v>0</v>
      </c>
      <c r="N447" s="11"/>
      <c r="O447" s="11">
        <f t="shared" si="107"/>
        <v>0</v>
      </c>
      <c r="P447" s="11"/>
      <c r="Q447" s="11"/>
      <c r="R447" s="11"/>
      <c r="S447" s="11">
        <f t="shared" si="108"/>
        <v>0</v>
      </c>
      <c r="T447" s="11">
        <f t="shared" si="109"/>
        <v>1666.6666666666667</v>
      </c>
      <c r="U447" s="11">
        <f t="shared" si="110"/>
        <v>0</v>
      </c>
      <c r="V447" s="24">
        <f t="shared" si="111"/>
        <v>0</v>
      </c>
      <c r="W447" s="11">
        <f>IF(V447&lt;=40000,0,
IF(V447&lt;=55000,(V447-40000)*10%,
IF(V447&lt;=70000,(V447-55000)*15%+1500,
IF(V447&lt;=200000,(V447-70000)*20%+1500+2250,
IF(V447&lt;=400000,(V447-200000)*22.5%+1500+2250+26000,
IF(V447&lt;=600000,(V447-400000)*25%+1500+2250+26000+45000,
IF(AND(V447&gt;600000,V447&lt;=1200000),(V447-400000)*25%+1500+2250+26000+45000
+IFERROR(LOOKUP(V447,{600001;700001;800001;900001},{4000;6750;10250;15250}),0),IF(V447&gt;1200000,((V447-1200000)*27.5%)+300000,0)
)))))))</f>
        <v>0</v>
      </c>
      <c r="X447" s="12">
        <f t="shared" si="112"/>
        <v>0</v>
      </c>
      <c r="Y447" s="12">
        <f t="shared" si="113"/>
        <v>0</v>
      </c>
      <c r="Z447" s="11"/>
      <c r="AA447" s="13">
        <f t="shared" si="114"/>
        <v>0</v>
      </c>
      <c r="AB447" s="12">
        <f t="shared" si="115"/>
        <v>0</v>
      </c>
      <c r="AC447" s="14">
        <f t="shared" si="103"/>
        <v>0</v>
      </c>
      <c r="AE447" s="19">
        <f t="shared" si="116"/>
        <v>0</v>
      </c>
      <c r="AF447" s="19"/>
      <c r="AG447" s="17"/>
      <c r="AK447" s="7"/>
      <c r="AL447" s="108">
        <f t="shared" si="104"/>
        <v>0</v>
      </c>
      <c r="AM447" s="108">
        <f t="shared" si="105"/>
        <v>0</v>
      </c>
      <c r="AN447" s="113"/>
    </row>
    <row r="448" spans="2:40" x14ac:dyDescent="0.2">
      <c r="B448" s="7"/>
      <c r="C448" s="8"/>
      <c r="D448" s="8"/>
      <c r="E448" s="9"/>
      <c r="F448" s="6"/>
      <c r="G448" s="8"/>
      <c r="H448" s="32"/>
      <c r="I448" s="10" t="str">
        <f t="shared" si="102"/>
        <v>21</v>
      </c>
      <c r="J448" s="11">
        <v>1</v>
      </c>
      <c r="K448" s="11"/>
      <c r="L448" s="11"/>
      <c r="M448" s="11">
        <f t="shared" si="106"/>
        <v>0</v>
      </c>
      <c r="N448" s="11"/>
      <c r="O448" s="11">
        <f t="shared" si="107"/>
        <v>0</v>
      </c>
      <c r="P448" s="11"/>
      <c r="Q448" s="11"/>
      <c r="R448" s="11"/>
      <c r="S448" s="11">
        <f t="shared" si="108"/>
        <v>0</v>
      </c>
      <c r="T448" s="11">
        <f t="shared" si="109"/>
        <v>1666.6666666666667</v>
      </c>
      <c r="U448" s="11">
        <f t="shared" si="110"/>
        <v>0</v>
      </c>
      <c r="V448" s="24">
        <f t="shared" si="111"/>
        <v>0</v>
      </c>
      <c r="W448" s="11">
        <f>IF(V448&lt;=40000,0,
IF(V448&lt;=55000,(V448-40000)*10%,
IF(V448&lt;=70000,(V448-55000)*15%+1500,
IF(V448&lt;=200000,(V448-70000)*20%+1500+2250,
IF(V448&lt;=400000,(V448-200000)*22.5%+1500+2250+26000,
IF(V448&lt;=600000,(V448-400000)*25%+1500+2250+26000+45000,
IF(AND(V448&gt;600000,V448&lt;=1200000),(V448-400000)*25%+1500+2250+26000+45000
+IFERROR(LOOKUP(V448,{600001;700001;800001;900001},{4000;6750;10250;15250}),0),IF(V448&gt;1200000,((V448-1200000)*27.5%)+300000,0)
)))))))</f>
        <v>0</v>
      </c>
      <c r="X448" s="12">
        <f t="shared" si="112"/>
        <v>0</v>
      </c>
      <c r="Y448" s="12">
        <f t="shared" si="113"/>
        <v>0</v>
      </c>
      <c r="Z448" s="11"/>
      <c r="AA448" s="13">
        <f t="shared" si="114"/>
        <v>0</v>
      </c>
      <c r="AB448" s="12">
        <f t="shared" si="115"/>
        <v>0</v>
      </c>
      <c r="AC448" s="14">
        <f t="shared" si="103"/>
        <v>0</v>
      </c>
      <c r="AE448" s="19">
        <f t="shared" si="116"/>
        <v>0</v>
      </c>
      <c r="AF448" s="19"/>
      <c r="AG448" s="17"/>
      <c r="AK448" s="7"/>
      <c r="AL448" s="108">
        <f t="shared" si="104"/>
        <v>0</v>
      </c>
      <c r="AM448" s="108">
        <f t="shared" si="105"/>
        <v>0</v>
      </c>
      <c r="AN448" s="113"/>
    </row>
    <row r="449" spans="2:40" x14ac:dyDescent="0.2">
      <c r="B449" s="7"/>
      <c r="C449" s="8"/>
      <c r="D449" s="8"/>
      <c r="E449" s="9"/>
      <c r="F449" s="6"/>
      <c r="G449" s="8"/>
      <c r="H449" s="32"/>
      <c r="I449" s="10" t="str">
        <f t="shared" si="102"/>
        <v>21</v>
      </c>
      <c r="J449" s="11">
        <v>1</v>
      </c>
      <c r="K449" s="11"/>
      <c r="L449" s="11"/>
      <c r="M449" s="11">
        <f t="shared" si="106"/>
        <v>0</v>
      </c>
      <c r="N449" s="11"/>
      <c r="O449" s="11">
        <f t="shared" si="107"/>
        <v>0</v>
      </c>
      <c r="P449" s="11"/>
      <c r="Q449" s="11"/>
      <c r="R449" s="11"/>
      <c r="S449" s="11">
        <f t="shared" si="108"/>
        <v>0</v>
      </c>
      <c r="T449" s="11">
        <f t="shared" si="109"/>
        <v>1666.6666666666667</v>
      </c>
      <c r="U449" s="11">
        <f t="shared" si="110"/>
        <v>0</v>
      </c>
      <c r="V449" s="24">
        <f t="shared" si="111"/>
        <v>0</v>
      </c>
      <c r="W449" s="11">
        <f>IF(V449&lt;=40000,0,
IF(V449&lt;=55000,(V449-40000)*10%,
IF(V449&lt;=70000,(V449-55000)*15%+1500,
IF(V449&lt;=200000,(V449-70000)*20%+1500+2250,
IF(V449&lt;=400000,(V449-200000)*22.5%+1500+2250+26000,
IF(V449&lt;=600000,(V449-400000)*25%+1500+2250+26000+45000,
IF(AND(V449&gt;600000,V449&lt;=1200000),(V449-400000)*25%+1500+2250+26000+45000
+IFERROR(LOOKUP(V449,{600001;700001;800001;900001},{4000;6750;10250;15250}),0),IF(V449&gt;1200000,((V449-1200000)*27.5%)+300000,0)
)))))))</f>
        <v>0</v>
      </c>
      <c r="X449" s="12">
        <f t="shared" si="112"/>
        <v>0</v>
      </c>
      <c r="Y449" s="12">
        <f t="shared" si="113"/>
        <v>0</v>
      </c>
      <c r="Z449" s="11"/>
      <c r="AA449" s="13">
        <f t="shared" si="114"/>
        <v>0</v>
      </c>
      <c r="AB449" s="12">
        <f t="shared" si="115"/>
        <v>0</v>
      </c>
      <c r="AC449" s="14">
        <f t="shared" si="103"/>
        <v>0</v>
      </c>
      <c r="AE449" s="19">
        <f t="shared" si="116"/>
        <v>0</v>
      </c>
      <c r="AF449" s="19"/>
      <c r="AG449" s="17"/>
      <c r="AK449" s="7"/>
      <c r="AL449" s="108">
        <f t="shared" si="104"/>
        <v>0</v>
      </c>
      <c r="AM449" s="108">
        <f t="shared" si="105"/>
        <v>0</v>
      </c>
      <c r="AN449" s="113"/>
    </row>
    <row r="450" spans="2:40" x14ac:dyDescent="0.2">
      <c r="B450" s="7"/>
      <c r="C450" s="8"/>
      <c r="D450" s="8"/>
      <c r="E450" s="9"/>
      <c r="F450" s="6"/>
      <c r="G450" s="8"/>
      <c r="H450" s="32"/>
      <c r="I450" s="10" t="str">
        <f t="shared" si="102"/>
        <v>21</v>
      </c>
      <c r="J450" s="11">
        <v>1</v>
      </c>
      <c r="K450" s="11"/>
      <c r="L450" s="11"/>
      <c r="M450" s="11">
        <f t="shared" si="106"/>
        <v>0</v>
      </c>
      <c r="N450" s="11"/>
      <c r="O450" s="11">
        <f t="shared" si="107"/>
        <v>0</v>
      </c>
      <c r="P450" s="11"/>
      <c r="Q450" s="11"/>
      <c r="R450" s="11"/>
      <c r="S450" s="11">
        <f t="shared" si="108"/>
        <v>0</v>
      </c>
      <c r="T450" s="11">
        <f t="shared" si="109"/>
        <v>1666.6666666666667</v>
      </c>
      <c r="U450" s="11">
        <f t="shared" si="110"/>
        <v>0</v>
      </c>
      <c r="V450" s="24">
        <f t="shared" si="111"/>
        <v>0</v>
      </c>
      <c r="W450" s="11">
        <f>IF(V450&lt;=40000,0,
IF(V450&lt;=55000,(V450-40000)*10%,
IF(V450&lt;=70000,(V450-55000)*15%+1500,
IF(V450&lt;=200000,(V450-70000)*20%+1500+2250,
IF(V450&lt;=400000,(V450-200000)*22.5%+1500+2250+26000,
IF(V450&lt;=600000,(V450-400000)*25%+1500+2250+26000+45000,
IF(AND(V450&gt;600000,V450&lt;=1200000),(V450-400000)*25%+1500+2250+26000+45000
+IFERROR(LOOKUP(V450,{600001;700001;800001;900001},{4000;6750;10250;15250}),0),IF(V450&gt;1200000,((V450-1200000)*27.5%)+300000,0)
)))))))</f>
        <v>0</v>
      </c>
      <c r="X450" s="12">
        <f t="shared" si="112"/>
        <v>0</v>
      </c>
      <c r="Y450" s="12">
        <f t="shared" si="113"/>
        <v>0</v>
      </c>
      <c r="Z450" s="11"/>
      <c r="AA450" s="13">
        <f t="shared" si="114"/>
        <v>0</v>
      </c>
      <c r="AB450" s="12">
        <f t="shared" si="115"/>
        <v>0</v>
      </c>
      <c r="AC450" s="14">
        <f t="shared" si="103"/>
        <v>0</v>
      </c>
      <c r="AE450" s="19">
        <f t="shared" si="116"/>
        <v>0</v>
      </c>
      <c r="AF450" s="19"/>
      <c r="AG450" s="17"/>
      <c r="AK450" s="7"/>
      <c r="AL450" s="108">
        <f t="shared" si="104"/>
        <v>0</v>
      </c>
      <c r="AM450" s="108">
        <f t="shared" si="105"/>
        <v>0</v>
      </c>
      <c r="AN450" s="113"/>
    </row>
    <row r="451" spans="2:40" x14ac:dyDescent="0.2">
      <c r="B451" s="7"/>
      <c r="C451" s="8"/>
      <c r="D451" s="8"/>
      <c r="E451" s="9"/>
      <c r="F451" s="6"/>
      <c r="G451" s="8"/>
      <c r="H451" s="32"/>
      <c r="I451" s="10" t="str">
        <f t="shared" si="102"/>
        <v>21</v>
      </c>
      <c r="J451" s="11">
        <v>1</v>
      </c>
      <c r="K451" s="11"/>
      <c r="L451" s="11"/>
      <c r="M451" s="11">
        <f t="shared" si="106"/>
        <v>0</v>
      </c>
      <c r="N451" s="11"/>
      <c r="O451" s="11">
        <f t="shared" si="107"/>
        <v>0</v>
      </c>
      <c r="P451" s="11"/>
      <c r="Q451" s="11"/>
      <c r="R451" s="11"/>
      <c r="S451" s="11">
        <f t="shared" si="108"/>
        <v>0</v>
      </c>
      <c r="T451" s="11">
        <f t="shared" si="109"/>
        <v>1666.6666666666667</v>
      </c>
      <c r="U451" s="11">
        <f t="shared" si="110"/>
        <v>0</v>
      </c>
      <c r="V451" s="24">
        <f t="shared" si="111"/>
        <v>0</v>
      </c>
      <c r="W451" s="11">
        <f>IF(V451&lt;=40000,0,
IF(V451&lt;=55000,(V451-40000)*10%,
IF(V451&lt;=70000,(V451-55000)*15%+1500,
IF(V451&lt;=200000,(V451-70000)*20%+1500+2250,
IF(V451&lt;=400000,(V451-200000)*22.5%+1500+2250+26000,
IF(V451&lt;=600000,(V451-400000)*25%+1500+2250+26000+45000,
IF(AND(V451&gt;600000,V451&lt;=1200000),(V451-400000)*25%+1500+2250+26000+45000
+IFERROR(LOOKUP(V451,{600001;700001;800001;900001},{4000;6750;10250;15250}),0),IF(V451&gt;1200000,((V451-1200000)*27.5%)+300000,0)
)))))))</f>
        <v>0</v>
      </c>
      <c r="X451" s="12">
        <f t="shared" si="112"/>
        <v>0</v>
      </c>
      <c r="Y451" s="12">
        <f t="shared" si="113"/>
        <v>0</v>
      </c>
      <c r="Z451" s="11"/>
      <c r="AA451" s="13">
        <f t="shared" si="114"/>
        <v>0</v>
      </c>
      <c r="AB451" s="12">
        <f t="shared" si="115"/>
        <v>0</v>
      </c>
      <c r="AC451" s="14">
        <f t="shared" si="103"/>
        <v>0</v>
      </c>
      <c r="AE451" s="19">
        <f t="shared" si="116"/>
        <v>0</v>
      </c>
      <c r="AF451" s="19"/>
      <c r="AG451" s="17"/>
      <c r="AK451" s="7"/>
      <c r="AL451" s="108">
        <f t="shared" si="104"/>
        <v>0</v>
      </c>
      <c r="AM451" s="108">
        <f t="shared" si="105"/>
        <v>0</v>
      </c>
      <c r="AN451" s="113"/>
    </row>
    <row r="452" spans="2:40" x14ac:dyDescent="0.2">
      <c r="B452" s="7"/>
      <c r="C452" s="8"/>
      <c r="D452" s="8"/>
      <c r="E452" s="9"/>
      <c r="F452" s="6"/>
      <c r="G452" s="8"/>
      <c r="H452" s="32"/>
      <c r="I452" s="10" t="str">
        <f t="shared" si="102"/>
        <v>21</v>
      </c>
      <c r="J452" s="11">
        <v>1</v>
      </c>
      <c r="K452" s="11"/>
      <c r="L452" s="11"/>
      <c r="M452" s="11">
        <f t="shared" si="106"/>
        <v>0</v>
      </c>
      <c r="N452" s="11"/>
      <c r="O452" s="11">
        <f t="shared" si="107"/>
        <v>0</v>
      </c>
      <c r="P452" s="11"/>
      <c r="Q452" s="11"/>
      <c r="R452" s="11"/>
      <c r="S452" s="11">
        <f t="shared" si="108"/>
        <v>0</v>
      </c>
      <c r="T452" s="11">
        <f t="shared" si="109"/>
        <v>1666.6666666666667</v>
      </c>
      <c r="U452" s="11">
        <f t="shared" si="110"/>
        <v>0</v>
      </c>
      <c r="V452" s="24">
        <f t="shared" si="111"/>
        <v>0</v>
      </c>
      <c r="W452" s="11">
        <f>IF(V452&lt;=40000,0,
IF(V452&lt;=55000,(V452-40000)*10%,
IF(V452&lt;=70000,(V452-55000)*15%+1500,
IF(V452&lt;=200000,(V452-70000)*20%+1500+2250,
IF(V452&lt;=400000,(V452-200000)*22.5%+1500+2250+26000,
IF(V452&lt;=600000,(V452-400000)*25%+1500+2250+26000+45000,
IF(AND(V452&gt;600000,V452&lt;=1200000),(V452-400000)*25%+1500+2250+26000+45000
+IFERROR(LOOKUP(V452,{600001;700001;800001;900001},{4000;6750;10250;15250}),0),IF(V452&gt;1200000,((V452-1200000)*27.5%)+300000,0)
)))))))</f>
        <v>0</v>
      </c>
      <c r="X452" s="12">
        <f t="shared" si="112"/>
        <v>0</v>
      </c>
      <c r="Y452" s="12">
        <f t="shared" si="113"/>
        <v>0</v>
      </c>
      <c r="Z452" s="11"/>
      <c r="AA452" s="13">
        <f t="shared" si="114"/>
        <v>0</v>
      </c>
      <c r="AB452" s="12">
        <f t="shared" si="115"/>
        <v>0</v>
      </c>
      <c r="AC452" s="14">
        <f t="shared" si="103"/>
        <v>0</v>
      </c>
      <c r="AE452" s="19">
        <f t="shared" si="116"/>
        <v>0</v>
      </c>
      <c r="AF452" s="19"/>
      <c r="AG452" s="17"/>
      <c r="AK452" s="7"/>
      <c r="AL452" s="108">
        <f t="shared" si="104"/>
        <v>0</v>
      </c>
      <c r="AM452" s="108">
        <f t="shared" si="105"/>
        <v>0</v>
      </c>
      <c r="AN452" s="113"/>
    </row>
    <row r="453" spans="2:40" x14ac:dyDescent="0.2">
      <c r="B453" s="7"/>
      <c r="C453" s="8"/>
      <c r="D453" s="8"/>
      <c r="E453" s="9"/>
      <c r="F453" s="6"/>
      <c r="G453" s="8"/>
      <c r="H453" s="32"/>
      <c r="I453" s="10" t="str">
        <f t="shared" ref="I453:I516" si="117">IF(G453&gt;0,"1","21")</f>
        <v>21</v>
      </c>
      <c r="J453" s="11">
        <v>1</v>
      </c>
      <c r="K453" s="11"/>
      <c r="L453" s="11"/>
      <c r="M453" s="11">
        <f t="shared" si="106"/>
        <v>0</v>
      </c>
      <c r="N453" s="11"/>
      <c r="O453" s="11">
        <f t="shared" si="107"/>
        <v>0</v>
      </c>
      <c r="P453" s="11"/>
      <c r="Q453" s="11"/>
      <c r="R453" s="11"/>
      <c r="S453" s="11">
        <f t="shared" si="108"/>
        <v>0</v>
      </c>
      <c r="T453" s="11">
        <f t="shared" si="109"/>
        <v>1666.6666666666667</v>
      </c>
      <c r="U453" s="11">
        <f t="shared" si="110"/>
        <v>0</v>
      </c>
      <c r="V453" s="24">
        <f t="shared" si="111"/>
        <v>0</v>
      </c>
      <c r="W453" s="11">
        <f>IF(V453&lt;=40000,0,
IF(V453&lt;=55000,(V453-40000)*10%,
IF(V453&lt;=70000,(V453-55000)*15%+1500,
IF(V453&lt;=200000,(V453-70000)*20%+1500+2250,
IF(V453&lt;=400000,(V453-200000)*22.5%+1500+2250+26000,
IF(V453&lt;=600000,(V453-400000)*25%+1500+2250+26000+45000,
IF(AND(V453&gt;600000,V453&lt;=1200000),(V453-400000)*25%+1500+2250+26000+45000
+IFERROR(LOOKUP(V453,{600001;700001;800001;900001},{4000;6750;10250;15250}),0),IF(V453&gt;1200000,((V453-1200000)*27.5%)+300000,0)
)))))))</f>
        <v>0</v>
      </c>
      <c r="X453" s="12">
        <f t="shared" si="112"/>
        <v>0</v>
      </c>
      <c r="Y453" s="12">
        <f t="shared" si="113"/>
        <v>0</v>
      </c>
      <c r="Z453" s="11"/>
      <c r="AA453" s="13">
        <f t="shared" si="114"/>
        <v>0</v>
      </c>
      <c r="AB453" s="12">
        <f t="shared" si="115"/>
        <v>0</v>
      </c>
      <c r="AC453" s="14">
        <f t="shared" ref="AC453:AC516" si="118">+M453-P453-Y453</f>
        <v>0</v>
      </c>
      <c r="AE453" s="19">
        <f t="shared" si="116"/>
        <v>0</v>
      </c>
      <c r="AF453" s="19"/>
      <c r="AG453" s="17"/>
      <c r="AK453" s="7"/>
      <c r="AL453" s="108">
        <f t="shared" ref="AL453:AL516" si="119">+AK453+AD453</f>
        <v>0</v>
      </c>
      <c r="AM453" s="108">
        <f t="shared" ref="AM453:AM516" si="120">+AL453-AC453</f>
        <v>0</v>
      </c>
      <c r="AN453" s="113"/>
    </row>
    <row r="454" spans="2:40" x14ac:dyDescent="0.2">
      <c r="B454" s="7"/>
      <c r="C454" s="8"/>
      <c r="D454" s="8"/>
      <c r="E454" s="9"/>
      <c r="F454" s="6"/>
      <c r="G454" s="8"/>
      <c r="H454" s="32"/>
      <c r="I454" s="10" t="str">
        <f t="shared" si="117"/>
        <v>21</v>
      </c>
      <c r="J454" s="11">
        <v>1</v>
      </c>
      <c r="K454" s="11"/>
      <c r="L454" s="11"/>
      <c r="M454" s="11">
        <f t="shared" si="106"/>
        <v>0</v>
      </c>
      <c r="N454" s="11"/>
      <c r="O454" s="11">
        <f t="shared" si="107"/>
        <v>0</v>
      </c>
      <c r="P454" s="11"/>
      <c r="Q454" s="11"/>
      <c r="R454" s="11"/>
      <c r="S454" s="11">
        <f t="shared" si="108"/>
        <v>0</v>
      </c>
      <c r="T454" s="11">
        <f t="shared" si="109"/>
        <v>1666.6666666666667</v>
      </c>
      <c r="U454" s="11">
        <f t="shared" si="110"/>
        <v>0</v>
      </c>
      <c r="V454" s="24">
        <f t="shared" si="111"/>
        <v>0</v>
      </c>
      <c r="W454" s="11">
        <f>IF(V454&lt;=40000,0,
IF(V454&lt;=55000,(V454-40000)*10%,
IF(V454&lt;=70000,(V454-55000)*15%+1500,
IF(V454&lt;=200000,(V454-70000)*20%+1500+2250,
IF(V454&lt;=400000,(V454-200000)*22.5%+1500+2250+26000,
IF(V454&lt;=600000,(V454-400000)*25%+1500+2250+26000+45000,
IF(AND(V454&gt;600000,V454&lt;=1200000),(V454-400000)*25%+1500+2250+26000+45000
+IFERROR(LOOKUP(V454,{600001;700001;800001;900001},{4000;6750;10250;15250}),0),IF(V454&gt;1200000,((V454-1200000)*27.5%)+300000,0)
)))))))</f>
        <v>0</v>
      </c>
      <c r="X454" s="12">
        <f t="shared" si="112"/>
        <v>0</v>
      </c>
      <c r="Y454" s="12">
        <f t="shared" si="113"/>
        <v>0</v>
      </c>
      <c r="Z454" s="11"/>
      <c r="AA454" s="13">
        <f t="shared" si="114"/>
        <v>0</v>
      </c>
      <c r="AB454" s="12">
        <f t="shared" si="115"/>
        <v>0</v>
      </c>
      <c r="AC454" s="14">
        <f t="shared" si="118"/>
        <v>0</v>
      </c>
      <c r="AE454" s="19">
        <f t="shared" si="116"/>
        <v>0</v>
      </c>
      <c r="AF454" s="19"/>
      <c r="AG454" s="17"/>
      <c r="AK454" s="7"/>
      <c r="AL454" s="108">
        <f t="shared" si="119"/>
        <v>0</v>
      </c>
      <c r="AM454" s="108">
        <f t="shared" si="120"/>
        <v>0</v>
      </c>
      <c r="AN454" s="113"/>
    </row>
    <row r="455" spans="2:40" x14ac:dyDescent="0.2">
      <c r="B455" s="7"/>
      <c r="C455" s="8"/>
      <c r="D455" s="8"/>
      <c r="E455" s="9"/>
      <c r="F455" s="6"/>
      <c r="G455" s="8"/>
      <c r="H455" s="32"/>
      <c r="I455" s="10" t="str">
        <f t="shared" si="117"/>
        <v>21</v>
      </c>
      <c r="J455" s="11">
        <v>1</v>
      </c>
      <c r="K455" s="11"/>
      <c r="L455" s="11"/>
      <c r="M455" s="11">
        <f t="shared" si="106"/>
        <v>0</v>
      </c>
      <c r="N455" s="11"/>
      <c r="O455" s="11">
        <f t="shared" si="107"/>
        <v>0</v>
      </c>
      <c r="P455" s="11"/>
      <c r="Q455" s="11"/>
      <c r="R455" s="11"/>
      <c r="S455" s="11">
        <f t="shared" si="108"/>
        <v>0</v>
      </c>
      <c r="T455" s="11">
        <f t="shared" si="109"/>
        <v>1666.6666666666667</v>
      </c>
      <c r="U455" s="11">
        <f t="shared" si="110"/>
        <v>0</v>
      </c>
      <c r="V455" s="24">
        <f t="shared" si="111"/>
        <v>0</v>
      </c>
      <c r="W455" s="11">
        <f>IF(V455&lt;=40000,0,
IF(V455&lt;=55000,(V455-40000)*10%,
IF(V455&lt;=70000,(V455-55000)*15%+1500,
IF(V455&lt;=200000,(V455-70000)*20%+1500+2250,
IF(V455&lt;=400000,(V455-200000)*22.5%+1500+2250+26000,
IF(V455&lt;=600000,(V455-400000)*25%+1500+2250+26000+45000,
IF(AND(V455&gt;600000,V455&lt;=1200000),(V455-400000)*25%+1500+2250+26000+45000
+IFERROR(LOOKUP(V455,{600001;700001;800001;900001},{4000;6750;10250;15250}),0),IF(V455&gt;1200000,((V455-1200000)*27.5%)+300000,0)
)))))))</f>
        <v>0</v>
      </c>
      <c r="X455" s="12">
        <f t="shared" si="112"/>
        <v>0</v>
      </c>
      <c r="Y455" s="12">
        <f t="shared" si="113"/>
        <v>0</v>
      </c>
      <c r="Z455" s="11"/>
      <c r="AA455" s="13">
        <f t="shared" si="114"/>
        <v>0</v>
      </c>
      <c r="AB455" s="12">
        <f t="shared" si="115"/>
        <v>0</v>
      </c>
      <c r="AC455" s="14">
        <f t="shared" si="118"/>
        <v>0</v>
      </c>
      <c r="AE455" s="19">
        <f t="shared" si="116"/>
        <v>0</v>
      </c>
      <c r="AF455" s="19"/>
      <c r="AG455" s="17"/>
      <c r="AK455" s="7"/>
      <c r="AL455" s="108">
        <f t="shared" si="119"/>
        <v>0</v>
      </c>
      <c r="AM455" s="108">
        <f t="shared" si="120"/>
        <v>0</v>
      </c>
      <c r="AN455" s="113"/>
    </row>
    <row r="456" spans="2:40" x14ac:dyDescent="0.2">
      <c r="B456" s="7"/>
      <c r="C456" s="8"/>
      <c r="D456" s="8"/>
      <c r="E456" s="9"/>
      <c r="F456" s="6"/>
      <c r="G456" s="8"/>
      <c r="H456" s="32"/>
      <c r="I456" s="10" t="str">
        <f t="shared" si="117"/>
        <v>21</v>
      </c>
      <c r="J456" s="11">
        <v>1</v>
      </c>
      <c r="K456" s="11"/>
      <c r="L456" s="11"/>
      <c r="M456" s="11">
        <f t="shared" si="106"/>
        <v>0</v>
      </c>
      <c r="N456" s="11"/>
      <c r="O456" s="11">
        <f t="shared" si="107"/>
        <v>0</v>
      </c>
      <c r="P456" s="11"/>
      <c r="Q456" s="11"/>
      <c r="R456" s="11"/>
      <c r="S456" s="11">
        <f t="shared" si="108"/>
        <v>0</v>
      </c>
      <c r="T456" s="11">
        <f t="shared" si="109"/>
        <v>1666.6666666666667</v>
      </c>
      <c r="U456" s="11">
        <f t="shared" si="110"/>
        <v>0</v>
      </c>
      <c r="V456" s="24">
        <f t="shared" si="111"/>
        <v>0</v>
      </c>
      <c r="W456" s="11">
        <f>IF(V456&lt;=40000,0,
IF(V456&lt;=55000,(V456-40000)*10%,
IF(V456&lt;=70000,(V456-55000)*15%+1500,
IF(V456&lt;=200000,(V456-70000)*20%+1500+2250,
IF(V456&lt;=400000,(V456-200000)*22.5%+1500+2250+26000,
IF(V456&lt;=600000,(V456-400000)*25%+1500+2250+26000+45000,
IF(AND(V456&gt;600000,V456&lt;=1200000),(V456-400000)*25%+1500+2250+26000+45000
+IFERROR(LOOKUP(V456,{600001;700001;800001;900001},{4000;6750;10250;15250}),0),IF(V456&gt;1200000,((V456-1200000)*27.5%)+300000,0)
)))))))</f>
        <v>0</v>
      </c>
      <c r="X456" s="12">
        <f t="shared" si="112"/>
        <v>0</v>
      </c>
      <c r="Y456" s="12">
        <f t="shared" si="113"/>
        <v>0</v>
      </c>
      <c r="Z456" s="11"/>
      <c r="AA456" s="13">
        <f t="shared" si="114"/>
        <v>0</v>
      </c>
      <c r="AB456" s="12">
        <f t="shared" si="115"/>
        <v>0</v>
      </c>
      <c r="AC456" s="14">
        <f t="shared" si="118"/>
        <v>0</v>
      </c>
      <c r="AE456" s="19">
        <f t="shared" si="116"/>
        <v>0</v>
      </c>
      <c r="AF456" s="19"/>
      <c r="AG456" s="17"/>
      <c r="AK456" s="7"/>
      <c r="AL456" s="108">
        <f t="shared" si="119"/>
        <v>0</v>
      </c>
      <c r="AM456" s="108">
        <f t="shared" si="120"/>
        <v>0</v>
      </c>
      <c r="AN456" s="113"/>
    </row>
    <row r="457" spans="2:40" x14ac:dyDescent="0.2">
      <c r="B457" s="7"/>
      <c r="C457" s="8"/>
      <c r="D457" s="8"/>
      <c r="E457" s="9"/>
      <c r="F457" s="6"/>
      <c r="G457" s="8"/>
      <c r="H457" s="32"/>
      <c r="I457" s="10" t="str">
        <f t="shared" si="117"/>
        <v>21</v>
      </c>
      <c r="J457" s="11">
        <v>1</v>
      </c>
      <c r="K457" s="11"/>
      <c r="L457" s="11"/>
      <c r="M457" s="11">
        <f t="shared" si="106"/>
        <v>0</v>
      </c>
      <c r="N457" s="11"/>
      <c r="O457" s="11">
        <f t="shared" si="107"/>
        <v>0</v>
      </c>
      <c r="P457" s="11"/>
      <c r="Q457" s="11"/>
      <c r="R457" s="11"/>
      <c r="S457" s="11">
        <f t="shared" si="108"/>
        <v>0</v>
      </c>
      <c r="T457" s="11">
        <f t="shared" si="109"/>
        <v>1666.6666666666667</v>
      </c>
      <c r="U457" s="11">
        <f t="shared" si="110"/>
        <v>0</v>
      </c>
      <c r="V457" s="24">
        <f t="shared" si="111"/>
        <v>0</v>
      </c>
      <c r="W457" s="11">
        <f>IF(V457&lt;=40000,0,
IF(V457&lt;=55000,(V457-40000)*10%,
IF(V457&lt;=70000,(V457-55000)*15%+1500,
IF(V457&lt;=200000,(V457-70000)*20%+1500+2250,
IF(V457&lt;=400000,(V457-200000)*22.5%+1500+2250+26000,
IF(V457&lt;=600000,(V457-400000)*25%+1500+2250+26000+45000,
IF(AND(V457&gt;600000,V457&lt;=1200000),(V457-400000)*25%+1500+2250+26000+45000
+IFERROR(LOOKUP(V457,{600001;700001;800001;900001},{4000;6750;10250;15250}),0),IF(V457&gt;1200000,((V457-1200000)*27.5%)+300000,0)
)))))))</f>
        <v>0</v>
      </c>
      <c r="X457" s="12">
        <f t="shared" si="112"/>
        <v>0</v>
      </c>
      <c r="Y457" s="12">
        <f t="shared" si="113"/>
        <v>0</v>
      </c>
      <c r="Z457" s="11"/>
      <c r="AA457" s="13">
        <f t="shared" si="114"/>
        <v>0</v>
      </c>
      <c r="AB457" s="12">
        <f t="shared" si="115"/>
        <v>0</v>
      </c>
      <c r="AC457" s="14">
        <f t="shared" si="118"/>
        <v>0</v>
      </c>
      <c r="AE457" s="19">
        <f t="shared" si="116"/>
        <v>0</v>
      </c>
      <c r="AF457" s="19"/>
      <c r="AG457" s="17"/>
      <c r="AK457" s="7"/>
      <c r="AL457" s="108">
        <f t="shared" si="119"/>
        <v>0</v>
      </c>
      <c r="AM457" s="108">
        <f t="shared" si="120"/>
        <v>0</v>
      </c>
      <c r="AN457" s="113"/>
    </row>
    <row r="458" spans="2:40" x14ac:dyDescent="0.2">
      <c r="B458" s="7"/>
      <c r="C458" s="8"/>
      <c r="D458" s="8"/>
      <c r="E458" s="9"/>
      <c r="F458" s="6"/>
      <c r="G458" s="8"/>
      <c r="H458" s="32"/>
      <c r="I458" s="10" t="str">
        <f t="shared" si="117"/>
        <v>21</v>
      </c>
      <c r="J458" s="11">
        <v>1</v>
      </c>
      <c r="K458" s="11"/>
      <c r="L458" s="11"/>
      <c r="M458" s="11">
        <f t="shared" si="106"/>
        <v>0</v>
      </c>
      <c r="N458" s="11"/>
      <c r="O458" s="11">
        <f t="shared" si="107"/>
        <v>0</v>
      </c>
      <c r="P458" s="11"/>
      <c r="Q458" s="11"/>
      <c r="R458" s="11"/>
      <c r="S458" s="11">
        <f t="shared" si="108"/>
        <v>0</v>
      </c>
      <c r="T458" s="11">
        <f t="shared" si="109"/>
        <v>1666.6666666666667</v>
      </c>
      <c r="U458" s="11">
        <f t="shared" si="110"/>
        <v>0</v>
      </c>
      <c r="V458" s="24">
        <f t="shared" si="111"/>
        <v>0</v>
      </c>
      <c r="W458" s="11">
        <f>IF(V458&lt;=40000,0,
IF(V458&lt;=55000,(V458-40000)*10%,
IF(V458&lt;=70000,(V458-55000)*15%+1500,
IF(V458&lt;=200000,(V458-70000)*20%+1500+2250,
IF(V458&lt;=400000,(V458-200000)*22.5%+1500+2250+26000,
IF(V458&lt;=600000,(V458-400000)*25%+1500+2250+26000+45000,
IF(AND(V458&gt;600000,V458&lt;=1200000),(V458-400000)*25%+1500+2250+26000+45000
+IFERROR(LOOKUP(V458,{600001;700001;800001;900001},{4000;6750;10250;15250}),0),IF(V458&gt;1200000,((V458-1200000)*27.5%)+300000,0)
)))))))</f>
        <v>0</v>
      </c>
      <c r="X458" s="12">
        <f t="shared" si="112"/>
        <v>0</v>
      </c>
      <c r="Y458" s="12">
        <f t="shared" si="113"/>
        <v>0</v>
      </c>
      <c r="Z458" s="11"/>
      <c r="AA458" s="13">
        <f t="shared" si="114"/>
        <v>0</v>
      </c>
      <c r="AB458" s="12">
        <f t="shared" si="115"/>
        <v>0</v>
      </c>
      <c r="AC458" s="14">
        <f t="shared" si="118"/>
        <v>0</v>
      </c>
      <c r="AE458" s="19">
        <f t="shared" si="116"/>
        <v>0</v>
      </c>
      <c r="AF458" s="19"/>
      <c r="AG458" s="17"/>
      <c r="AK458" s="7"/>
      <c r="AL458" s="108">
        <f t="shared" si="119"/>
        <v>0</v>
      </c>
      <c r="AM458" s="108">
        <f t="shared" si="120"/>
        <v>0</v>
      </c>
      <c r="AN458" s="113"/>
    </row>
    <row r="459" spans="2:40" x14ac:dyDescent="0.2">
      <c r="B459" s="7"/>
      <c r="C459" s="8"/>
      <c r="D459" s="8"/>
      <c r="E459" s="9"/>
      <c r="F459" s="6"/>
      <c r="G459" s="8"/>
      <c r="H459" s="32"/>
      <c r="I459" s="10" t="str">
        <f t="shared" si="117"/>
        <v>21</v>
      </c>
      <c r="J459" s="11">
        <v>1</v>
      </c>
      <c r="K459" s="11"/>
      <c r="L459" s="11"/>
      <c r="M459" s="11">
        <f t="shared" si="106"/>
        <v>0</v>
      </c>
      <c r="N459" s="11"/>
      <c r="O459" s="11">
        <f t="shared" si="107"/>
        <v>0</v>
      </c>
      <c r="P459" s="11"/>
      <c r="Q459" s="11"/>
      <c r="R459" s="11"/>
      <c r="S459" s="11">
        <f t="shared" si="108"/>
        <v>0</v>
      </c>
      <c r="T459" s="11">
        <f t="shared" si="109"/>
        <v>1666.6666666666667</v>
      </c>
      <c r="U459" s="11">
        <f t="shared" si="110"/>
        <v>0</v>
      </c>
      <c r="V459" s="24">
        <f t="shared" si="111"/>
        <v>0</v>
      </c>
      <c r="W459" s="11">
        <f>IF(V459&lt;=40000,0,
IF(V459&lt;=55000,(V459-40000)*10%,
IF(V459&lt;=70000,(V459-55000)*15%+1500,
IF(V459&lt;=200000,(V459-70000)*20%+1500+2250,
IF(V459&lt;=400000,(V459-200000)*22.5%+1500+2250+26000,
IF(V459&lt;=600000,(V459-400000)*25%+1500+2250+26000+45000,
IF(AND(V459&gt;600000,V459&lt;=1200000),(V459-400000)*25%+1500+2250+26000+45000
+IFERROR(LOOKUP(V459,{600001;700001;800001;900001},{4000;6750;10250;15250}),0),IF(V459&gt;1200000,((V459-1200000)*27.5%)+300000,0)
)))))))</f>
        <v>0</v>
      </c>
      <c r="X459" s="12">
        <f t="shared" si="112"/>
        <v>0</v>
      </c>
      <c r="Y459" s="12">
        <f t="shared" si="113"/>
        <v>0</v>
      </c>
      <c r="Z459" s="11"/>
      <c r="AA459" s="13">
        <f t="shared" si="114"/>
        <v>0</v>
      </c>
      <c r="AB459" s="12">
        <f t="shared" si="115"/>
        <v>0</v>
      </c>
      <c r="AC459" s="14">
        <f t="shared" si="118"/>
        <v>0</v>
      </c>
      <c r="AE459" s="19">
        <f t="shared" si="116"/>
        <v>0</v>
      </c>
      <c r="AF459" s="19"/>
      <c r="AG459" s="17"/>
      <c r="AK459" s="7"/>
      <c r="AL459" s="108">
        <f t="shared" si="119"/>
        <v>0</v>
      </c>
      <c r="AM459" s="108">
        <f t="shared" si="120"/>
        <v>0</v>
      </c>
      <c r="AN459" s="113"/>
    </row>
    <row r="460" spans="2:40" x14ac:dyDescent="0.2">
      <c r="B460" s="7"/>
      <c r="C460" s="8"/>
      <c r="D460" s="8"/>
      <c r="E460" s="9"/>
      <c r="F460" s="6"/>
      <c r="G460" s="8"/>
      <c r="H460" s="32"/>
      <c r="I460" s="10" t="str">
        <f t="shared" si="117"/>
        <v>21</v>
      </c>
      <c r="J460" s="11">
        <v>1</v>
      </c>
      <c r="K460" s="11"/>
      <c r="L460" s="11"/>
      <c r="M460" s="11">
        <f t="shared" si="106"/>
        <v>0</v>
      </c>
      <c r="N460" s="11"/>
      <c r="O460" s="11">
        <f t="shared" si="107"/>
        <v>0</v>
      </c>
      <c r="P460" s="11"/>
      <c r="Q460" s="11"/>
      <c r="R460" s="11"/>
      <c r="S460" s="11">
        <f t="shared" si="108"/>
        <v>0</v>
      </c>
      <c r="T460" s="11">
        <f t="shared" si="109"/>
        <v>1666.6666666666667</v>
      </c>
      <c r="U460" s="11">
        <f t="shared" si="110"/>
        <v>0</v>
      </c>
      <c r="V460" s="24">
        <f t="shared" si="111"/>
        <v>0</v>
      </c>
      <c r="W460" s="11">
        <f>IF(V460&lt;=40000,0,
IF(V460&lt;=55000,(V460-40000)*10%,
IF(V460&lt;=70000,(V460-55000)*15%+1500,
IF(V460&lt;=200000,(V460-70000)*20%+1500+2250,
IF(V460&lt;=400000,(V460-200000)*22.5%+1500+2250+26000,
IF(V460&lt;=600000,(V460-400000)*25%+1500+2250+26000+45000,
IF(AND(V460&gt;600000,V460&lt;=1200000),(V460-400000)*25%+1500+2250+26000+45000
+IFERROR(LOOKUP(V460,{600001;700001;800001;900001},{4000;6750;10250;15250}),0),IF(V460&gt;1200000,((V460-1200000)*27.5%)+300000,0)
)))))))</f>
        <v>0</v>
      </c>
      <c r="X460" s="12">
        <f t="shared" si="112"/>
        <v>0</v>
      </c>
      <c r="Y460" s="12">
        <f t="shared" si="113"/>
        <v>0</v>
      </c>
      <c r="Z460" s="11"/>
      <c r="AA460" s="13">
        <f t="shared" si="114"/>
        <v>0</v>
      </c>
      <c r="AB460" s="12">
        <f t="shared" si="115"/>
        <v>0</v>
      </c>
      <c r="AC460" s="14">
        <f t="shared" si="118"/>
        <v>0</v>
      </c>
      <c r="AE460" s="19">
        <f t="shared" si="116"/>
        <v>0</v>
      </c>
      <c r="AF460" s="19"/>
      <c r="AG460" s="17"/>
      <c r="AK460" s="7"/>
      <c r="AL460" s="108">
        <f t="shared" si="119"/>
        <v>0</v>
      </c>
      <c r="AM460" s="108">
        <f t="shared" si="120"/>
        <v>0</v>
      </c>
      <c r="AN460" s="113"/>
    </row>
    <row r="461" spans="2:40" x14ac:dyDescent="0.2">
      <c r="B461" s="7"/>
      <c r="C461" s="8"/>
      <c r="D461" s="8"/>
      <c r="E461" s="9"/>
      <c r="F461" s="6"/>
      <c r="G461" s="8"/>
      <c r="H461" s="32"/>
      <c r="I461" s="10" t="str">
        <f t="shared" si="117"/>
        <v>21</v>
      </c>
      <c r="J461" s="11">
        <v>1</v>
      </c>
      <c r="K461" s="11"/>
      <c r="L461" s="11"/>
      <c r="M461" s="11">
        <f t="shared" si="106"/>
        <v>0</v>
      </c>
      <c r="N461" s="11"/>
      <c r="O461" s="11">
        <f t="shared" si="107"/>
        <v>0</v>
      </c>
      <c r="P461" s="11"/>
      <c r="Q461" s="11"/>
      <c r="R461" s="11"/>
      <c r="S461" s="11">
        <f t="shared" si="108"/>
        <v>0</v>
      </c>
      <c r="T461" s="11">
        <f t="shared" si="109"/>
        <v>1666.6666666666667</v>
      </c>
      <c r="U461" s="11">
        <f t="shared" si="110"/>
        <v>0</v>
      </c>
      <c r="V461" s="24">
        <f t="shared" si="111"/>
        <v>0</v>
      </c>
      <c r="W461" s="11">
        <f>IF(V461&lt;=40000,0,
IF(V461&lt;=55000,(V461-40000)*10%,
IF(V461&lt;=70000,(V461-55000)*15%+1500,
IF(V461&lt;=200000,(V461-70000)*20%+1500+2250,
IF(V461&lt;=400000,(V461-200000)*22.5%+1500+2250+26000,
IF(V461&lt;=600000,(V461-400000)*25%+1500+2250+26000+45000,
IF(AND(V461&gt;600000,V461&lt;=1200000),(V461-400000)*25%+1500+2250+26000+45000
+IFERROR(LOOKUP(V461,{600001;700001;800001;900001},{4000;6750;10250;15250}),0),IF(V461&gt;1200000,((V461-1200000)*27.5%)+300000,0)
)))))))</f>
        <v>0</v>
      </c>
      <c r="X461" s="12">
        <f t="shared" si="112"/>
        <v>0</v>
      </c>
      <c r="Y461" s="12">
        <f t="shared" si="113"/>
        <v>0</v>
      </c>
      <c r="Z461" s="11"/>
      <c r="AA461" s="13">
        <f t="shared" si="114"/>
        <v>0</v>
      </c>
      <c r="AB461" s="12">
        <f t="shared" si="115"/>
        <v>0</v>
      </c>
      <c r="AC461" s="14">
        <f t="shared" si="118"/>
        <v>0</v>
      </c>
      <c r="AE461" s="19">
        <f t="shared" si="116"/>
        <v>0</v>
      </c>
      <c r="AF461" s="19"/>
      <c r="AG461" s="17"/>
      <c r="AK461" s="7"/>
      <c r="AL461" s="108">
        <f t="shared" si="119"/>
        <v>0</v>
      </c>
      <c r="AM461" s="108">
        <f t="shared" si="120"/>
        <v>0</v>
      </c>
      <c r="AN461" s="113"/>
    </row>
    <row r="462" spans="2:40" x14ac:dyDescent="0.2">
      <c r="B462" s="7"/>
      <c r="C462" s="8"/>
      <c r="D462" s="8"/>
      <c r="E462" s="9"/>
      <c r="F462" s="6"/>
      <c r="G462" s="8"/>
      <c r="H462" s="32"/>
      <c r="I462" s="10" t="str">
        <f t="shared" si="117"/>
        <v>21</v>
      </c>
      <c r="J462" s="11">
        <v>1</v>
      </c>
      <c r="K462" s="11"/>
      <c r="L462" s="11"/>
      <c r="M462" s="11">
        <f t="shared" si="106"/>
        <v>0</v>
      </c>
      <c r="N462" s="11"/>
      <c r="O462" s="11">
        <f t="shared" si="107"/>
        <v>0</v>
      </c>
      <c r="P462" s="11"/>
      <c r="Q462" s="11"/>
      <c r="R462" s="11"/>
      <c r="S462" s="11">
        <f t="shared" si="108"/>
        <v>0</v>
      </c>
      <c r="T462" s="11">
        <f t="shared" si="109"/>
        <v>1666.6666666666667</v>
      </c>
      <c r="U462" s="11">
        <f t="shared" si="110"/>
        <v>0</v>
      </c>
      <c r="V462" s="24">
        <f t="shared" si="111"/>
        <v>0</v>
      </c>
      <c r="W462" s="11">
        <f>IF(V462&lt;=40000,0,
IF(V462&lt;=55000,(V462-40000)*10%,
IF(V462&lt;=70000,(V462-55000)*15%+1500,
IF(V462&lt;=200000,(V462-70000)*20%+1500+2250,
IF(V462&lt;=400000,(V462-200000)*22.5%+1500+2250+26000,
IF(V462&lt;=600000,(V462-400000)*25%+1500+2250+26000+45000,
IF(AND(V462&gt;600000,V462&lt;=1200000),(V462-400000)*25%+1500+2250+26000+45000
+IFERROR(LOOKUP(V462,{600001;700001;800001;900001},{4000;6750;10250;15250}),0),IF(V462&gt;1200000,((V462-1200000)*27.5%)+300000,0)
)))))))</f>
        <v>0</v>
      </c>
      <c r="X462" s="12">
        <f t="shared" si="112"/>
        <v>0</v>
      </c>
      <c r="Y462" s="12">
        <f t="shared" si="113"/>
        <v>0</v>
      </c>
      <c r="Z462" s="11"/>
      <c r="AA462" s="13">
        <f t="shared" si="114"/>
        <v>0</v>
      </c>
      <c r="AB462" s="12">
        <f t="shared" si="115"/>
        <v>0</v>
      </c>
      <c r="AC462" s="14">
        <f t="shared" si="118"/>
        <v>0</v>
      </c>
      <c r="AE462" s="19">
        <f t="shared" si="116"/>
        <v>0</v>
      </c>
      <c r="AF462" s="19"/>
      <c r="AG462" s="17"/>
      <c r="AK462" s="7"/>
      <c r="AL462" s="108">
        <f t="shared" si="119"/>
        <v>0</v>
      </c>
      <c r="AM462" s="108">
        <f t="shared" si="120"/>
        <v>0</v>
      </c>
      <c r="AN462" s="113"/>
    </row>
    <row r="463" spans="2:40" x14ac:dyDescent="0.2">
      <c r="B463" s="7"/>
      <c r="C463" s="8"/>
      <c r="D463" s="8"/>
      <c r="E463" s="9"/>
      <c r="F463" s="6"/>
      <c r="G463" s="8"/>
      <c r="H463" s="32"/>
      <c r="I463" s="10" t="str">
        <f t="shared" si="117"/>
        <v>21</v>
      </c>
      <c r="J463" s="11">
        <v>1</v>
      </c>
      <c r="K463" s="11"/>
      <c r="L463" s="11"/>
      <c r="M463" s="11">
        <f t="shared" si="106"/>
        <v>0</v>
      </c>
      <c r="N463" s="11"/>
      <c r="O463" s="11">
        <f t="shared" si="107"/>
        <v>0</v>
      </c>
      <c r="P463" s="11"/>
      <c r="Q463" s="11"/>
      <c r="R463" s="11"/>
      <c r="S463" s="11">
        <f t="shared" si="108"/>
        <v>0</v>
      </c>
      <c r="T463" s="11">
        <f t="shared" si="109"/>
        <v>1666.6666666666667</v>
      </c>
      <c r="U463" s="11">
        <f t="shared" si="110"/>
        <v>0</v>
      </c>
      <c r="V463" s="24">
        <f t="shared" si="111"/>
        <v>0</v>
      </c>
      <c r="W463" s="11">
        <f>IF(V463&lt;=40000,0,
IF(V463&lt;=55000,(V463-40000)*10%,
IF(V463&lt;=70000,(V463-55000)*15%+1500,
IF(V463&lt;=200000,(V463-70000)*20%+1500+2250,
IF(V463&lt;=400000,(V463-200000)*22.5%+1500+2250+26000,
IF(V463&lt;=600000,(V463-400000)*25%+1500+2250+26000+45000,
IF(AND(V463&gt;600000,V463&lt;=1200000),(V463-400000)*25%+1500+2250+26000+45000
+IFERROR(LOOKUP(V463,{600001;700001;800001;900001},{4000;6750;10250;15250}),0),IF(V463&gt;1200000,((V463-1200000)*27.5%)+300000,0)
)))))))</f>
        <v>0</v>
      </c>
      <c r="X463" s="12">
        <f t="shared" si="112"/>
        <v>0</v>
      </c>
      <c r="Y463" s="12">
        <f t="shared" si="113"/>
        <v>0</v>
      </c>
      <c r="Z463" s="11"/>
      <c r="AA463" s="13">
        <f t="shared" si="114"/>
        <v>0</v>
      </c>
      <c r="AB463" s="12">
        <f t="shared" si="115"/>
        <v>0</v>
      </c>
      <c r="AC463" s="14">
        <f t="shared" si="118"/>
        <v>0</v>
      </c>
      <c r="AE463" s="19">
        <f t="shared" si="116"/>
        <v>0</v>
      </c>
      <c r="AF463" s="19"/>
      <c r="AG463" s="17"/>
      <c r="AK463" s="7"/>
      <c r="AL463" s="108">
        <f t="shared" si="119"/>
        <v>0</v>
      </c>
      <c r="AM463" s="108">
        <f t="shared" si="120"/>
        <v>0</v>
      </c>
      <c r="AN463" s="113"/>
    </row>
    <row r="464" spans="2:40" x14ac:dyDescent="0.2">
      <c r="B464" s="7"/>
      <c r="C464" s="8"/>
      <c r="D464" s="8"/>
      <c r="E464" s="9"/>
      <c r="F464" s="6"/>
      <c r="G464" s="8"/>
      <c r="H464" s="32"/>
      <c r="I464" s="10" t="str">
        <f t="shared" si="117"/>
        <v>21</v>
      </c>
      <c r="J464" s="11">
        <v>1</v>
      </c>
      <c r="K464" s="11"/>
      <c r="L464" s="11"/>
      <c r="M464" s="11">
        <f t="shared" si="106"/>
        <v>0</v>
      </c>
      <c r="N464" s="11"/>
      <c r="O464" s="11">
        <f t="shared" si="107"/>
        <v>0</v>
      </c>
      <c r="P464" s="11"/>
      <c r="Q464" s="11"/>
      <c r="R464" s="11"/>
      <c r="S464" s="11">
        <f t="shared" si="108"/>
        <v>0</v>
      </c>
      <c r="T464" s="11">
        <f t="shared" si="109"/>
        <v>1666.6666666666667</v>
      </c>
      <c r="U464" s="11">
        <f t="shared" si="110"/>
        <v>0</v>
      </c>
      <c r="V464" s="24">
        <f t="shared" si="111"/>
        <v>0</v>
      </c>
      <c r="W464" s="11">
        <f>IF(V464&lt;=40000,0,
IF(V464&lt;=55000,(V464-40000)*10%,
IF(V464&lt;=70000,(V464-55000)*15%+1500,
IF(V464&lt;=200000,(V464-70000)*20%+1500+2250,
IF(V464&lt;=400000,(V464-200000)*22.5%+1500+2250+26000,
IF(V464&lt;=600000,(V464-400000)*25%+1500+2250+26000+45000,
IF(AND(V464&gt;600000,V464&lt;=1200000),(V464-400000)*25%+1500+2250+26000+45000
+IFERROR(LOOKUP(V464,{600001;700001;800001;900001},{4000;6750;10250;15250}),0),IF(V464&gt;1200000,((V464-1200000)*27.5%)+300000,0)
)))))))</f>
        <v>0</v>
      </c>
      <c r="X464" s="12">
        <f t="shared" si="112"/>
        <v>0</v>
      </c>
      <c r="Y464" s="12">
        <f t="shared" si="113"/>
        <v>0</v>
      </c>
      <c r="Z464" s="11"/>
      <c r="AA464" s="13">
        <f t="shared" si="114"/>
        <v>0</v>
      </c>
      <c r="AB464" s="12">
        <f t="shared" si="115"/>
        <v>0</v>
      </c>
      <c r="AC464" s="14">
        <f t="shared" si="118"/>
        <v>0</v>
      </c>
      <c r="AE464" s="19">
        <f t="shared" si="116"/>
        <v>0</v>
      </c>
      <c r="AF464" s="19"/>
      <c r="AG464" s="17"/>
      <c r="AK464" s="7"/>
      <c r="AL464" s="108">
        <f t="shared" si="119"/>
        <v>0</v>
      </c>
      <c r="AM464" s="108">
        <f t="shared" si="120"/>
        <v>0</v>
      </c>
      <c r="AN464" s="113"/>
    </row>
    <row r="465" spans="2:40" x14ac:dyDescent="0.2">
      <c r="B465" s="7"/>
      <c r="C465" s="8"/>
      <c r="D465" s="8"/>
      <c r="E465" s="9"/>
      <c r="F465" s="6"/>
      <c r="G465" s="8"/>
      <c r="H465" s="32"/>
      <c r="I465" s="10" t="str">
        <f t="shared" si="117"/>
        <v>21</v>
      </c>
      <c r="J465" s="11">
        <v>1</v>
      </c>
      <c r="K465" s="11"/>
      <c r="L465" s="11"/>
      <c r="M465" s="11">
        <f t="shared" si="106"/>
        <v>0</v>
      </c>
      <c r="N465" s="11"/>
      <c r="O465" s="11">
        <f t="shared" si="107"/>
        <v>0</v>
      </c>
      <c r="P465" s="11"/>
      <c r="Q465" s="11"/>
      <c r="R465" s="11"/>
      <c r="S465" s="11">
        <f t="shared" si="108"/>
        <v>0</v>
      </c>
      <c r="T465" s="11">
        <f t="shared" si="109"/>
        <v>1666.6666666666667</v>
      </c>
      <c r="U465" s="11">
        <f t="shared" si="110"/>
        <v>0</v>
      </c>
      <c r="V465" s="24">
        <f t="shared" si="111"/>
        <v>0</v>
      </c>
      <c r="W465" s="11">
        <f>IF(V465&lt;=40000,0,
IF(V465&lt;=55000,(V465-40000)*10%,
IF(V465&lt;=70000,(V465-55000)*15%+1500,
IF(V465&lt;=200000,(V465-70000)*20%+1500+2250,
IF(V465&lt;=400000,(V465-200000)*22.5%+1500+2250+26000,
IF(V465&lt;=600000,(V465-400000)*25%+1500+2250+26000+45000,
IF(AND(V465&gt;600000,V465&lt;=1200000),(V465-400000)*25%+1500+2250+26000+45000
+IFERROR(LOOKUP(V465,{600001;700001;800001;900001},{4000;6750;10250;15250}),0),IF(V465&gt;1200000,((V465-1200000)*27.5%)+300000,0)
)))))))</f>
        <v>0</v>
      </c>
      <c r="X465" s="12">
        <f t="shared" si="112"/>
        <v>0</v>
      </c>
      <c r="Y465" s="12">
        <f t="shared" si="113"/>
        <v>0</v>
      </c>
      <c r="Z465" s="11"/>
      <c r="AA465" s="13">
        <f t="shared" si="114"/>
        <v>0</v>
      </c>
      <c r="AB465" s="12">
        <f t="shared" si="115"/>
        <v>0</v>
      </c>
      <c r="AC465" s="14">
        <f t="shared" si="118"/>
        <v>0</v>
      </c>
      <c r="AE465" s="19">
        <f t="shared" si="116"/>
        <v>0</v>
      </c>
      <c r="AF465" s="19"/>
      <c r="AG465" s="17"/>
      <c r="AK465" s="7"/>
      <c r="AL465" s="108">
        <f t="shared" si="119"/>
        <v>0</v>
      </c>
      <c r="AM465" s="108">
        <f t="shared" si="120"/>
        <v>0</v>
      </c>
      <c r="AN465" s="113"/>
    </row>
    <row r="466" spans="2:40" x14ac:dyDescent="0.2">
      <c r="B466" s="7"/>
      <c r="C466" s="8"/>
      <c r="D466" s="8"/>
      <c r="E466" s="9"/>
      <c r="F466" s="6"/>
      <c r="G466" s="8"/>
      <c r="H466" s="32"/>
      <c r="I466" s="10" t="str">
        <f t="shared" si="117"/>
        <v>21</v>
      </c>
      <c r="J466" s="11">
        <v>1</v>
      </c>
      <c r="K466" s="11"/>
      <c r="L466" s="11"/>
      <c r="M466" s="11">
        <f t="shared" si="106"/>
        <v>0</v>
      </c>
      <c r="N466" s="11"/>
      <c r="O466" s="11">
        <f t="shared" si="107"/>
        <v>0</v>
      </c>
      <c r="P466" s="11"/>
      <c r="Q466" s="11"/>
      <c r="R466" s="11"/>
      <c r="S466" s="11">
        <f t="shared" si="108"/>
        <v>0</v>
      </c>
      <c r="T466" s="11">
        <f t="shared" si="109"/>
        <v>1666.6666666666667</v>
      </c>
      <c r="U466" s="11">
        <f t="shared" si="110"/>
        <v>0</v>
      </c>
      <c r="V466" s="24">
        <f t="shared" si="111"/>
        <v>0</v>
      </c>
      <c r="W466" s="11">
        <f>IF(V466&lt;=40000,0,
IF(V466&lt;=55000,(V466-40000)*10%,
IF(V466&lt;=70000,(V466-55000)*15%+1500,
IF(V466&lt;=200000,(V466-70000)*20%+1500+2250,
IF(V466&lt;=400000,(V466-200000)*22.5%+1500+2250+26000,
IF(V466&lt;=600000,(V466-400000)*25%+1500+2250+26000+45000,
IF(AND(V466&gt;600000,V466&lt;=1200000),(V466-400000)*25%+1500+2250+26000+45000
+IFERROR(LOOKUP(V466,{600001;700001;800001;900001},{4000;6750;10250;15250}),0),IF(V466&gt;1200000,((V466-1200000)*27.5%)+300000,0)
)))))))</f>
        <v>0</v>
      </c>
      <c r="X466" s="12">
        <f t="shared" si="112"/>
        <v>0</v>
      </c>
      <c r="Y466" s="12">
        <f t="shared" si="113"/>
        <v>0</v>
      </c>
      <c r="Z466" s="11"/>
      <c r="AA466" s="13">
        <f t="shared" si="114"/>
        <v>0</v>
      </c>
      <c r="AB466" s="12">
        <f t="shared" si="115"/>
        <v>0</v>
      </c>
      <c r="AC466" s="14">
        <f t="shared" si="118"/>
        <v>0</v>
      </c>
      <c r="AE466" s="19">
        <f t="shared" si="116"/>
        <v>0</v>
      </c>
      <c r="AF466" s="19"/>
      <c r="AG466" s="17"/>
      <c r="AK466" s="7"/>
      <c r="AL466" s="108">
        <f t="shared" si="119"/>
        <v>0</v>
      </c>
      <c r="AM466" s="108">
        <f t="shared" si="120"/>
        <v>0</v>
      </c>
      <c r="AN466" s="113"/>
    </row>
    <row r="467" spans="2:40" x14ac:dyDescent="0.2">
      <c r="B467" s="7"/>
      <c r="C467" s="8"/>
      <c r="D467" s="8"/>
      <c r="E467" s="9"/>
      <c r="F467" s="6"/>
      <c r="G467" s="8"/>
      <c r="H467" s="32"/>
      <c r="I467" s="10" t="str">
        <f t="shared" si="117"/>
        <v>21</v>
      </c>
      <c r="J467" s="11">
        <v>1</v>
      </c>
      <c r="K467" s="11"/>
      <c r="L467" s="11"/>
      <c r="M467" s="11">
        <f t="shared" si="106"/>
        <v>0</v>
      </c>
      <c r="N467" s="11"/>
      <c r="O467" s="11">
        <f t="shared" si="107"/>
        <v>0</v>
      </c>
      <c r="P467" s="11"/>
      <c r="Q467" s="11"/>
      <c r="R467" s="11"/>
      <c r="S467" s="11">
        <f t="shared" si="108"/>
        <v>0</v>
      </c>
      <c r="T467" s="11">
        <f t="shared" si="109"/>
        <v>1666.6666666666667</v>
      </c>
      <c r="U467" s="11">
        <f t="shared" si="110"/>
        <v>0</v>
      </c>
      <c r="V467" s="24">
        <f t="shared" si="111"/>
        <v>0</v>
      </c>
      <c r="W467" s="11">
        <f>IF(V467&lt;=40000,0,
IF(V467&lt;=55000,(V467-40000)*10%,
IF(V467&lt;=70000,(V467-55000)*15%+1500,
IF(V467&lt;=200000,(V467-70000)*20%+1500+2250,
IF(V467&lt;=400000,(V467-200000)*22.5%+1500+2250+26000,
IF(V467&lt;=600000,(V467-400000)*25%+1500+2250+26000+45000,
IF(AND(V467&gt;600000,V467&lt;=1200000),(V467-400000)*25%+1500+2250+26000+45000
+IFERROR(LOOKUP(V467,{600001;700001;800001;900001},{4000;6750;10250;15250}),0),IF(V467&gt;1200000,((V467-1200000)*27.5%)+300000,0)
)))))))</f>
        <v>0</v>
      </c>
      <c r="X467" s="12">
        <f t="shared" si="112"/>
        <v>0</v>
      </c>
      <c r="Y467" s="12">
        <f t="shared" si="113"/>
        <v>0</v>
      </c>
      <c r="Z467" s="11"/>
      <c r="AA467" s="13">
        <f t="shared" si="114"/>
        <v>0</v>
      </c>
      <c r="AB467" s="12">
        <f t="shared" si="115"/>
        <v>0</v>
      </c>
      <c r="AC467" s="14">
        <f t="shared" si="118"/>
        <v>0</v>
      </c>
      <c r="AE467" s="19">
        <f t="shared" si="116"/>
        <v>0</v>
      </c>
      <c r="AF467" s="19"/>
      <c r="AG467" s="17"/>
      <c r="AK467" s="7"/>
      <c r="AL467" s="108">
        <f t="shared" si="119"/>
        <v>0</v>
      </c>
      <c r="AM467" s="108">
        <f t="shared" si="120"/>
        <v>0</v>
      </c>
      <c r="AN467" s="113"/>
    </row>
    <row r="468" spans="2:40" x14ac:dyDescent="0.2">
      <c r="B468" s="7"/>
      <c r="C468" s="8"/>
      <c r="D468" s="8"/>
      <c r="E468" s="9"/>
      <c r="F468" s="6"/>
      <c r="G468" s="8"/>
      <c r="H468" s="32"/>
      <c r="I468" s="10" t="str">
        <f t="shared" si="117"/>
        <v>21</v>
      </c>
      <c r="J468" s="11">
        <v>1</v>
      </c>
      <c r="K468" s="11"/>
      <c r="L468" s="11"/>
      <c r="M468" s="11">
        <f t="shared" si="106"/>
        <v>0</v>
      </c>
      <c r="N468" s="11"/>
      <c r="O468" s="11">
        <f t="shared" si="107"/>
        <v>0</v>
      </c>
      <c r="P468" s="11"/>
      <c r="Q468" s="11"/>
      <c r="R468" s="11"/>
      <c r="S468" s="11">
        <f t="shared" si="108"/>
        <v>0</v>
      </c>
      <c r="T468" s="11">
        <f t="shared" si="109"/>
        <v>1666.6666666666667</v>
      </c>
      <c r="U468" s="11">
        <f t="shared" si="110"/>
        <v>0</v>
      </c>
      <c r="V468" s="24">
        <f t="shared" si="111"/>
        <v>0</v>
      </c>
      <c r="W468" s="11">
        <f>IF(V468&lt;=40000,0,
IF(V468&lt;=55000,(V468-40000)*10%,
IF(V468&lt;=70000,(V468-55000)*15%+1500,
IF(V468&lt;=200000,(V468-70000)*20%+1500+2250,
IF(V468&lt;=400000,(V468-200000)*22.5%+1500+2250+26000,
IF(V468&lt;=600000,(V468-400000)*25%+1500+2250+26000+45000,
IF(AND(V468&gt;600000,V468&lt;=1200000),(V468-400000)*25%+1500+2250+26000+45000
+IFERROR(LOOKUP(V468,{600001;700001;800001;900001},{4000;6750;10250;15250}),0),IF(V468&gt;1200000,((V468-1200000)*27.5%)+300000,0)
)))))))</f>
        <v>0</v>
      </c>
      <c r="X468" s="12">
        <f t="shared" si="112"/>
        <v>0</v>
      </c>
      <c r="Y468" s="12">
        <f t="shared" si="113"/>
        <v>0</v>
      </c>
      <c r="Z468" s="11"/>
      <c r="AA468" s="13">
        <f t="shared" si="114"/>
        <v>0</v>
      </c>
      <c r="AB468" s="12">
        <f t="shared" si="115"/>
        <v>0</v>
      </c>
      <c r="AC468" s="14">
        <f t="shared" si="118"/>
        <v>0</v>
      </c>
      <c r="AE468" s="19">
        <f t="shared" si="116"/>
        <v>0</v>
      </c>
      <c r="AF468" s="19"/>
      <c r="AG468" s="17"/>
      <c r="AK468" s="7"/>
      <c r="AL468" s="108">
        <f t="shared" si="119"/>
        <v>0</v>
      </c>
      <c r="AM468" s="108">
        <f t="shared" si="120"/>
        <v>0</v>
      </c>
      <c r="AN468" s="113"/>
    </row>
    <row r="469" spans="2:40" x14ac:dyDescent="0.2">
      <c r="B469" s="7"/>
      <c r="C469" s="8"/>
      <c r="D469" s="8"/>
      <c r="E469" s="9"/>
      <c r="F469" s="6"/>
      <c r="G469" s="8"/>
      <c r="H469" s="32"/>
      <c r="I469" s="10" t="str">
        <f t="shared" si="117"/>
        <v>21</v>
      </c>
      <c r="J469" s="11">
        <v>1</v>
      </c>
      <c r="K469" s="11"/>
      <c r="L469" s="11"/>
      <c r="M469" s="11">
        <f t="shared" si="106"/>
        <v>0</v>
      </c>
      <c r="N469" s="11"/>
      <c r="O469" s="11">
        <f t="shared" si="107"/>
        <v>0</v>
      </c>
      <c r="P469" s="11"/>
      <c r="Q469" s="11"/>
      <c r="R469" s="11"/>
      <c r="S469" s="11">
        <f t="shared" si="108"/>
        <v>0</v>
      </c>
      <c r="T469" s="11">
        <f t="shared" si="109"/>
        <v>1666.6666666666667</v>
      </c>
      <c r="U469" s="11">
        <f t="shared" si="110"/>
        <v>0</v>
      </c>
      <c r="V469" s="24">
        <f t="shared" si="111"/>
        <v>0</v>
      </c>
      <c r="W469" s="11">
        <f>IF(V469&lt;=40000,0,
IF(V469&lt;=55000,(V469-40000)*10%,
IF(V469&lt;=70000,(V469-55000)*15%+1500,
IF(V469&lt;=200000,(V469-70000)*20%+1500+2250,
IF(V469&lt;=400000,(V469-200000)*22.5%+1500+2250+26000,
IF(V469&lt;=600000,(V469-400000)*25%+1500+2250+26000+45000,
IF(AND(V469&gt;600000,V469&lt;=1200000),(V469-400000)*25%+1500+2250+26000+45000
+IFERROR(LOOKUP(V469,{600001;700001;800001;900001},{4000;6750;10250;15250}),0),IF(V469&gt;1200000,((V469-1200000)*27.5%)+300000,0)
)))))))</f>
        <v>0</v>
      </c>
      <c r="X469" s="12">
        <f t="shared" si="112"/>
        <v>0</v>
      </c>
      <c r="Y469" s="12">
        <f t="shared" si="113"/>
        <v>0</v>
      </c>
      <c r="Z469" s="11"/>
      <c r="AA469" s="13">
        <f t="shared" si="114"/>
        <v>0</v>
      </c>
      <c r="AB469" s="12">
        <f t="shared" si="115"/>
        <v>0</v>
      </c>
      <c r="AC469" s="14">
        <f t="shared" si="118"/>
        <v>0</v>
      </c>
      <c r="AE469" s="19">
        <f t="shared" si="116"/>
        <v>0</v>
      </c>
      <c r="AF469" s="19"/>
      <c r="AG469" s="17"/>
      <c r="AK469" s="7"/>
      <c r="AL469" s="108">
        <f t="shared" si="119"/>
        <v>0</v>
      </c>
      <c r="AM469" s="108">
        <f t="shared" si="120"/>
        <v>0</v>
      </c>
      <c r="AN469" s="113"/>
    </row>
    <row r="470" spans="2:40" x14ac:dyDescent="0.2">
      <c r="B470" s="7"/>
      <c r="C470" s="8"/>
      <c r="D470" s="8"/>
      <c r="E470" s="9"/>
      <c r="F470" s="6"/>
      <c r="G470" s="8"/>
      <c r="H470" s="32"/>
      <c r="I470" s="10" t="str">
        <f t="shared" si="117"/>
        <v>21</v>
      </c>
      <c r="J470" s="11">
        <v>1</v>
      </c>
      <c r="K470" s="11"/>
      <c r="L470" s="11"/>
      <c r="M470" s="11">
        <f t="shared" si="106"/>
        <v>0</v>
      </c>
      <c r="N470" s="11"/>
      <c r="O470" s="11">
        <f t="shared" si="107"/>
        <v>0</v>
      </c>
      <c r="P470" s="11"/>
      <c r="Q470" s="11"/>
      <c r="R470" s="11"/>
      <c r="S470" s="11">
        <f t="shared" si="108"/>
        <v>0</v>
      </c>
      <c r="T470" s="11">
        <f t="shared" si="109"/>
        <v>1666.6666666666667</v>
      </c>
      <c r="U470" s="11">
        <f t="shared" si="110"/>
        <v>0</v>
      </c>
      <c r="V470" s="24">
        <f t="shared" si="111"/>
        <v>0</v>
      </c>
      <c r="W470" s="11">
        <f>IF(V470&lt;=40000,0,
IF(V470&lt;=55000,(V470-40000)*10%,
IF(V470&lt;=70000,(V470-55000)*15%+1500,
IF(V470&lt;=200000,(V470-70000)*20%+1500+2250,
IF(V470&lt;=400000,(V470-200000)*22.5%+1500+2250+26000,
IF(V470&lt;=600000,(V470-400000)*25%+1500+2250+26000+45000,
IF(AND(V470&gt;600000,V470&lt;=1200000),(V470-400000)*25%+1500+2250+26000+45000
+IFERROR(LOOKUP(V470,{600001;700001;800001;900001},{4000;6750;10250;15250}),0),IF(V470&gt;1200000,((V470-1200000)*27.5%)+300000,0)
)))))))</f>
        <v>0</v>
      </c>
      <c r="X470" s="12">
        <f t="shared" si="112"/>
        <v>0</v>
      </c>
      <c r="Y470" s="12">
        <f t="shared" si="113"/>
        <v>0</v>
      </c>
      <c r="Z470" s="11"/>
      <c r="AA470" s="13">
        <f t="shared" si="114"/>
        <v>0</v>
      </c>
      <c r="AB470" s="12">
        <f t="shared" si="115"/>
        <v>0</v>
      </c>
      <c r="AC470" s="14">
        <f t="shared" si="118"/>
        <v>0</v>
      </c>
      <c r="AE470" s="19">
        <f t="shared" si="116"/>
        <v>0</v>
      </c>
      <c r="AF470" s="19"/>
      <c r="AG470" s="17"/>
      <c r="AK470" s="7"/>
      <c r="AL470" s="108">
        <f t="shared" si="119"/>
        <v>0</v>
      </c>
      <c r="AM470" s="108">
        <f t="shared" si="120"/>
        <v>0</v>
      </c>
      <c r="AN470" s="113"/>
    </row>
    <row r="471" spans="2:40" x14ac:dyDescent="0.2">
      <c r="B471" s="7"/>
      <c r="C471" s="8"/>
      <c r="D471" s="8"/>
      <c r="E471" s="9"/>
      <c r="F471" s="6"/>
      <c r="G471" s="8"/>
      <c r="H471" s="32"/>
      <c r="I471" s="10" t="str">
        <f t="shared" si="117"/>
        <v>21</v>
      </c>
      <c r="J471" s="11">
        <v>1</v>
      </c>
      <c r="K471" s="11"/>
      <c r="L471" s="11"/>
      <c r="M471" s="11">
        <f t="shared" si="106"/>
        <v>0</v>
      </c>
      <c r="N471" s="11"/>
      <c r="O471" s="11">
        <f t="shared" si="107"/>
        <v>0</v>
      </c>
      <c r="P471" s="11"/>
      <c r="Q471" s="11"/>
      <c r="R471" s="11"/>
      <c r="S471" s="11">
        <f t="shared" si="108"/>
        <v>0</v>
      </c>
      <c r="T471" s="11">
        <f t="shared" si="109"/>
        <v>1666.6666666666667</v>
      </c>
      <c r="U471" s="11">
        <f t="shared" si="110"/>
        <v>0</v>
      </c>
      <c r="V471" s="24">
        <f t="shared" si="111"/>
        <v>0</v>
      </c>
      <c r="W471" s="11">
        <f>IF(V471&lt;=40000,0,
IF(V471&lt;=55000,(V471-40000)*10%,
IF(V471&lt;=70000,(V471-55000)*15%+1500,
IF(V471&lt;=200000,(V471-70000)*20%+1500+2250,
IF(V471&lt;=400000,(V471-200000)*22.5%+1500+2250+26000,
IF(V471&lt;=600000,(V471-400000)*25%+1500+2250+26000+45000,
IF(AND(V471&gt;600000,V471&lt;=1200000),(V471-400000)*25%+1500+2250+26000+45000
+IFERROR(LOOKUP(V471,{600001;700001;800001;900001},{4000;6750;10250;15250}),0),IF(V471&gt;1200000,((V471-1200000)*27.5%)+300000,0)
)))))))</f>
        <v>0</v>
      </c>
      <c r="X471" s="12">
        <f t="shared" si="112"/>
        <v>0</v>
      </c>
      <c r="Y471" s="12">
        <f t="shared" si="113"/>
        <v>0</v>
      </c>
      <c r="Z471" s="11"/>
      <c r="AA471" s="13">
        <f t="shared" si="114"/>
        <v>0</v>
      </c>
      <c r="AB471" s="12">
        <f t="shared" si="115"/>
        <v>0</v>
      </c>
      <c r="AC471" s="14">
        <f t="shared" si="118"/>
        <v>0</v>
      </c>
      <c r="AE471" s="19">
        <f t="shared" si="116"/>
        <v>0</v>
      </c>
      <c r="AF471" s="19"/>
      <c r="AG471" s="17"/>
      <c r="AK471" s="7"/>
      <c r="AL471" s="108">
        <f t="shared" si="119"/>
        <v>0</v>
      </c>
      <c r="AM471" s="108">
        <f t="shared" si="120"/>
        <v>0</v>
      </c>
      <c r="AN471" s="113"/>
    </row>
    <row r="472" spans="2:40" x14ac:dyDescent="0.2">
      <c r="B472" s="7"/>
      <c r="C472" s="8"/>
      <c r="D472" s="8"/>
      <c r="E472" s="9"/>
      <c r="F472" s="6"/>
      <c r="G472" s="8"/>
      <c r="H472" s="32"/>
      <c r="I472" s="10" t="str">
        <f t="shared" si="117"/>
        <v>21</v>
      </c>
      <c r="J472" s="11">
        <v>1</v>
      </c>
      <c r="K472" s="11"/>
      <c r="L472" s="11"/>
      <c r="M472" s="11">
        <f t="shared" si="106"/>
        <v>0</v>
      </c>
      <c r="N472" s="11"/>
      <c r="O472" s="11">
        <f t="shared" si="107"/>
        <v>0</v>
      </c>
      <c r="P472" s="11"/>
      <c r="Q472" s="11"/>
      <c r="R472" s="11"/>
      <c r="S472" s="11">
        <f t="shared" si="108"/>
        <v>0</v>
      </c>
      <c r="T472" s="11">
        <f t="shared" si="109"/>
        <v>1666.6666666666667</v>
      </c>
      <c r="U472" s="11">
        <f t="shared" si="110"/>
        <v>0</v>
      </c>
      <c r="V472" s="24">
        <f t="shared" si="111"/>
        <v>0</v>
      </c>
      <c r="W472" s="11">
        <f>IF(V472&lt;=40000,0,
IF(V472&lt;=55000,(V472-40000)*10%,
IF(V472&lt;=70000,(V472-55000)*15%+1500,
IF(V472&lt;=200000,(V472-70000)*20%+1500+2250,
IF(V472&lt;=400000,(V472-200000)*22.5%+1500+2250+26000,
IF(V472&lt;=600000,(V472-400000)*25%+1500+2250+26000+45000,
IF(AND(V472&gt;600000,V472&lt;=1200000),(V472-400000)*25%+1500+2250+26000+45000
+IFERROR(LOOKUP(V472,{600001;700001;800001;900001},{4000;6750;10250;15250}),0),IF(V472&gt;1200000,((V472-1200000)*27.5%)+300000,0)
)))))))</f>
        <v>0</v>
      </c>
      <c r="X472" s="12">
        <f t="shared" si="112"/>
        <v>0</v>
      </c>
      <c r="Y472" s="12">
        <f t="shared" si="113"/>
        <v>0</v>
      </c>
      <c r="Z472" s="11"/>
      <c r="AA472" s="13">
        <f t="shared" si="114"/>
        <v>0</v>
      </c>
      <c r="AB472" s="12">
        <f t="shared" si="115"/>
        <v>0</v>
      </c>
      <c r="AC472" s="14">
        <f t="shared" si="118"/>
        <v>0</v>
      </c>
      <c r="AE472" s="19">
        <f t="shared" si="116"/>
        <v>0</v>
      </c>
      <c r="AF472" s="19"/>
      <c r="AG472" s="17"/>
      <c r="AK472" s="7"/>
      <c r="AL472" s="108">
        <f t="shared" si="119"/>
        <v>0</v>
      </c>
      <c r="AM472" s="108">
        <f t="shared" si="120"/>
        <v>0</v>
      </c>
      <c r="AN472" s="113"/>
    </row>
    <row r="473" spans="2:40" x14ac:dyDescent="0.2">
      <c r="B473" s="7"/>
      <c r="C473" s="8"/>
      <c r="D473" s="8"/>
      <c r="E473" s="9"/>
      <c r="F473" s="6"/>
      <c r="G473" s="8"/>
      <c r="H473" s="32"/>
      <c r="I473" s="10" t="str">
        <f t="shared" si="117"/>
        <v>21</v>
      </c>
      <c r="J473" s="11">
        <v>1</v>
      </c>
      <c r="K473" s="11"/>
      <c r="L473" s="11"/>
      <c r="M473" s="11">
        <f t="shared" si="106"/>
        <v>0</v>
      </c>
      <c r="N473" s="11"/>
      <c r="O473" s="11">
        <f t="shared" si="107"/>
        <v>0</v>
      </c>
      <c r="P473" s="11"/>
      <c r="Q473" s="11"/>
      <c r="R473" s="11"/>
      <c r="S473" s="11">
        <f t="shared" si="108"/>
        <v>0</v>
      </c>
      <c r="T473" s="11">
        <f t="shared" si="109"/>
        <v>1666.6666666666667</v>
      </c>
      <c r="U473" s="11">
        <f t="shared" si="110"/>
        <v>0</v>
      </c>
      <c r="V473" s="24">
        <f t="shared" si="111"/>
        <v>0</v>
      </c>
      <c r="W473" s="11">
        <f>IF(V473&lt;=40000,0,
IF(V473&lt;=55000,(V473-40000)*10%,
IF(V473&lt;=70000,(V473-55000)*15%+1500,
IF(V473&lt;=200000,(V473-70000)*20%+1500+2250,
IF(V473&lt;=400000,(V473-200000)*22.5%+1500+2250+26000,
IF(V473&lt;=600000,(V473-400000)*25%+1500+2250+26000+45000,
IF(AND(V473&gt;600000,V473&lt;=1200000),(V473-400000)*25%+1500+2250+26000+45000
+IFERROR(LOOKUP(V473,{600001;700001;800001;900001},{4000;6750;10250;15250}),0),IF(V473&gt;1200000,((V473-1200000)*27.5%)+300000,0)
)))))))</f>
        <v>0</v>
      </c>
      <c r="X473" s="12">
        <f t="shared" si="112"/>
        <v>0</v>
      </c>
      <c r="Y473" s="12">
        <f t="shared" si="113"/>
        <v>0</v>
      </c>
      <c r="Z473" s="11"/>
      <c r="AA473" s="13">
        <f t="shared" si="114"/>
        <v>0</v>
      </c>
      <c r="AB473" s="12">
        <f t="shared" si="115"/>
        <v>0</v>
      </c>
      <c r="AC473" s="14">
        <f t="shared" si="118"/>
        <v>0</v>
      </c>
      <c r="AE473" s="19">
        <f t="shared" si="116"/>
        <v>0</v>
      </c>
      <c r="AF473" s="19"/>
      <c r="AG473" s="17"/>
      <c r="AK473" s="7"/>
      <c r="AL473" s="108">
        <f t="shared" si="119"/>
        <v>0</v>
      </c>
      <c r="AM473" s="108">
        <f t="shared" si="120"/>
        <v>0</v>
      </c>
      <c r="AN473" s="113"/>
    </row>
    <row r="474" spans="2:40" x14ac:dyDescent="0.2">
      <c r="B474" s="7"/>
      <c r="C474" s="8"/>
      <c r="D474" s="8"/>
      <c r="E474" s="9"/>
      <c r="F474" s="6"/>
      <c r="G474" s="8"/>
      <c r="H474" s="32"/>
      <c r="I474" s="10" t="str">
        <f t="shared" si="117"/>
        <v>21</v>
      </c>
      <c r="J474" s="11">
        <v>1</v>
      </c>
      <c r="K474" s="11"/>
      <c r="L474" s="11"/>
      <c r="M474" s="11">
        <f t="shared" si="106"/>
        <v>0</v>
      </c>
      <c r="N474" s="11"/>
      <c r="O474" s="11">
        <f t="shared" si="107"/>
        <v>0</v>
      </c>
      <c r="P474" s="11"/>
      <c r="Q474" s="11"/>
      <c r="R474" s="11"/>
      <c r="S474" s="11">
        <f t="shared" si="108"/>
        <v>0</v>
      </c>
      <c r="T474" s="11">
        <f t="shared" si="109"/>
        <v>1666.6666666666667</v>
      </c>
      <c r="U474" s="11">
        <f t="shared" si="110"/>
        <v>0</v>
      </c>
      <c r="V474" s="24">
        <f t="shared" si="111"/>
        <v>0</v>
      </c>
      <c r="W474" s="11">
        <f>IF(V474&lt;=40000,0,
IF(V474&lt;=55000,(V474-40000)*10%,
IF(V474&lt;=70000,(V474-55000)*15%+1500,
IF(V474&lt;=200000,(V474-70000)*20%+1500+2250,
IF(V474&lt;=400000,(V474-200000)*22.5%+1500+2250+26000,
IF(V474&lt;=600000,(V474-400000)*25%+1500+2250+26000+45000,
IF(AND(V474&gt;600000,V474&lt;=1200000),(V474-400000)*25%+1500+2250+26000+45000
+IFERROR(LOOKUP(V474,{600001;700001;800001;900001},{4000;6750;10250;15250}),0),IF(V474&gt;1200000,((V474-1200000)*27.5%)+300000,0)
)))))))</f>
        <v>0</v>
      </c>
      <c r="X474" s="12">
        <f t="shared" si="112"/>
        <v>0</v>
      </c>
      <c r="Y474" s="12">
        <f t="shared" si="113"/>
        <v>0</v>
      </c>
      <c r="Z474" s="11"/>
      <c r="AA474" s="13">
        <f t="shared" si="114"/>
        <v>0</v>
      </c>
      <c r="AB474" s="12">
        <f t="shared" si="115"/>
        <v>0</v>
      </c>
      <c r="AC474" s="14">
        <f t="shared" si="118"/>
        <v>0</v>
      </c>
      <c r="AE474" s="19">
        <f t="shared" si="116"/>
        <v>0</v>
      </c>
      <c r="AF474" s="19"/>
      <c r="AG474" s="17"/>
      <c r="AK474" s="7"/>
      <c r="AL474" s="108">
        <f t="shared" si="119"/>
        <v>0</v>
      </c>
      <c r="AM474" s="108">
        <f t="shared" si="120"/>
        <v>0</v>
      </c>
      <c r="AN474" s="113"/>
    </row>
    <row r="475" spans="2:40" x14ac:dyDescent="0.2">
      <c r="B475" s="7"/>
      <c r="C475" s="8"/>
      <c r="D475" s="8"/>
      <c r="E475" s="9"/>
      <c r="F475" s="6"/>
      <c r="G475" s="8"/>
      <c r="H475" s="32"/>
      <c r="I475" s="10" t="str">
        <f t="shared" si="117"/>
        <v>21</v>
      </c>
      <c r="J475" s="11">
        <v>1</v>
      </c>
      <c r="K475" s="11"/>
      <c r="L475" s="11"/>
      <c r="M475" s="11">
        <f t="shared" si="106"/>
        <v>0</v>
      </c>
      <c r="N475" s="11"/>
      <c r="O475" s="11">
        <f t="shared" si="107"/>
        <v>0</v>
      </c>
      <c r="P475" s="11"/>
      <c r="Q475" s="11"/>
      <c r="R475" s="11"/>
      <c r="S475" s="11">
        <f t="shared" si="108"/>
        <v>0</v>
      </c>
      <c r="T475" s="11">
        <f t="shared" si="109"/>
        <v>1666.6666666666667</v>
      </c>
      <c r="U475" s="11">
        <f t="shared" si="110"/>
        <v>0</v>
      </c>
      <c r="V475" s="24">
        <f t="shared" si="111"/>
        <v>0</v>
      </c>
      <c r="W475" s="11">
        <f>IF(V475&lt;=40000,0,
IF(V475&lt;=55000,(V475-40000)*10%,
IF(V475&lt;=70000,(V475-55000)*15%+1500,
IF(V475&lt;=200000,(V475-70000)*20%+1500+2250,
IF(V475&lt;=400000,(V475-200000)*22.5%+1500+2250+26000,
IF(V475&lt;=600000,(V475-400000)*25%+1500+2250+26000+45000,
IF(AND(V475&gt;600000,V475&lt;=1200000),(V475-400000)*25%+1500+2250+26000+45000
+IFERROR(LOOKUP(V475,{600001;700001;800001;900001},{4000;6750;10250;15250}),0),IF(V475&gt;1200000,((V475-1200000)*27.5%)+300000,0)
)))))))</f>
        <v>0</v>
      </c>
      <c r="X475" s="12">
        <f t="shared" si="112"/>
        <v>0</v>
      </c>
      <c r="Y475" s="12">
        <f t="shared" si="113"/>
        <v>0</v>
      </c>
      <c r="Z475" s="11"/>
      <c r="AA475" s="13">
        <f t="shared" si="114"/>
        <v>0</v>
      </c>
      <c r="AB475" s="12">
        <f t="shared" si="115"/>
        <v>0</v>
      </c>
      <c r="AC475" s="14">
        <f t="shared" si="118"/>
        <v>0</v>
      </c>
      <c r="AE475" s="19">
        <f t="shared" si="116"/>
        <v>0</v>
      </c>
      <c r="AF475" s="19"/>
      <c r="AG475" s="17"/>
      <c r="AK475" s="7"/>
      <c r="AL475" s="108">
        <f t="shared" si="119"/>
        <v>0</v>
      </c>
      <c r="AM475" s="108">
        <f t="shared" si="120"/>
        <v>0</v>
      </c>
      <c r="AN475" s="113"/>
    </row>
    <row r="476" spans="2:40" x14ac:dyDescent="0.2">
      <c r="B476" s="7"/>
      <c r="C476" s="8"/>
      <c r="D476" s="8"/>
      <c r="E476" s="9"/>
      <c r="F476" s="6"/>
      <c r="G476" s="8"/>
      <c r="H476" s="32"/>
      <c r="I476" s="10" t="str">
        <f t="shared" si="117"/>
        <v>21</v>
      </c>
      <c r="J476" s="11">
        <v>1</v>
      </c>
      <c r="K476" s="11"/>
      <c r="L476" s="11"/>
      <c r="M476" s="11">
        <f t="shared" si="106"/>
        <v>0</v>
      </c>
      <c r="N476" s="11"/>
      <c r="O476" s="11">
        <f t="shared" si="107"/>
        <v>0</v>
      </c>
      <c r="P476" s="11"/>
      <c r="Q476" s="11"/>
      <c r="R476" s="11"/>
      <c r="S476" s="11">
        <f t="shared" si="108"/>
        <v>0</v>
      </c>
      <c r="T476" s="11">
        <f t="shared" si="109"/>
        <v>1666.6666666666667</v>
      </c>
      <c r="U476" s="11">
        <f t="shared" si="110"/>
        <v>0</v>
      </c>
      <c r="V476" s="24">
        <f t="shared" si="111"/>
        <v>0</v>
      </c>
      <c r="W476" s="11">
        <f>IF(V476&lt;=40000,0,
IF(V476&lt;=55000,(V476-40000)*10%,
IF(V476&lt;=70000,(V476-55000)*15%+1500,
IF(V476&lt;=200000,(V476-70000)*20%+1500+2250,
IF(V476&lt;=400000,(V476-200000)*22.5%+1500+2250+26000,
IF(V476&lt;=600000,(V476-400000)*25%+1500+2250+26000+45000,
IF(AND(V476&gt;600000,V476&lt;=1200000),(V476-400000)*25%+1500+2250+26000+45000
+IFERROR(LOOKUP(V476,{600001;700001;800001;900001},{4000;6750;10250;15250}),0),IF(V476&gt;1200000,((V476-1200000)*27.5%)+300000,0)
)))))))</f>
        <v>0</v>
      </c>
      <c r="X476" s="12">
        <f t="shared" si="112"/>
        <v>0</v>
      </c>
      <c r="Y476" s="12">
        <f t="shared" si="113"/>
        <v>0</v>
      </c>
      <c r="Z476" s="11"/>
      <c r="AA476" s="13">
        <f t="shared" si="114"/>
        <v>0</v>
      </c>
      <c r="AB476" s="12">
        <f t="shared" si="115"/>
        <v>0</v>
      </c>
      <c r="AC476" s="14">
        <f t="shared" si="118"/>
        <v>0</v>
      </c>
      <c r="AE476" s="19">
        <f t="shared" si="116"/>
        <v>0</v>
      </c>
      <c r="AF476" s="19"/>
      <c r="AG476" s="17"/>
      <c r="AK476" s="7"/>
      <c r="AL476" s="108">
        <f t="shared" si="119"/>
        <v>0</v>
      </c>
      <c r="AM476" s="108">
        <f t="shared" si="120"/>
        <v>0</v>
      </c>
      <c r="AN476" s="113"/>
    </row>
    <row r="477" spans="2:40" x14ac:dyDescent="0.2">
      <c r="B477" s="7"/>
      <c r="C477" s="8"/>
      <c r="D477" s="8"/>
      <c r="E477" s="9"/>
      <c r="F477" s="6"/>
      <c r="G477" s="8"/>
      <c r="H477" s="32"/>
      <c r="I477" s="10" t="str">
        <f t="shared" si="117"/>
        <v>21</v>
      </c>
      <c r="J477" s="11">
        <v>1</v>
      </c>
      <c r="K477" s="11"/>
      <c r="L477" s="11"/>
      <c r="M477" s="11">
        <f t="shared" ref="M477:M540" si="121">SUM(K477:L477)</f>
        <v>0</v>
      </c>
      <c r="N477" s="11"/>
      <c r="O477" s="11">
        <f t="shared" ref="O477:O540" si="122">+N477+M477</f>
        <v>0</v>
      </c>
      <c r="P477" s="11"/>
      <c r="Q477" s="11"/>
      <c r="R477" s="11"/>
      <c r="S477" s="11">
        <f t="shared" ref="S477:S540" si="123">O477-P477-Q477-R477</f>
        <v>0</v>
      </c>
      <c r="T477" s="11">
        <f t="shared" ref="T477:T540" si="124">IF(J477&gt;0,(20000/12*J477),0)</f>
        <v>1666.6666666666667</v>
      </c>
      <c r="U477" s="11">
        <f t="shared" ref="U477:U540" si="125">IF(AND(J477&gt;0,S477-T477&gt;0),S477-T477,0)</f>
        <v>0</v>
      </c>
      <c r="V477" s="24">
        <f t="shared" ref="V477:V540" si="126">IF(J477=0,0,(U477/J477*12))</f>
        <v>0</v>
      </c>
      <c r="W477" s="11">
        <f>IF(V477&lt;=40000,0,
IF(V477&lt;=55000,(V477-40000)*10%,
IF(V477&lt;=70000,(V477-55000)*15%+1500,
IF(V477&lt;=200000,(V477-70000)*20%+1500+2250,
IF(V477&lt;=400000,(V477-200000)*22.5%+1500+2250+26000,
IF(V477&lt;=600000,(V477-400000)*25%+1500+2250+26000+45000,
IF(AND(V477&gt;600000,V477&lt;=1200000),(V477-400000)*25%+1500+2250+26000+45000
+IFERROR(LOOKUP(V477,{600001;700001;800001;900001},{4000;6750;10250;15250}),0),IF(V477&gt;1200000,((V477-1200000)*27.5%)+300000,0)
)))))))</f>
        <v>0</v>
      </c>
      <c r="X477" s="12">
        <f t="shared" ref="X477:X540" si="127">N477*0.1</f>
        <v>0</v>
      </c>
      <c r="Y477" s="12">
        <f t="shared" ref="Y477:Y540" si="128">(W477/12*J477)-X477</f>
        <v>0</v>
      </c>
      <c r="Z477" s="11"/>
      <c r="AA477" s="13">
        <f t="shared" ref="AA477:AA540" si="129">+O477-P477-Y477-Z477</f>
        <v>0</v>
      </c>
      <c r="AB477" s="12">
        <f t="shared" ref="AB477:AB540" si="130">(P477/0.11)*18.75%</f>
        <v>0</v>
      </c>
      <c r="AC477" s="14">
        <f t="shared" si="118"/>
        <v>0</v>
      </c>
      <c r="AE477" s="19">
        <f t="shared" ref="AE477:AE540" si="131">+AD477-AC477</f>
        <v>0</v>
      </c>
      <c r="AF477" s="19"/>
      <c r="AG477" s="17"/>
      <c r="AK477" s="7"/>
      <c r="AL477" s="108">
        <f t="shared" si="119"/>
        <v>0</v>
      </c>
      <c r="AM477" s="108">
        <f t="shared" si="120"/>
        <v>0</v>
      </c>
      <c r="AN477" s="113"/>
    </row>
    <row r="478" spans="2:40" x14ac:dyDescent="0.2">
      <c r="B478" s="7"/>
      <c r="C478" s="8"/>
      <c r="D478" s="8"/>
      <c r="E478" s="9"/>
      <c r="F478" s="6"/>
      <c r="G478" s="8"/>
      <c r="H478" s="32"/>
      <c r="I478" s="10" t="str">
        <f t="shared" si="117"/>
        <v>21</v>
      </c>
      <c r="J478" s="11">
        <v>1</v>
      </c>
      <c r="K478" s="11"/>
      <c r="L478" s="11"/>
      <c r="M478" s="11">
        <f t="shared" si="121"/>
        <v>0</v>
      </c>
      <c r="N478" s="11"/>
      <c r="O478" s="11">
        <f t="shared" si="122"/>
        <v>0</v>
      </c>
      <c r="P478" s="11"/>
      <c r="Q478" s="11"/>
      <c r="R478" s="11"/>
      <c r="S478" s="11">
        <f t="shared" si="123"/>
        <v>0</v>
      </c>
      <c r="T478" s="11">
        <f t="shared" si="124"/>
        <v>1666.6666666666667</v>
      </c>
      <c r="U478" s="11">
        <f t="shared" si="125"/>
        <v>0</v>
      </c>
      <c r="V478" s="24">
        <f t="shared" si="126"/>
        <v>0</v>
      </c>
      <c r="W478" s="11">
        <f>IF(V478&lt;=40000,0,
IF(V478&lt;=55000,(V478-40000)*10%,
IF(V478&lt;=70000,(V478-55000)*15%+1500,
IF(V478&lt;=200000,(V478-70000)*20%+1500+2250,
IF(V478&lt;=400000,(V478-200000)*22.5%+1500+2250+26000,
IF(V478&lt;=600000,(V478-400000)*25%+1500+2250+26000+45000,
IF(AND(V478&gt;600000,V478&lt;=1200000),(V478-400000)*25%+1500+2250+26000+45000
+IFERROR(LOOKUP(V478,{600001;700001;800001;900001},{4000;6750;10250;15250}),0),IF(V478&gt;1200000,((V478-1200000)*27.5%)+300000,0)
)))))))</f>
        <v>0</v>
      </c>
      <c r="X478" s="12">
        <f t="shared" si="127"/>
        <v>0</v>
      </c>
      <c r="Y478" s="12">
        <f t="shared" si="128"/>
        <v>0</v>
      </c>
      <c r="Z478" s="11"/>
      <c r="AA478" s="13">
        <f t="shared" si="129"/>
        <v>0</v>
      </c>
      <c r="AB478" s="12">
        <f t="shared" si="130"/>
        <v>0</v>
      </c>
      <c r="AC478" s="14">
        <f t="shared" si="118"/>
        <v>0</v>
      </c>
      <c r="AE478" s="19">
        <f t="shared" si="131"/>
        <v>0</v>
      </c>
      <c r="AF478" s="19"/>
      <c r="AG478" s="17"/>
      <c r="AK478" s="7"/>
      <c r="AL478" s="108">
        <f t="shared" si="119"/>
        <v>0</v>
      </c>
      <c r="AM478" s="108">
        <f t="shared" si="120"/>
        <v>0</v>
      </c>
      <c r="AN478" s="113"/>
    </row>
    <row r="479" spans="2:40" x14ac:dyDescent="0.2">
      <c r="B479" s="7"/>
      <c r="C479" s="8"/>
      <c r="D479" s="8"/>
      <c r="E479" s="9"/>
      <c r="F479" s="6"/>
      <c r="G479" s="8"/>
      <c r="H479" s="32"/>
      <c r="I479" s="10" t="str">
        <f t="shared" si="117"/>
        <v>21</v>
      </c>
      <c r="J479" s="11">
        <v>1</v>
      </c>
      <c r="K479" s="11"/>
      <c r="L479" s="11"/>
      <c r="M479" s="11">
        <f t="shared" si="121"/>
        <v>0</v>
      </c>
      <c r="N479" s="11"/>
      <c r="O479" s="11">
        <f t="shared" si="122"/>
        <v>0</v>
      </c>
      <c r="P479" s="11"/>
      <c r="Q479" s="11"/>
      <c r="R479" s="11"/>
      <c r="S479" s="11">
        <f t="shared" si="123"/>
        <v>0</v>
      </c>
      <c r="T479" s="11">
        <f t="shared" si="124"/>
        <v>1666.6666666666667</v>
      </c>
      <c r="U479" s="11">
        <f t="shared" si="125"/>
        <v>0</v>
      </c>
      <c r="V479" s="24">
        <f t="shared" si="126"/>
        <v>0</v>
      </c>
      <c r="W479" s="11">
        <f>IF(V479&lt;=40000,0,
IF(V479&lt;=55000,(V479-40000)*10%,
IF(V479&lt;=70000,(V479-55000)*15%+1500,
IF(V479&lt;=200000,(V479-70000)*20%+1500+2250,
IF(V479&lt;=400000,(V479-200000)*22.5%+1500+2250+26000,
IF(V479&lt;=600000,(V479-400000)*25%+1500+2250+26000+45000,
IF(AND(V479&gt;600000,V479&lt;=1200000),(V479-400000)*25%+1500+2250+26000+45000
+IFERROR(LOOKUP(V479,{600001;700001;800001;900001},{4000;6750;10250;15250}),0),IF(V479&gt;1200000,((V479-1200000)*27.5%)+300000,0)
)))))))</f>
        <v>0</v>
      </c>
      <c r="X479" s="12">
        <f t="shared" si="127"/>
        <v>0</v>
      </c>
      <c r="Y479" s="12">
        <f t="shared" si="128"/>
        <v>0</v>
      </c>
      <c r="Z479" s="11"/>
      <c r="AA479" s="13">
        <f t="shared" si="129"/>
        <v>0</v>
      </c>
      <c r="AB479" s="12">
        <f t="shared" si="130"/>
        <v>0</v>
      </c>
      <c r="AC479" s="14">
        <f t="shared" si="118"/>
        <v>0</v>
      </c>
      <c r="AE479" s="19">
        <f t="shared" si="131"/>
        <v>0</v>
      </c>
      <c r="AF479" s="19"/>
      <c r="AG479" s="17"/>
      <c r="AK479" s="7"/>
      <c r="AL479" s="108">
        <f t="shared" si="119"/>
        <v>0</v>
      </c>
      <c r="AM479" s="108">
        <f t="shared" si="120"/>
        <v>0</v>
      </c>
      <c r="AN479" s="113"/>
    </row>
    <row r="480" spans="2:40" x14ac:dyDescent="0.2">
      <c r="B480" s="7"/>
      <c r="C480" s="8"/>
      <c r="D480" s="8"/>
      <c r="E480" s="9"/>
      <c r="F480" s="6"/>
      <c r="G480" s="8"/>
      <c r="H480" s="32"/>
      <c r="I480" s="10" t="str">
        <f t="shared" si="117"/>
        <v>21</v>
      </c>
      <c r="J480" s="11">
        <v>1</v>
      </c>
      <c r="K480" s="11"/>
      <c r="L480" s="11"/>
      <c r="M480" s="11">
        <f t="shared" si="121"/>
        <v>0</v>
      </c>
      <c r="N480" s="11"/>
      <c r="O480" s="11">
        <f t="shared" si="122"/>
        <v>0</v>
      </c>
      <c r="P480" s="11"/>
      <c r="Q480" s="11"/>
      <c r="R480" s="11"/>
      <c r="S480" s="11">
        <f t="shared" si="123"/>
        <v>0</v>
      </c>
      <c r="T480" s="11">
        <f t="shared" si="124"/>
        <v>1666.6666666666667</v>
      </c>
      <c r="U480" s="11">
        <f t="shared" si="125"/>
        <v>0</v>
      </c>
      <c r="V480" s="24">
        <f t="shared" si="126"/>
        <v>0</v>
      </c>
      <c r="W480" s="11">
        <f>IF(V480&lt;=40000,0,
IF(V480&lt;=55000,(V480-40000)*10%,
IF(V480&lt;=70000,(V480-55000)*15%+1500,
IF(V480&lt;=200000,(V480-70000)*20%+1500+2250,
IF(V480&lt;=400000,(V480-200000)*22.5%+1500+2250+26000,
IF(V480&lt;=600000,(V480-400000)*25%+1500+2250+26000+45000,
IF(AND(V480&gt;600000,V480&lt;=1200000),(V480-400000)*25%+1500+2250+26000+45000
+IFERROR(LOOKUP(V480,{600001;700001;800001;900001},{4000;6750;10250;15250}),0),IF(V480&gt;1200000,((V480-1200000)*27.5%)+300000,0)
)))))))</f>
        <v>0</v>
      </c>
      <c r="X480" s="12">
        <f t="shared" si="127"/>
        <v>0</v>
      </c>
      <c r="Y480" s="12">
        <f t="shared" si="128"/>
        <v>0</v>
      </c>
      <c r="Z480" s="11"/>
      <c r="AA480" s="13">
        <f t="shared" si="129"/>
        <v>0</v>
      </c>
      <c r="AB480" s="12">
        <f t="shared" si="130"/>
        <v>0</v>
      </c>
      <c r="AC480" s="14">
        <f t="shared" si="118"/>
        <v>0</v>
      </c>
      <c r="AE480" s="19">
        <f t="shared" si="131"/>
        <v>0</v>
      </c>
      <c r="AF480" s="19"/>
      <c r="AG480" s="17"/>
      <c r="AK480" s="7"/>
      <c r="AL480" s="108">
        <f t="shared" si="119"/>
        <v>0</v>
      </c>
      <c r="AM480" s="108">
        <f t="shared" si="120"/>
        <v>0</v>
      </c>
      <c r="AN480" s="113"/>
    </row>
    <row r="481" spans="2:40" x14ac:dyDescent="0.2">
      <c r="B481" s="7"/>
      <c r="C481" s="8"/>
      <c r="D481" s="8"/>
      <c r="E481" s="9"/>
      <c r="F481" s="6"/>
      <c r="G481" s="8"/>
      <c r="H481" s="32"/>
      <c r="I481" s="10" t="str">
        <f t="shared" si="117"/>
        <v>21</v>
      </c>
      <c r="J481" s="11">
        <v>1</v>
      </c>
      <c r="K481" s="11"/>
      <c r="L481" s="11"/>
      <c r="M481" s="11">
        <f t="shared" si="121"/>
        <v>0</v>
      </c>
      <c r="N481" s="11"/>
      <c r="O481" s="11">
        <f t="shared" si="122"/>
        <v>0</v>
      </c>
      <c r="P481" s="11"/>
      <c r="Q481" s="11"/>
      <c r="R481" s="11"/>
      <c r="S481" s="11">
        <f t="shared" si="123"/>
        <v>0</v>
      </c>
      <c r="T481" s="11">
        <f t="shared" si="124"/>
        <v>1666.6666666666667</v>
      </c>
      <c r="U481" s="11">
        <f t="shared" si="125"/>
        <v>0</v>
      </c>
      <c r="V481" s="24">
        <f t="shared" si="126"/>
        <v>0</v>
      </c>
      <c r="W481" s="11">
        <f>IF(V481&lt;=40000,0,
IF(V481&lt;=55000,(V481-40000)*10%,
IF(V481&lt;=70000,(V481-55000)*15%+1500,
IF(V481&lt;=200000,(V481-70000)*20%+1500+2250,
IF(V481&lt;=400000,(V481-200000)*22.5%+1500+2250+26000,
IF(V481&lt;=600000,(V481-400000)*25%+1500+2250+26000+45000,
IF(AND(V481&gt;600000,V481&lt;=1200000),(V481-400000)*25%+1500+2250+26000+45000
+IFERROR(LOOKUP(V481,{600001;700001;800001;900001},{4000;6750;10250;15250}),0),IF(V481&gt;1200000,((V481-1200000)*27.5%)+300000,0)
)))))))</f>
        <v>0</v>
      </c>
      <c r="X481" s="12">
        <f t="shared" si="127"/>
        <v>0</v>
      </c>
      <c r="Y481" s="12">
        <f t="shared" si="128"/>
        <v>0</v>
      </c>
      <c r="Z481" s="11"/>
      <c r="AA481" s="13">
        <f t="shared" si="129"/>
        <v>0</v>
      </c>
      <c r="AB481" s="12">
        <f t="shared" si="130"/>
        <v>0</v>
      </c>
      <c r="AC481" s="14">
        <f t="shared" si="118"/>
        <v>0</v>
      </c>
      <c r="AE481" s="19">
        <f t="shared" si="131"/>
        <v>0</v>
      </c>
      <c r="AF481" s="19"/>
      <c r="AG481" s="17"/>
      <c r="AK481" s="7"/>
      <c r="AL481" s="108">
        <f t="shared" si="119"/>
        <v>0</v>
      </c>
      <c r="AM481" s="108">
        <f t="shared" si="120"/>
        <v>0</v>
      </c>
      <c r="AN481" s="113"/>
    </row>
    <row r="482" spans="2:40" x14ac:dyDescent="0.2">
      <c r="B482" s="7"/>
      <c r="C482" s="8"/>
      <c r="D482" s="8"/>
      <c r="E482" s="9"/>
      <c r="F482" s="6"/>
      <c r="G482" s="8"/>
      <c r="H482" s="32"/>
      <c r="I482" s="10" t="str">
        <f t="shared" si="117"/>
        <v>21</v>
      </c>
      <c r="J482" s="11">
        <v>1</v>
      </c>
      <c r="K482" s="11"/>
      <c r="L482" s="11"/>
      <c r="M482" s="11">
        <f t="shared" si="121"/>
        <v>0</v>
      </c>
      <c r="N482" s="11"/>
      <c r="O482" s="11">
        <f t="shared" si="122"/>
        <v>0</v>
      </c>
      <c r="P482" s="11"/>
      <c r="Q482" s="11"/>
      <c r="R482" s="11"/>
      <c r="S482" s="11">
        <f t="shared" si="123"/>
        <v>0</v>
      </c>
      <c r="T482" s="11">
        <f t="shared" si="124"/>
        <v>1666.6666666666667</v>
      </c>
      <c r="U482" s="11">
        <f t="shared" si="125"/>
        <v>0</v>
      </c>
      <c r="V482" s="24">
        <f t="shared" si="126"/>
        <v>0</v>
      </c>
      <c r="W482" s="11">
        <f>IF(V482&lt;=40000,0,
IF(V482&lt;=55000,(V482-40000)*10%,
IF(V482&lt;=70000,(V482-55000)*15%+1500,
IF(V482&lt;=200000,(V482-70000)*20%+1500+2250,
IF(V482&lt;=400000,(V482-200000)*22.5%+1500+2250+26000,
IF(V482&lt;=600000,(V482-400000)*25%+1500+2250+26000+45000,
IF(AND(V482&gt;600000,V482&lt;=1200000),(V482-400000)*25%+1500+2250+26000+45000
+IFERROR(LOOKUP(V482,{600001;700001;800001;900001},{4000;6750;10250;15250}),0),IF(V482&gt;1200000,((V482-1200000)*27.5%)+300000,0)
)))))))</f>
        <v>0</v>
      </c>
      <c r="X482" s="12">
        <f t="shared" si="127"/>
        <v>0</v>
      </c>
      <c r="Y482" s="12">
        <f t="shared" si="128"/>
        <v>0</v>
      </c>
      <c r="Z482" s="11"/>
      <c r="AA482" s="13">
        <f t="shared" si="129"/>
        <v>0</v>
      </c>
      <c r="AB482" s="12">
        <f t="shared" si="130"/>
        <v>0</v>
      </c>
      <c r="AC482" s="14">
        <f t="shared" si="118"/>
        <v>0</v>
      </c>
      <c r="AE482" s="19">
        <f t="shared" si="131"/>
        <v>0</v>
      </c>
      <c r="AF482" s="19"/>
      <c r="AG482" s="17"/>
      <c r="AK482" s="7"/>
      <c r="AL482" s="108">
        <f t="shared" si="119"/>
        <v>0</v>
      </c>
      <c r="AM482" s="108">
        <f t="shared" si="120"/>
        <v>0</v>
      </c>
      <c r="AN482" s="113"/>
    </row>
    <row r="483" spans="2:40" x14ac:dyDescent="0.2">
      <c r="B483" s="7"/>
      <c r="C483" s="8"/>
      <c r="D483" s="8"/>
      <c r="E483" s="9"/>
      <c r="F483" s="6"/>
      <c r="G483" s="8"/>
      <c r="H483" s="32"/>
      <c r="I483" s="10" t="str">
        <f t="shared" si="117"/>
        <v>21</v>
      </c>
      <c r="J483" s="11">
        <v>1</v>
      </c>
      <c r="K483" s="11"/>
      <c r="L483" s="11"/>
      <c r="M483" s="11">
        <f t="shared" si="121"/>
        <v>0</v>
      </c>
      <c r="N483" s="11"/>
      <c r="O483" s="11">
        <f t="shared" si="122"/>
        <v>0</v>
      </c>
      <c r="P483" s="11"/>
      <c r="Q483" s="11"/>
      <c r="R483" s="11"/>
      <c r="S483" s="11">
        <f t="shared" si="123"/>
        <v>0</v>
      </c>
      <c r="T483" s="11">
        <f t="shared" si="124"/>
        <v>1666.6666666666667</v>
      </c>
      <c r="U483" s="11">
        <f t="shared" si="125"/>
        <v>0</v>
      </c>
      <c r="V483" s="24">
        <f t="shared" si="126"/>
        <v>0</v>
      </c>
      <c r="W483" s="11">
        <f>IF(V483&lt;=40000,0,
IF(V483&lt;=55000,(V483-40000)*10%,
IF(V483&lt;=70000,(V483-55000)*15%+1500,
IF(V483&lt;=200000,(V483-70000)*20%+1500+2250,
IF(V483&lt;=400000,(V483-200000)*22.5%+1500+2250+26000,
IF(V483&lt;=600000,(V483-400000)*25%+1500+2250+26000+45000,
IF(AND(V483&gt;600000,V483&lt;=1200000),(V483-400000)*25%+1500+2250+26000+45000
+IFERROR(LOOKUP(V483,{600001;700001;800001;900001},{4000;6750;10250;15250}),0),IF(V483&gt;1200000,((V483-1200000)*27.5%)+300000,0)
)))))))</f>
        <v>0</v>
      </c>
      <c r="X483" s="12">
        <f t="shared" si="127"/>
        <v>0</v>
      </c>
      <c r="Y483" s="12">
        <f t="shared" si="128"/>
        <v>0</v>
      </c>
      <c r="Z483" s="11"/>
      <c r="AA483" s="13">
        <f t="shared" si="129"/>
        <v>0</v>
      </c>
      <c r="AB483" s="12">
        <f t="shared" si="130"/>
        <v>0</v>
      </c>
      <c r="AC483" s="14">
        <f t="shared" si="118"/>
        <v>0</v>
      </c>
      <c r="AE483" s="19">
        <f t="shared" si="131"/>
        <v>0</v>
      </c>
      <c r="AF483" s="19"/>
      <c r="AG483" s="17"/>
      <c r="AK483" s="7"/>
      <c r="AL483" s="108">
        <f t="shared" si="119"/>
        <v>0</v>
      </c>
      <c r="AM483" s="108">
        <f t="shared" si="120"/>
        <v>0</v>
      </c>
      <c r="AN483" s="113"/>
    </row>
    <row r="484" spans="2:40" x14ac:dyDescent="0.2">
      <c r="B484" s="7"/>
      <c r="C484" s="8"/>
      <c r="D484" s="8"/>
      <c r="E484" s="9"/>
      <c r="F484" s="6"/>
      <c r="G484" s="8"/>
      <c r="H484" s="32"/>
      <c r="I484" s="10" t="str">
        <f t="shared" si="117"/>
        <v>21</v>
      </c>
      <c r="J484" s="11">
        <v>1</v>
      </c>
      <c r="K484" s="11"/>
      <c r="L484" s="11"/>
      <c r="M484" s="11">
        <f t="shared" si="121"/>
        <v>0</v>
      </c>
      <c r="N484" s="11"/>
      <c r="O484" s="11">
        <f t="shared" si="122"/>
        <v>0</v>
      </c>
      <c r="P484" s="11"/>
      <c r="Q484" s="11"/>
      <c r="R484" s="11"/>
      <c r="S484" s="11">
        <f t="shared" si="123"/>
        <v>0</v>
      </c>
      <c r="T484" s="11">
        <f t="shared" si="124"/>
        <v>1666.6666666666667</v>
      </c>
      <c r="U484" s="11">
        <f t="shared" si="125"/>
        <v>0</v>
      </c>
      <c r="V484" s="24">
        <f t="shared" si="126"/>
        <v>0</v>
      </c>
      <c r="W484" s="11">
        <f>IF(V484&lt;=40000,0,
IF(V484&lt;=55000,(V484-40000)*10%,
IF(V484&lt;=70000,(V484-55000)*15%+1500,
IF(V484&lt;=200000,(V484-70000)*20%+1500+2250,
IF(V484&lt;=400000,(V484-200000)*22.5%+1500+2250+26000,
IF(V484&lt;=600000,(V484-400000)*25%+1500+2250+26000+45000,
IF(AND(V484&gt;600000,V484&lt;=1200000),(V484-400000)*25%+1500+2250+26000+45000
+IFERROR(LOOKUP(V484,{600001;700001;800001;900001},{4000;6750;10250;15250}),0),IF(V484&gt;1200000,((V484-1200000)*27.5%)+300000,0)
)))))))</f>
        <v>0</v>
      </c>
      <c r="X484" s="12">
        <f t="shared" si="127"/>
        <v>0</v>
      </c>
      <c r="Y484" s="12">
        <f t="shared" si="128"/>
        <v>0</v>
      </c>
      <c r="Z484" s="11"/>
      <c r="AA484" s="13">
        <f t="shared" si="129"/>
        <v>0</v>
      </c>
      <c r="AB484" s="12">
        <f t="shared" si="130"/>
        <v>0</v>
      </c>
      <c r="AC484" s="14">
        <f t="shared" si="118"/>
        <v>0</v>
      </c>
      <c r="AE484" s="19">
        <f t="shared" si="131"/>
        <v>0</v>
      </c>
      <c r="AF484" s="19"/>
      <c r="AG484" s="17"/>
      <c r="AK484" s="7"/>
      <c r="AL484" s="108">
        <f t="shared" si="119"/>
        <v>0</v>
      </c>
      <c r="AM484" s="108">
        <f t="shared" si="120"/>
        <v>0</v>
      </c>
      <c r="AN484" s="113"/>
    </row>
    <row r="485" spans="2:40" x14ac:dyDescent="0.2">
      <c r="B485" s="7"/>
      <c r="C485" s="8"/>
      <c r="D485" s="8"/>
      <c r="E485" s="9"/>
      <c r="F485" s="6"/>
      <c r="G485" s="8"/>
      <c r="H485" s="32"/>
      <c r="I485" s="10" t="str">
        <f t="shared" si="117"/>
        <v>21</v>
      </c>
      <c r="J485" s="11">
        <v>1</v>
      </c>
      <c r="K485" s="11"/>
      <c r="L485" s="11"/>
      <c r="M485" s="11">
        <f t="shared" si="121"/>
        <v>0</v>
      </c>
      <c r="N485" s="11"/>
      <c r="O485" s="11">
        <f t="shared" si="122"/>
        <v>0</v>
      </c>
      <c r="P485" s="11"/>
      <c r="Q485" s="11"/>
      <c r="R485" s="11"/>
      <c r="S485" s="11">
        <f t="shared" si="123"/>
        <v>0</v>
      </c>
      <c r="T485" s="11">
        <f t="shared" si="124"/>
        <v>1666.6666666666667</v>
      </c>
      <c r="U485" s="11">
        <f t="shared" si="125"/>
        <v>0</v>
      </c>
      <c r="V485" s="24">
        <f t="shared" si="126"/>
        <v>0</v>
      </c>
      <c r="W485" s="11">
        <f>IF(V485&lt;=40000,0,
IF(V485&lt;=55000,(V485-40000)*10%,
IF(V485&lt;=70000,(V485-55000)*15%+1500,
IF(V485&lt;=200000,(V485-70000)*20%+1500+2250,
IF(V485&lt;=400000,(V485-200000)*22.5%+1500+2250+26000,
IF(V485&lt;=600000,(V485-400000)*25%+1500+2250+26000+45000,
IF(AND(V485&gt;600000,V485&lt;=1200000),(V485-400000)*25%+1500+2250+26000+45000
+IFERROR(LOOKUP(V485,{600001;700001;800001;900001},{4000;6750;10250;15250}),0),IF(V485&gt;1200000,((V485-1200000)*27.5%)+300000,0)
)))))))</f>
        <v>0</v>
      </c>
      <c r="X485" s="12">
        <f t="shared" si="127"/>
        <v>0</v>
      </c>
      <c r="Y485" s="12">
        <f t="shared" si="128"/>
        <v>0</v>
      </c>
      <c r="Z485" s="11"/>
      <c r="AA485" s="13">
        <f t="shared" si="129"/>
        <v>0</v>
      </c>
      <c r="AB485" s="12">
        <f t="shared" si="130"/>
        <v>0</v>
      </c>
      <c r="AC485" s="14">
        <f t="shared" si="118"/>
        <v>0</v>
      </c>
      <c r="AE485" s="19">
        <f t="shared" si="131"/>
        <v>0</v>
      </c>
      <c r="AF485" s="19"/>
      <c r="AG485" s="17"/>
      <c r="AK485" s="7"/>
      <c r="AL485" s="108">
        <f t="shared" si="119"/>
        <v>0</v>
      </c>
      <c r="AM485" s="108">
        <f t="shared" si="120"/>
        <v>0</v>
      </c>
      <c r="AN485" s="113"/>
    </row>
    <row r="486" spans="2:40" x14ac:dyDescent="0.2">
      <c r="B486" s="7"/>
      <c r="C486" s="8"/>
      <c r="D486" s="8"/>
      <c r="E486" s="9"/>
      <c r="F486" s="6"/>
      <c r="G486" s="8"/>
      <c r="H486" s="32"/>
      <c r="I486" s="10" t="str">
        <f t="shared" si="117"/>
        <v>21</v>
      </c>
      <c r="J486" s="11">
        <v>1</v>
      </c>
      <c r="K486" s="11"/>
      <c r="L486" s="11"/>
      <c r="M486" s="11">
        <f t="shared" si="121"/>
        <v>0</v>
      </c>
      <c r="N486" s="11"/>
      <c r="O486" s="11">
        <f t="shared" si="122"/>
        <v>0</v>
      </c>
      <c r="P486" s="11"/>
      <c r="Q486" s="11"/>
      <c r="R486" s="11"/>
      <c r="S486" s="11">
        <f t="shared" si="123"/>
        <v>0</v>
      </c>
      <c r="T486" s="11">
        <f t="shared" si="124"/>
        <v>1666.6666666666667</v>
      </c>
      <c r="U486" s="11">
        <f t="shared" si="125"/>
        <v>0</v>
      </c>
      <c r="V486" s="24">
        <f t="shared" si="126"/>
        <v>0</v>
      </c>
      <c r="W486" s="11">
        <f>IF(V486&lt;=40000,0,
IF(V486&lt;=55000,(V486-40000)*10%,
IF(V486&lt;=70000,(V486-55000)*15%+1500,
IF(V486&lt;=200000,(V486-70000)*20%+1500+2250,
IF(V486&lt;=400000,(V486-200000)*22.5%+1500+2250+26000,
IF(V486&lt;=600000,(V486-400000)*25%+1500+2250+26000+45000,
IF(AND(V486&gt;600000,V486&lt;=1200000),(V486-400000)*25%+1500+2250+26000+45000
+IFERROR(LOOKUP(V486,{600001;700001;800001;900001},{4000;6750;10250;15250}),0),IF(V486&gt;1200000,((V486-1200000)*27.5%)+300000,0)
)))))))</f>
        <v>0</v>
      </c>
      <c r="X486" s="12">
        <f t="shared" si="127"/>
        <v>0</v>
      </c>
      <c r="Y486" s="12">
        <f t="shared" si="128"/>
        <v>0</v>
      </c>
      <c r="Z486" s="11"/>
      <c r="AA486" s="13">
        <f t="shared" si="129"/>
        <v>0</v>
      </c>
      <c r="AB486" s="12">
        <f t="shared" si="130"/>
        <v>0</v>
      </c>
      <c r="AC486" s="14">
        <f t="shared" si="118"/>
        <v>0</v>
      </c>
      <c r="AE486" s="19">
        <f t="shared" si="131"/>
        <v>0</v>
      </c>
      <c r="AF486" s="19"/>
      <c r="AG486" s="17"/>
      <c r="AK486" s="7"/>
      <c r="AL486" s="108">
        <f t="shared" si="119"/>
        <v>0</v>
      </c>
      <c r="AM486" s="108">
        <f t="shared" si="120"/>
        <v>0</v>
      </c>
      <c r="AN486" s="113"/>
    </row>
    <row r="487" spans="2:40" x14ac:dyDescent="0.2">
      <c r="B487" s="7"/>
      <c r="C487" s="8"/>
      <c r="D487" s="8"/>
      <c r="E487" s="9"/>
      <c r="F487" s="6"/>
      <c r="G487" s="8"/>
      <c r="H487" s="32"/>
      <c r="I487" s="10" t="str">
        <f t="shared" si="117"/>
        <v>21</v>
      </c>
      <c r="J487" s="11">
        <v>1</v>
      </c>
      <c r="K487" s="11"/>
      <c r="L487" s="11"/>
      <c r="M487" s="11">
        <f t="shared" si="121"/>
        <v>0</v>
      </c>
      <c r="N487" s="11"/>
      <c r="O487" s="11">
        <f t="shared" si="122"/>
        <v>0</v>
      </c>
      <c r="P487" s="11"/>
      <c r="Q487" s="11"/>
      <c r="R487" s="11"/>
      <c r="S487" s="11">
        <f t="shared" si="123"/>
        <v>0</v>
      </c>
      <c r="T487" s="11">
        <f t="shared" si="124"/>
        <v>1666.6666666666667</v>
      </c>
      <c r="U487" s="11">
        <f t="shared" si="125"/>
        <v>0</v>
      </c>
      <c r="V487" s="24">
        <f t="shared" si="126"/>
        <v>0</v>
      </c>
      <c r="W487" s="11">
        <f>IF(V487&lt;=40000,0,
IF(V487&lt;=55000,(V487-40000)*10%,
IF(V487&lt;=70000,(V487-55000)*15%+1500,
IF(V487&lt;=200000,(V487-70000)*20%+1500+2250,
IF(V487&lt;=400000,(V487-200000)*22.5%+1500+2250+26000,
IF(V487&lt;=600000,(V487-400000)*25%+1500+2250+26000+45000,
IF(AND(V487&gt;600000,V487&lt;=1200000),(V487-400000)*25%+1500+2250+26000+45000
+IFERROR(LOOKUP(V487,{600001;700001;800001;900001},{4000;6750;10250;15250}),0),IF(V487&gt;1200000,((V487-1200000)*27.5%)+300000,0)
)))))))</f>
        <v>0</v>
      </c>
      <c r="X487" s="12">
        <f t="shared" si="127"/>
        <v>0</v>
      </c>
      <c r="Y487" s="12">
        <f t="shared" si="128"/>
        <v>0</v>
      </c>
      <c r="Z487" s="11"/>
      <c r="AA487" s="13">
        <f t="shared" si="129"/>
        <v>0</v>
      </c>
      <c r="AB487" s="12">
        <f t="shared" si="130"/>
        <v>0</v>
      </c>
      <c r="AC487" s="14">
        <f t="shared" si="118"/>
        <v>0</v>
      </c>
      <c r="AE487" s="19">
        <f t="shared" si="131"/>
        <v>0</v>
      </c>
      <c r="AF487" s="19"/>
      <c r="AG487" s="17"/>
      <c r="AK487" s="7"/>
      <c r="AL487" s="108">
        <f t="shared" si="119"/>
        <v>0</v>
      </c>
      <c r="AM487" s="108">
        <f t="shared" si="120"/>
        <v>0</v>
      </c>
      <c r="AN487" s="113"/>
    </row>
    <row r="488" spans="2:40" x14ac:dyDescent="0.2">
      <c r="B488" s="7"/>
      <c r="C488" s="8"/>
      <c r="D488" s="8"/>
      <c r="E488" s="9"/>
      <c r="F488" s="6"/>
      <c r="G488" s="8"/>
      <c r="H488" s="32"/>
      <c r="I488" s="10" t="str">
        <f t="shared" si="117"/>
        <v>21</v>
      </c>
      <c r="J488" s="11">
        <v>1</v>
      </c>
      <c r="K488" s="11"/>
      <c r="L488" s="11"/>
      <c r="M488" s="11">
        <f t="shared" si="121"/>
        <v>0</v>
      </c>
      <c r="N488" s="11"/>
      <c r="O488" s="11">
        <f t="shared" si="122"/>
        <v>0</v>
      </c>
      <c r="P488" s="11"/>
      <c r="Q488" s="11"/>
      <c r="R488" s="11"/>
      <c r="S488" s="11">
        <f t="shared" si="123"/>
        <v>0</v>
      </c>
      <c r="T488" s="11">
        <f t="shared" si="124"/>
        <v>1666.6666666666667</v>
      </c>
      <c r="U488" s="11">
        <f t="shared" si="125"/>
        <v>0</v>
      </c>
      <c r="V488" s="24">
        <f t="shared" si="126"/>
        <v>0</v>
      </c>
      <c r="W488" s="11">
        <f>IF(V488&lt;=40000,0,
IF(V488&lt;=55000,(V488-40000)*10%,
IF(V488&lt;=70000,(V488-55000)*15%+1500,
IF(V488&lt;=200000,(V488-70000)*20%+1500+2250,
IF(V488&lt;=400000,(V488-200000)*22.5%+1500+2250+26000,
IF(V488&lt;=600000,(V488-400000)*25%+1500+2250+26000+45000,
IF(AND(V488&gt;600000,V488&lt;=1200000),(V488-400000)*25%+1500+2250+26000+45000
+IFERROR(LOOKUP(V488,{600001;700001;800001;900001},{4000;6750;10250;15250}),0),IF(V488&gt;1200000,((V488-1200000)*27.5%)+300000,0)
)))))))</f>
        <v>0</v>
      </c>
      <c r="X488" s="12">
        <f t="shared" si="127"/>
        <v>0</v>
      </c>
      <c r="Y488" s="12">
        <f t="shared" si="128"/>
        <v>0</v>
      </c>
      <c r="Z488" s="11"/>
      <c r="AA488" s="13">
        <f t="shared" si="129"/>
        <v>0</v>
      </c>
      <c r="AB488" s="12">
        <f t="shared" si="130"/>
        <v>0</v>
      </c>
      <c r="AC488" s="14">
        <f t="shared" si="118"/>
        <v>0</v>
      </c>
      <c r="AE488" s="19">
        <f t="shared" si="131"/>
        <v>0</v>
      </c>
      <c r="AF488" s="19"/>
      <c r="AG488" s="17"/>
      <c r="AK488" s="7"/>
      <c r="AL488" s="108">
        <f t="shared" si="119"/>
        <v>0</v>
      </c>
      <c r="AM488" s="108">
        <f t="shared" si="120"/>
        <v>0</v>
      </c>
      <c r="AN488" s="113"/>
    </row>
    <row r="489" spans="2:40" x14ac:dyDescent="0.2">
      <c r="B489" s="7"/>
      <c r="C489" s="8"/>
      <c r="D489" s="8"/>
      <c r="E489" s="9"/>
      <c r="F489" s="6"/>
      <c r="G489" s="8"/>
      <c r="H489" s="32"/>
      <c r="I489" s="10" t="str">
        <f t="shared" si="117"/>
        <v>21</v>
      </c>
      <c r="J489" s="11">
        <v>1</v>
      </c>
      <c r="K489" s="11"/>
      <c r="L489" s="11"/>
      <c r="M489" s="11">
        <f t="shared" si="121"/>
        <v>0</v>
      </c>
      <c r="N489" s="11"/>
      <c r="O489" s="11">
        <f t="shared" si="122"/>
        <v>0</v>
      </c>
      <c r="P489" s="11"/>
      <c r="Q489" s="11"/>
      <c r="R489" s="11"/>
      <c r="S489" s="11">
        <f t="shared" si="123"/>
        <v>0</v>
      </c>
      <c r="T489" s="11">
        <f t="shared" si="124"/>
        <v>1666.6666666666667</v>
      </c>
      <c r="U489" s="11">
        <f t="shared" si="125"/>
        <v>0</v>
      </c>
      <c r="V489" s="24">
        <f t="shared" si="126"/>
        <v>0</v>
      </c>
      <c r="W489" s="11">
        <f>IF(V489&lt;=40000,0,
IF(V489&lt;=55000,(V489-40000)*10%,
IF(V489&lt;=70000,(V489-55000)*15%+1500,
IF(V489&lt;=200000,(V489-70000)*20%+1500+2250,
IF(V489&lt;=400000,(V489-200000)*22.5%+1500+2250+26000,
IF(V489&lt;=600000,(V489-400000)*25%+1500+2250+26000+45000,
IF(AND(V489&gt;600000,V489&lt;=1200000),(V489-400000)*25%+1500+2250+26000+45000
+IFERROR(LOOKUP(V489,{600001;700001;800001;900001},{4000;6750;10250;15250}),0),IF(V489&gt;1200000,((V489-1200000)*27.5%)+300000,0)
)))))))</f>
        <v>0</v>
      </c>
      <c r="X489" s="12">
        <f t="shared" si="127"/>
        <v>0</v>
      </c>
      <c r="Y489" s="12">
        <f t="shared" si="128"/>
        <v>0</v>
      </c>
      <c r="Z489" s="11"/>
      <c r="AA489" s="13">
        <f t="shared" si="129"/>
        <v>0</v>
      </c>
      <c r="AB489" s="12">
        <f t="shared" si="130"/>
        <v>0</v>
      </c>
      <c r="AC489" s="14">
        <f t="shared" si="118"/>
        <v>0</v>
      </c>
      <c r="AE489" s="19">
        <f t="shared" si="131"/>
        <v>0</v>
      </c>
      <c r="AF489" s="19"/>
      <c r="AG489" s="17"/>
      <c r="AK489" s="7"/>
      <c r="AL489" s="108">
        <f t="shared" si="119"/>
        <v>0</v>
      </c>
      <c r="AM489" s="108">
        <f t="shared" si="120"/>
        <v>0</v>
      </c>
      <c r="AN489" s="113"/>
    </row>
    <row r="490" spans="2:40" x14ac:dyDescent="0.2">
      <c r="B490" s="7"/>
      <c r="C490" s="8"/>
      <c r="D490" s="8"/>
      <c r="E490" s="9"/>
      <c r="F490" s="6"/>
      <c r="G490" s="8"/>
      <c r="H490" s="32"/>
      <c r="I490" s="10" t="str">
        <f t="shared" si="117"/>
        <v>21</v>
      </c>
      <c r="J490" s="11">
        <v>1</v>
      </c>
      <c r="K490" s="11"/>
      <c r="L490" s="11"/>
      <c r="M490" s="11">
        <f t="shared" si="121"/>
        <v>0</v>
      </c>
      <c r="N490" s="11"/>
      <c r="O490" s="11">
        <f t="shared" si="122"/>
        <v>0</v>
      </c>
      <c r="P490" s="11"/>
      <c r="Q490" s="11"/>
      <c r="R490" s="11"/>
      <c r="S490" s="11">
        <f t="shared" si="123"/>
        <v>0</v>
      </c>
      <c r="T490" s="11">
        <f t="shared" si="124"/>
        <v>1666.6666666666667</v>
      </c>
      <c r="U490" s="11">
        <f t="shared" si="125"/>
        <v>0</v>
      </c>
      <c r="V490" s="24">
        <f t="shared" si="126"/>
        <v>0</v>
      </c>
      <c r="W490" s="11">
        <f>IF(V490&lt;=40000,0,
IF(V490&lt;=55000,(V490-40000)*10%,
IF(V490&lt;=70000,(V490-55000)*15%+1500,
IF(V490&lt;=200000,(V490-70000)*20%+1500+2250,
IF(V490&lt;=400000,(V490-200000)*22.5%+1500+2250+26000,
IF(V490&lt;=600000,(V490-400000)*25%+1500+2250+26000+45000,
IF(AND(V490&gt;600000,V490&lt;=1200000),(V490-400000)*25%+1500+2250+26000+45000
+IFERROR(LOOKUP(V490,{600001;700001;800001;900001},{4000;6750;10250;15250}),0),IF(V490&gt;1200000,((V490-1200000)*27.5%)+300000,0)
)))))))</f>
        <v>0</v>
      </c>
      <c r="X490" s="12">
        <f t="shared" si="127"/>
        <v>0</v>
      </c>
      <c r="Y490" s="12">
        <f t="shared" si="128"/>
        <v>0</v>
      </c>
      <c r="Z490" s="11"/>
      <c r="AA490" s="13">
        <f t="shared" si="129"/>
        <v>0</v>
      </c>
      <c r="AB490" s="12">
        <f t="shared" si="130"/>
        <v>0</v>
      </c>
      <c r="AC490" s="14">
        <f t="shared" si="118"/>
        <v>0</v>
      </c>
      <c r="AE490" s="19">
        <f t="shared" si="131"/>
        <v>0</v>
      </c>
      <c r="AF490" s="19"/>
      <c r="AG490" s="17"/>
      <c r="AK490" s="7"/>
      <c r="AL490" s="108">
        <f t="shared" si="119"/>
        <v>0</v>
      </c>
      <c r="AM490" s="108">
        <f t="shared" si="120"/>
        <v>0</v>
      </c>
      <c r="AN490" s="113"/>
    </row>
    <row r="491" spans="2:40" x14ac:dyDescent="0.2">
      <c r="B491" s="7"/>
      <c r="C491" s="8"/>
      <c r="D491" s="8"/>
      <c r="E491" s="9"/>
      <c r="F491" s="6"/>
      <c r="G491" s="8"/>
      <c r="H491" s="32"/>
      <c r="I491" s="10" t="str">
        <f t="shared" si="117"/>
        <v>21</v>
      </c>
      <c r="J491" s="11">
        <v>1</v>
      </c>
      <c r="K491" s="11"/>
      <c r="L491" s="11"/>
      <c r="M491" s="11">
        <f t="shared" si="121"/>
        <v>0</v>
      </c>
      <c r="N491" s="11"/>
      <c r="O491" s="11">
        <f t="shared" si="122"/>
        <v>0</v>
      </c>
      <c r="P491" s="11"/>
      <c r="Q491" s="11"/>
      <c r="R491" s="11"/>
      <c r="S491" s="11">
        <f t="shared" si="123"/>
        <v>0</v>
      </c>
      <c r="T491" s="11">
        <f t="shared" si="124"/>
        <v>1666.6666666666667</v>
      </c>
      <c r="U491" s="11">
        <f t="shared" si="125"/>
        <v>0</v>
      </c>
      <c r="V491" s="24">
        <f t="shared" si="126"/>
        <v>0</v>
      </c>
      <c r="W491" s="11">
        <f>IF(V491&lt;=40000,0,
IF(V491&lt;=55000,(V491-40000)*10%,
IF(V491&lt;=70000,(V491-55000)*15%+1500,
IF(V491&lt;=200000,(V491-70000)*20%+1500+2250,
IF(V491&lt;=400000,(V491-200000)*22.5%+1500+2250+26000,
IF(V491&lt;=600000,(V491-400000)*25%+1500+2250+26000+45000,
IF(AND(V491&gt;600000,V491&lt;=1200000),(V491-400000)*25%+1500+2250+26000+45000
+IFERROR(LOOKUP(V491,{600001;700001;800001;900001},{4000;6750;10250;15250}),0),IF(V491&gt;1200000,((V491-1200000)*27.5%)+300000,0)
)))))))</f>
        <v>0</v>
      </c>
      <c r="X491" s="12">
        <f t="shared" si="127"/>
        <v>0</v>
      </c>
      <c r="Y491" s="12">
        <f t="shared" si="128"/>
        <v>0</v>
      </c>
      <c r="Z491" s="11"/>
      <c r="AA491" s="13">
        <f t="shared" si="129"/>
        <v>0</v>
      </c>
      <c r="AB491" s="12">
        <f t="shared" si="130"/>
        <v>0</v>
      </c>
      <c r="AC491" s="14">
        <f t="shared" si="118"/>
        <v>0</v>
      </c>
      <c r="AE491" s="19">
        <f t="shared" si="131"/>
        <v>0</v>
      </c>
      <c r="AF491" s="19"/>
      <c r="AG491" s="17"/>
      <c r="AK491" s="7"/>
      <c r="AL491" s="108">
        <f t="shared" si="119"/>
        <v>0</v>
      </c>
      <c r="AM491" s="108">
        <f t="shared" si="120"/>
        <v>0</v>
      </c>
      <c r="AN491" s="113"/>
    </row>
    <row r="492" spans="2:40" x14ac:dyDescent="0.2">
      <c r="B492" s="7"/>
      <c r="C492" s="8"/>
      <c r="D492" s="8"/>
      <c r="E492" s="9"/>
      <c r="F492" s="6"/>
      <c r="G492" s="8"/>
      <c r="H492" s="32"/>
      <c r="I492" s="10" t="str">
        <f t="shared" si="117"/>
        <v>21</v>
      </c>
      <c r="J492" s="11">
        <v>1</v>
      </c>
      <c r="K492" s="11"/>
      <c r="L492" s="11"/>
      <c r="M492" s="11">
        <f t="shared" si="121"/>
        <v>0</v>
      </c>
      <c r="N492" s="11"/>
      <c r="O492" s="11">
        <f t="shared" si="122"/>
        <v>0</v>
      </c>
      <c r="P492" s="11"/>
      <c r="Q492" s="11"/>
      <c r="R492" s="11"/>
      <c r="S492" s="11">
        <f t="shared" si="123"/>
        <v>0</v>
      </c>
      <c r="T492" s="11">
        <f t="shared" si="124"/>
        <v>1666.6666666666667</v>
      </c>
      <c r="U492" s="11">
        <f t="shared" si="125"/>
        <v>0</v>
      </c>
      <c r="V492" s="24">
        <f t="shared" si="126"/>
        <v>0</v>
      </c>
      <c r="W492" s="11">
        <f>IF(V492&lt;=40000,0,
IF(V492&lt;=55000,(V492-40000)*10%,
IF(V492&lt;=70000,(V492-55000)*15%+1500,
IF(V492&lt;=200000,(V492-70000)*20%+1500+2250,
IF(V492&lt;=400000,(V492-200000)*22.5%+1500+2250+26000,
IF(V492&lt;=600000,(V492-400000)*25%+1500+2250+26000+45000,
IF(AND(V492&gt;600000,V492&lt;=1200000),(V492-400000)*25%+1500+2250+26000+45000
+IFERROR(LOOKUP(V492,{600001;700001;800001;900001},{4000;6750;10250;15250}),0),IF(V492&gt;1200000,((V492-1200000)*27.5%)+300000,0)
)))))))</f>
        <v>0</v>
      </c>
      <c r="X492" s="12">
        <f t="shared" si="127"/>
        <v>0</v>
      </c>
      <c r="Y492" s="12">
        <f t="shared" si="128"/>
        <v>0</v>
      </c>
      <c r="Z492" s="11"/>
      <c r="AA492" s="13">
        <f t="shared" si="129"/>
        <v>0</v>
      </c>
      <c r="AB492" s="12">
        <f t="shared" si="130"/>
        <v>0</v>
      </c>
      <c r="AC492" s="14">
        <f t="shared" si="118"/>
        <v>0</v>
      </c>
      <c r="AE492" s="19">
        <f t="shared" si="131"/>
        <v>0</v>
      </c>
      <c r="AF492" s="19"/>
      <c r="AG492" s="17"/>
      <c r="AK492" s="7"/>
      <c r="AL492" s="108">
        <f t="shared" si="119"/>
        <v>0</v>
      </c>
      <c r="AM492" s="108">
        <f t="shared" si="120"/>
        <v>0</v>
      </c>
      <c r="AN492" s="113"/>
    </row>
    <row r="493" spans="2:40" x14ac:dyDescent="0.2">
      <c r="B493" s="7"/>
      <c r="C493" s="8"/>
      <c r="D493" s="8"/>
      <c r="E493" s="9"/>
      <c r="F493" s="6"/>
      <c r="G493" s="8"/>
      <c r="H493" s="32"/>
      <c r="I493" s="10" t="str">
        <f t="shared" si="117"/>
        <v>21</v>
      </c>
      <c r="J493" s="11">
        <v>1</v>
      </c>
      <c r="K493" s="11"/>
      <c r="L493" s="11"/>
      <c r="M493" s="11">
        <f t="shared" si="121"/>
        <v>0</v>
      </c>
      <c r="N493" s="11"/>
      <c r="O493" s="11">
        <f t="shared" si="122"/>
        <v>0</v>
      </c>
      <c r="P493" s="11"/>
      <c r="Q493" s="11"/>
      <c r="R493" s="11"/>
      <c r="S493" s="11">
        <f t="shared" si="123"/>
        <v>0</v>
      </c>
      <c r="T493" s="11">
        <f t="shared" si="124"/>
        <v>1666.6666666666667</v>
      </c>
      <c r="U493" s="11">
        <f t="shared" si="125"/>
        <v>0</v>
      </c>
      <c r="V493" s="24">
        <f t="shared" si="126"/>
        <v>0</v>
      </c>
      <c r="W493" s="11">
        <f>IF(V493&lt;=40000,0,
IF(V493&lt;=55000,(V493-40000)*10%,
IF(V493&lt;=70000,(V493-55000)*15%+1500,
IF(V493&lt;=200000,(V493-70000)*20%+1500+2250,
IF(V493&lt;=400000,(V493-200000)*22.5%+1500+2250+26000,
IF(V493&lt;=600000,(V493-400000)*25%+1500+2250+26000+45000,
IF(AND(V493&gt;600000,V493&lt;=1200000),(V493-400000)*25%+1500+2250+26000+45000
+IFERROR(LOOKUP(V493,{600001;700001;800001;900001},{4000;6750;10250;15250}),0),IF(V493&gt;1200000,((V493-1200000)*27.5%)+300000,0)
)))))))</f>
        <v>0</v>
      </c>
      <c r="X493" s="12">
        <f t="shared" si="127"/>
        <v>0</v>
      </c>
      <c r="Y493" s="12">
        <f t="shared" si="128"/>
        <v>0</v>
      </c>
      <c r="Z493" s="11"/>
      <c r="AA493" s="13">
        <f t="shared" si="129"/>
        <v>0</v>
      </c>
      <c r="AB493" s="12">
        <f t="shared" si="130"/>
        <v>0</v>
      </c>
      <c r="AC493" s="14">
        <f t="shared" si="118"/>
        <v>0</v>
      </c>
      <c r="AE493" s="19">
        <f t="shared" si="131"/>
        <v>0</v>
      </c>
      <c r="AF493" s="19"/>
      <c r="AG493" s="17"/>
      <c r="AK493" s="7"/>
      <c r="AL493" s="108">
        <f t="shared" si="119"/>
        <v>0</v>
      </c>
      <c r="AM493" s="108">
        <f t="shared" si="120"/>
        <v>0</v>
      </c>
      <c r="AN493" s="113"/>
    </row>
    <row r="494" spans="2:40" x14ac:dyDescent="0.2">
      <c r="B494" s="7"/>
      <c r="C494" s="8"/>
      <c r="D494" s="8"/>
      <c r="E494" s="9"/>
      <c r="F494" s="6"/>
      <c r="G494" s="8"/>
      <c r="H494" s="32"/>
      <c r="I494" s="10" t="str">
        <f t="shared" si="117"/>
        <v>21</v>
      </c>
      <c r="J494" s="11">
        <v>1</v>
      </c>
      <c r="K494" s="11"/>
      <c r="L494" s="11"/>
      <c r="M494" s="11">
        <f t="shared" si="121"/>
        <v>0</v>
      </c>
      <c r="N494" s="11"/>
      <c r="O494" s="11">
        <f t="shared" si="122"/>
        <v>0</v>
      </c>
      <c r="P494" s="11"/>
      <c r="Q494" s="11"/>
      <c r="R494" s="11"/>
      <c r="S494" s="11">
        <f t="shared" si="123"/>
        <v>0</v>
      </c>
      <c r="T494" s="11">
        <f t="shared" si="124"/>
        <v>1666.6666666666667</v>
      </c>
      <c r="U494" s="11">
        <f t="shared" si="125"/>
        <v>0</v>
      </c>
      <c r="V494" s="24">
        <f t="shared" si="126"/>
        <v>0</v>
      </c>
      <c r="W494" s="11">
        <f>IF(V494&lt;=40000,0,
IF(V494&lt;=55000,(V494-40000)*10%,
IF(V494&lt;=70000,(V494-55000)*15%+1500,
IF(V494&lt;=200000,(V494-70000)*20%+1500+2250,
IF(V494&lt;=400000,(V494-200000)*22.5%+1500+2250+26000,
IF(V494&lt;=600000,(V494-400000)*25%+1500+2250+26000+45000,
IF(AND(V494&gt;600000,V494&lt;=1200000),(V494-400000)*25%+1500+2250+26000+45000
+IFERROR(LOOKUP(V494,{600001;700001;800001;900001},{4000;6750;10250;15250}),0),IF(V494&gt;1200000,((V494-1200000)*27.5%)+300000,0)
)))))))</f>
        <v>0</v>
      </c>
      <c r="X494" s="12">
        <f t="shared" si="127"/>
        <v>0</v>
      </c>
      <c r="Y494" s="12">
        <f t="shared" si="128"/>
        <v>0</v>
      </c>
      <c r="Z494" s="11"/>
      <c r="AA494" s="13">
        <f t="shared" si="129"/>
        <v>0</v>
      </c>
      <c r="AB494" s="12">
        <f t="shared" si="130"/>
        <v>0</v>
      </c>
      <c r="AC494" s="14">
        <f t="shared" si="118"/>
        <v>0</v>
      </c>
      <c r="AE494" s="19">
        <f t="shared" si="131"/>
        <v>0</v>
      </c>
      <c r="AF494" s="19"/>
      <c r="AG494" s="17"/>
      <c r="AK494" s="7"/>
      <c r="AL494" s="108">
        <f t="shared" si="119"/>
        <v>0</v>
      </c>
      <c r="AM494" s="108">
        <f t="shared" si="120"/>
        <v>0</v>
      </c>
      <c r="AN494" s="113"/>
    </row>
    <row r="495" spans="2:40" x14ac:dyDescent="0.2">
      <c r="B495" s="7"/>
      <c r="C495" s="8"/>
      <c r="D495" s="8"/>
      <c r="E495" s="9"/>
      <c r="F495" s="6"/>
      <c r="G495" s="8"/>
      <c r="H495" s="32"/>
      <c r="I495" s="10" t="str">
        <f t="shared" si="117"/>
        <v>21</v>
      </c>
      <c r="J495" s="11">
        <v>1</v>
      </c>
      <c r="K495" s="11"/>
      <c r="L495" s="11"/>
      <c r="M495" s="11">
        <f t="shared" si="121"/>
        <v>0</v>
      </c>
      <c r="N495" s="11"/>
      <c r="O495" s="11">
        <f t="shared" si="122"/>
        <v>0</v>
      </c>
      <c r="P495" s="11"/>
      <c r="Q495" s="11"/>
      <c r="R495" s="11"/>
      <c r="S495" s="11">
        <f t="shared" si="123"/>
        <v>0</v>
      </c>
      <c r="T495" s="11">
        <f t="shared" si="124"/>
        <v>1666.6666666666667</v>
      </c>
      <c r="U495" s="11">
        <f t="shared" si="125"/>
        <v>0</v>
      </c>
      <c r="V495" s="24">
        <f t="shared" si="126"/>
        <v>0</v>
      </c>
      <c r="W495" s="11">
        <f>IF(V495&lt;=40000,0,
IF(V495&lt;=55000,(V495-40000)*10%,
IF(V495&lt;=70000,(V495-55000)*15%+1500,
IF(V495&lt;=200000,(V495-70000)*20%+1500+2250,
IF(V495&lt;=400000,(V495-200000)*22.5%+1500+2250+26000,
IF(V495&lt;=600000,(V495-400000)*25%+1500+2250+26000+45000,
IF(AND(V495&gt;600000,V495&lt;=1200000),(V495-400000)*25%+1500+2250+26000+45000
+IFERROR(LOOKUP(V495,{600001;700001;800001;900001},{4000;6750;10250;15250}),0),IF(V495&gt;1200000,((V495-1200000)*27.5%)+300000,0)
)))))))</f>
        <v>0</v>
      </c>
      <c r="X495" s="12">
        <f t="shared" si="127"/>
        <v>0</v>
      </c>
      <c r="Y495" s="12">
        <f t="shared" si="128"/>
        <v>0</v>
      </c>
      <c r="Z495" s="11"/>
      <c r="AA495" s="13">
        <f t="shared" si="129"/>
        <v>0</v>
      </c>
      <c r="AB495" s="12">
        <f t="shared" si="130"/>
        <v>0</v>
      </c>
      <c r="AC495" s="14">
        <f t="shared" si="118"/>
        <v>0</v>
      </c>
      <c r="AE495" s="19">
        <f t="shared" si="131"/>
        <v>0</v>
      </c>
      <c r="AF495" s="19"/>
      <c r="AG495" s="17"/>
      <c r="AK495" s="7"/>
      <c r="AL495" s="108">
        <f t="shared" si="119"/>
        <v>0</v>
      </c>
      <c r="AM495" s="108">
        <f t="shared" si="120"/>
        <v>0</v>
      </c>
      <c r="AN495" s="113"/>
    </row>
    <row r="496" spans="2:40" x14ac:dyDescent="0.2">
      <c r="B496" s="7"/>
      <c r="C496" s="8"/>
      <c r="D496" s="8"/>
      <c r="E496" s="9"/>
      <c r="F496" s="6"/>
      <c r="G496" s="8"/>
      <c r="H496" s="32"/>
      <c r="I496" s="10" t="str">
        <f t="shared" si="117"/>
        <v>21</v>
      </c>
      <c r="J496" s="11">
        <v>1</v>
      </c>
      <c r="K496" s="11"/>
      <c r="L496" s="11"/>
      <c r="M496" s="11">
        <f t="shared" si="121"/>
        <v>0</v>
      </c>
      <c r="N496" s="11"/>
      <c r="O496" s="11">
        <f t="shared" si="122"/>
        <v>0</v>
      </c>
      <c r="P496" s="11"/>
      <c r="Q496" s="11"/>
      <c r="R496" s="11"/>
      <c r="S496" s="11">
        <f t="shared" si="123"/>
        <v>0</v>
      </c>
      <c r="T496" s="11">
        <f t="shared" si="124"/>
        <v>1666.6666666666667</v>
      </c>
      <c r="U496" s="11">
        <f t="shared" si="125"/>
        <v>0</v>
      </c>
      <c r="V496" s="24">
        <f t="shared" si="126"/>
        <v>0</v>
      </c>
      <c r="W496" s="11">
        <f>IF(V496&lt;=40000,0,
IF(V496&lt;=55000,(V496-40000)*10%,
IF(V496&lt;=70000,(V496-55000)*15%+1500,
IF(V496&lt;=200000,(V496-70000)*20%+1500+2250,
IF(V496&lt;=400000,(V496-200000)*22.5%+1500+2250+26000,
IF(V496&lt;=600000,(V496-400000)*25%+1500+2250+26000+45000,
IF(AND(V496&gt;600000,V496&lt;=1200000),(V496-400000)*25%+1500+2250+26000+45000
+IFERROR(LOOKUP(V496,{600001;700001;800001;900001},{4000;6750;10250;15250}),0),IF(V496&gt;1200000,((V496-1200000)*27.5%)+300000,0)
)))))))</f>
        <v>0</v>
      </c>
      <c r="X496" s="12">
        <f t="shared" si="127"/>
        <v>0</v>
      </c>
      <c r="Y496" s="12">
        <f t="shared" si="128"/>
        <v>0</v>
      </c>
      <c r="Z496" s="11"/>
      <c r="AA496" s="13">
        <f t="shared" si="129"/>
        <v>0</v>
      </c>
      <c r="AB496" s="12">
        <f t="shared" si="130"/>
        <v>0</v>
      </c>
      <c r="AC496" s="14">
        <f t="shared" si="118"/>
        <v>0</v>
      </c>
      <c r="AE496" s="19">
        <f t="shared" si="131"/>
        <v>0</v>
      </c>
      <c r="AF496" s="19"/>
      <c r="AG496" s="17"/>
      <c r="AK496" s="7"/>
      <c r="AL496" s="108">
        <f t="shared" si="119"/>
        <v>0</v>
      </c>
      <c r="AM496" s="108">
        <f t="shared" si="120"/>
        <v>0</v>
      </c>
      <c r="AN496" s="113"/>
    </row>
    <row r="497" spans="2:40" x14ac:dyDescent="0.2">
      <c r="B497" s="7"/>
      <c r="C497" s="8"/>
      <c r="D497" s="8"/>
      <c r="E497" s="9"/>
      <c r="F497" s="6"/>
      <c r="G497" s="8"/>
      <c r="H497" s="32"/>
      <c r="I497" s="10" t="str">
        <f t="shared" si="117"/>
        <v>21</v>
      </c>
      <c r="J497" s="11">
        <v>1</v>
      </c>
      <c r="K497" s="11"/>
      <c r="L497" s="11"/>
      <c r="M497" s="11">
        <f t="shared" si="121"/>
        <v>0</v>
      </c>
      <c r="N497" s="11"/>
      <c r="O497" s="11">
        <f t="shared" si="122"/>
        <v>0</v>
      </c>
      <c r="P497" s="11"/>
      <c r="Q497" s="11"/>
      <c r="R497" s="11"/>
      <c r="S497" s="11">
        <f t="shared" si="123"/>
        <v>0</v>
      </c>
      <c r="T497" s="11">
        <f t="shared" si="124"/>
        <v>1666.6666666666667</v>
      </c>
      <c r="U497" s="11">
        <f t="shared" si="125"/>
        <v>0</v>
      </c>
      <c r="V497" s="24">
        <f t="shared" si="126"/>
        <v>0</v>
      </c>
      <c r="W497" s="11">
        <f>IF(V497&lt;=40000,0,
IF(V497&lt;=55000,(V497-40000)*10%,
IF(V497&lt;=70000,(V497-55000)*15%+1500,
IF(V497&lt;=200000,(V497-70000)*20%+1500+2250,
IF(V497&lt;=400000,(V497-200000)*22.5%+1500+2250+26000,
IF(V497&lt;=600000,(V497-400000)*25%+1500+2250+26000+45000,
IF(AND(V497&gt;600000,V497&lt;=1200000),(V497-400000)*25%+1500+2250+26000+45000
+IFERROR(LOOKUP(V497,{600001;700001;800001;900001},{4000;6750;10250;15250}),0),IF(V497&gt;1200000,((V497-1200000)*27.5%)+300000,0)
)))))))</f>
        <v>0</v>
      </c>
      <c r="X497" s="12">
        <f t="shared" si="127"/>
        <v>0</v>
      </c>
      <c r="Y497" s="12">
        <f t="shared" si="128"/>
        <v>0</v>
      </c>
      <c r="Z497" s="11"/>
      <c r="AA497" s="13">
        <f t="shared" si="129"/>
        <v>0</v>
      </c>
      <c r="AB497" s="12">
        <f t="shared" si="130"/>
        <v>0</v>
      </c>
      <c r="AC497" s="14">
        <f t="shared" si="118"/>
        <v>0</v>
      </c>
      <c r="AE497" s="19">
        <f t="shared" si="131"/>
        <v>0</v>
      </c>
      <c r="AF497" s="19"/>
      <c r="AG497" s="17"/>
      <c r="AK497" s="7"/>
      <c r="AL497" s="108">
        <f t="shared" si="119"/>
        <v>0</v>
      </c>
      <c r="AM497" s="108">
        <f t="shared" si="120"/>
        <v>0</v>
      </c>
      <c r="AN497" s="113"/>
    </row>
    <row r="498" spans="2:40" x14ac:dyDescent="0.2">
      <c r="B498" s="7"/>
      <c r="C498" s="8"/>
      <c r="D498" s="8"/>
      <c r="E498" s="9"/>
      <c r="F498" s="6"/>
      <c r="G498" s="8"/>
      <c r="H498" s="32"/>
      <c r="I498" s="10" t="str">
        <f t="shared" si="117"/>
        <v>21</v>
      </c>
      <c r="J498" s="11">
        <v>1</v>
      </c>
      <c r="K498" s="11"/>
      <c r="L498" s="11"/>
      <c r="M498" s="11">
        <f t="shared" si="121"/>
        <v>0</v>
      </c>
      <c r="N498" s="11"/>
      <c r="O498" s="11">
        <f t="shared" si="122"/>
        <v>0</v>
      </c>
      <c r="P498" s="11"/>
      <c r="Q498" s="11"/>
      <c r="R498" s="11"/>
      <c r="S498" s="11">
        <f t="shared" si="123"/>
        <v>0</v>
      </c>
      <c r="T498" s="11">
        <f t="shared" si="124"/>
        <v>1666.6666666666667</v>
      </c>
      <c r="U498" s="11">
        <f t="shared" si="125"/>
        <v>0</v>
      </c>
      <c r="V498" s="24">
        <f t="shared" si="126"/>
        <v>0</v>
      </c>
      <c r="W498" s="11">
        <f>IF(V498&lt;=40000,0,
IF(V498&lt;=55000,(V498-40000)*10%,
IF(V498&lt;=70000,(V498-55000)*15%+1500,
IF(V498&lt;=200000,(V498-70000)*20%+1500+2250,
IF(V498&lt;=400000,(V498-200000)*22.5%+1500+2250+26000,
IF(V498&lt;=600000,(V498-400000)*25%+1500+2250+26000+45000,
IF(AND(V498&gt;600000,V498&lt;=1200000),(V498-400000)*25%+1500+2250+26000+45000
+IFERROR(LOOKUP(V498,{600001;700001;800001;900001},{4000;6750;10250;15250}),0),IF(V498&gt;1200000,((V498-1200000)*27.5%)+300000,0)
)))))))</f>
        <v>0</v>
      </c>
      <c r="X498" s="12">
        <f t="shared" si="127"/>
        <v>0</v>
      </c>
      <c r="Y498" s="12">
        <f t="shared" si="128"/>
        <v>0</v>
      </c>
      <c r="Z498" s="11"/>
      <c r="AA498" s="13">
        <f t="shared" si="129"/>
        <v>0</v>
      </c>
      <c r="AB498" s="12">
        <f t="shared" si="130"/>
        <v>0</v>
      </c>
      <c r="AC498" s="14">
        <f t="shared" si="118"/>
        <v>0</v>
      </c>
      <c r="AE498" s="19">
        <f t="shared" si="131"/>
        <v>0</v>
      </c>
      <c r="AF498" s="19"/>
      <c r="AG498" s="17"/>
      <c r="AK498" s="7"/>
      <c r="AL498" s="108">
        <f t="shared" si="119"/>
        <v>0</v>
      </c>
      <c r="AM498" s="108">
        <f t="shared" si="120"/>
        <v>0</v>
      </c>
      <c r="AN498" s="113"/>
    </row>
    <row r="499" spans="2:40" x14ac:dyDescent="0.2">
      <c r="B499" s="7"/>
      <c r="C499" s="8"/>
      <c r="D499" s="8"/>
      <c r="E499" s="9"/>
      <c r="F499" s="6"/>
      <c r="G499" s="8"/>
      <c r="H499" s="32"/>
      <c r="I499" s="10" t="str">
        <f t="shared" si="117"/>
        <v>21</v>
      </c>
      <c r="J499" s="11">
        <v>1</v>
      </c>
      <c r="K499" s="11"/>
      <c r="L499" s="11"/>
      <c r="M499" s="11">
        <f t="shared" si="121"/>
        <v>0</v>
      </c>
      <c r="N499" s="11"/>
      <c r="O499" s="11">
        <f t="shared" si="122"/>
        <v>0</v>
      </c>
      <c r="P499" s="11"/>
      <c r="Q499" s="11"/>
      <c r="R499" s="11"/>
      <c r="S499" s="11">
        <f t="shared" si="123"/>
        <v>0</v>
      </c>
      <c r="T499" s="11">
        <f t="shared" si="124"/>
        <v>1666.6666666666667</v>
      </c>
      <c r="U499" s="11">
        <f t="shared" si="125"/>
        <v>0</v>
      </c>
      <c r="V499" s="24">
        <f t="shared" si="126"/>
        <v>0</v>
      </c>
      <c r="W499" s="11">
        <f>IF(V499&lt;=40000,0,
IF(V499&lt;=55000,(V499-40000)*10%,
IF(V499&lt;=70000,(V499-55000)*15%+1500,
IF(V499&lt;=200000,(V499-70000)*20%+1500+2250,
IF(V499&lt;=400000,(V499-200000)*22.5%+1500+2250+26000,
IF(V499&lt;=600000,(V499-400000)*25%+1500+2250+26000+45000,
IF(AND(V499&gt;600000,V499&lt;=1200000),(V499-400000)*25%+1500+2250+26000+45000
+IFERROR(LOOKUP(V499,{600001;700001;800001;900001},{4000;6750;10250;15250}),0),IF(V499&gt;1200000,((V499-1200000)*27.5%)+300000,0)
)))))))</f>
        <v>0</v>
      </c>
      <c r="X499" s="12">
        <f t="shared" si="127"/>
        <v>0</v>
      </c>
      <c r="Y499" s="12">
        <f t="shared" si="128"/>
        <v>0</v>
      </c>
      <c r="Z499" s="11"/>
      <c r="AA499" s="13">
        <f t="shared" si="129"/>
        <v>0</v>
      </c>
      <c r="AB499" s="12">
        <f t="shared" si="130"/>
        <v>0</v>
      </c>
      <c r="AC499" s="14">
        <f t="shared" si="118"/>
        <v>0</v>
      </c>
      <c r="AE499" s="19">
        <f t="shared" si="131"/>
        <v>0</v>
      </c>
      <c r="AF499" s="19"/>
      <c r="AG499" s="17"/>
      <c r="AK499" s="7"/>
      <c r="AL499" s="108">
        <f t="shared" si="119"/>
        <v>0</v>
      </c>
      <c r="AM499" s="108">
        <f t="shared" si="120"/>
        <v>0</v>
      </c>
      <c r="AN499" s="113"/>
    </row>
    <row r="500" spans="2:40" x14ac:dyDescent="0.2">
      <c r="B500" s="7"/>
      <c r="C500" s="8"/>
      <c r="D500" s="8"/>
      <c r="E500" s="9"/>
      <c r="F500" s="6"/>
      <c r="G500" s="8"/>
      <c r="H500" s="32"/>
      <c r="I500" s="10" t="str">
        <f t="shared" si="117"/>
        <v>21</v>
      </c>
      <c r="J500" s="11">
        <v>1</v>
      </c>
      <c r="K500" s="11"/>
      <c r="L500" s="11"/>
      <c r="M500" s="11">
        <f t="shared" si="121"/>
        <v>0</v>
      </c>
      <c r="N500" s="11"/>
      <c r="O500" s="11">
        <f t="shared" si="122"/>
        <v>0</v>
      </c>
      <c r="P500" s="11"/>
      <c r="Q500" s="11"/>
      <c r="R500" s="11"/>
      <c r="S500" s="11">
        <f t="shared" si="123"/>
        <v>0</v>
      </c>
      <c r="T500" s="11">
        <f t="shared" si="124"/>
        <v>1666.6666666666667</v>
      </c>
      <c r="U500" s="11">
        <f t="shared" si="125"/>
        <v>0</v>
      </c>
      <c r="V500" s="24">
        <f t="shared" si="126"/>
        <v>0</v>
      </c>
      <c r="W500" s="11">
        <f>IF(V500&lt;=40000,0,
IF(V500&lt;=55000,(V500-40000)*10%,
IF(V500&lt;=70000,(V500-55000)*15%+1500,
IF(V500&lt;=200000,(V500-70000)*20%+1500+2250,
IF(V500&lt;=400000,(V500-200000)*22.5%+1500+2250+26000,
IF(V500&lt;=600000,(V500-400000)*25%+1500+2250+26000+45000,
IF(AND(V500&gt;600000,V500&lt;=1200000),(V500-400000)*25%+1500+2250+26000+45000
+IFERROR(LOOKUP(V500,{600001;700001;800001;900001},{4000;6750;10250;15250}),0),IF(V500&gt;1200000,((V500-1200000)*27.5%)+300000,0)
)))))))</f>
        <v>0</v>
      </c>
      <c r="X500" s="12">
        <f t="shared" si="127"/>
        <v>0</v>
      </c>
      <c r="Y500" s="12">
        <f t="shared" si="128"/>
        <v>0</v>
      </c>
      <c r="Z500" s="11"/>
      <c r="AA500" s="13">
        <f t="shared" si="129"/>
        <v>0</v>
      </c>
      <c r="AB500" s="12">
        <f t="shared" si="130"/>
        <v>0</v>
      </c>
      <c r="AC500" s="14">
        <f t="shared" si="118"/>
        <v>0</v>
      </c>
      <c r="AE500" s="19">
        <f t="shared" si="131"/>
        <v>0</v>
      </c>
      <c r="AF500" s="19"/>
      <c r="AG500" s="17"/>
      <c r="AK500" s="7"/>
      <c r="AL500" s="108">
        <f t="shared" si="119"/>
        <v>0</v>
      </c>
      <c r="AM500" s="108">
        <f t="shared" si="120"/>
        <v>0</v>
      </c>
      <c r="AN500" s="113"/>
    </row>
    <row r="501" spans="2:40" x14ac:dyDescent="0.2">
      <c r="B501" s="7"/>
      <c r="C501" s="8"/>
      <c r="D501" s="8"/>
      <c r="E501" s="9"/>
      <c r="F501" s="6"/>
      <c r="G501" s="8"/>
      <c r="H501" s="32"/>
      <c r="I501" s="10" t="str">
        <f t="shared" si="117"/>
        <v>21</v>
      </c>
      <c r="J501" s="11">
        <v>1</v>
      </c>
      <c r="K501" s="11"/>
      <c r="L501" s="11"/>
      <c r="M501" s="11">
        <f t="shared" si="121"/>
        <v>0</v>
      </c>
      <c r="N501" s="11"/>
      <c r="O501" s="11">
        <f t="shared" si="122"/>
        <v>0</v>
      </c>
      <c r="P501" s="11"/>
      <c r="Q501" s="11"/>
      <c r="R501" s="11"/>
      <c r="S501" s="11">
        <f t="shared" si="123"/>
        <v>0</v>
      </c>
      <c r="T501" s="11">
        <f t="shared" si="124"/>
        <v>1666.6666666666667</v>
      </c>
      <c r="U501" s="11">
        <f t="shared" si="125"/>
        <v>0</v>
      </c>
      <c r="V501" s="24">
        <f t="shared" si="126"/>
        <v>0</v>
      </c>
      <c r="W501" s="11">
        <f>IF(V501&lt;=40000,0,
IF(V501&lt;=55000,(V501-40000)*10%,
IF(V501&lt;=70000,(V501-55000)*15%+1500,
IF(V501&lt;=200000,(V501-70000)*20%+1500+2250,
IF(V501&lt;=400000,(V501-200000)*22.5%+1500+2250+26000,
IF(V501&lt;=600000,(V501-400000)*25%+1500+2250+26000+45000,
IF(AND(V501&gt;600000,V501&lt;=1200000),(V501-400000)*25%+1500+2250+26000+45000
+IFERROR(LOOKUP(V501,{600001;700001;800001;900001},{4000;6750;10250;15250}),0),IF(V501&gt;1200000,((V501-1200000)*27.5%)+300000,0)
)))))))</f>
        <v>0</v>
      </c>
      <c r="X501" s="12">
        <f t="shared" si="127"/>
        <v>0</v>
      </c>
      <c r="Y501" s="12">
        <f t="shared" si="128"/>
        <v>0</v>
      </c>
      <c r="Z501" s="11"/>
      <c r="AA501" s="13">
        <f t="shared" si="129"/>
        <v>0</v>
      </c>
      <c r="AB501" s="12">
        <f t="shared" si="130"/>
        <v>0</v>
      </c>
      <c r="AC501" s="14">
        <f t="shared" si="118"/>
        <v>0</v>
      </c>
      <c r="AE501" s="19">
        <f t="shared" si="131"/>
        <v>0</v>
      </c>
      <c r="AF501" s="19"/>
      <c r="AG501" s="17"/>
      <c r="AK501" s="7"/>
      <c r="AL501" s="108">
        <f t="shared" si="119"/>
        <v>0</v>
      </c>
      <c r="AM501" s="108">
        <f t="shared" si="120"/>
        <v>0</v>
      </c>
      <c r="AN501" s="113"/>
    </row>
    <row r="502" spans="2:40" x14ac:dyDescent="0.2">
      <c r="B502" s="7"/>
      <c r="C502" s="8"/>
      <c r="D502" s="8"/>
      <c r="E502" s="9"/>
      <c r="F502" s="6"/>
      <c r="G502" s="8"/>
      <c r="H502" s="32"/>
      <c r="I502" s="10" t="str">
        <f t="shared" si="117"/>
        <v>21</v>
      </c>
      <c r="J502" s="11">
        <v>1</v>
      </c>
      <c r="K502" s="11"/>
      <c r="L502" s="11"/>
      <c r="M502" s="11">
        <f t="shared" si="121"/>
        <v>0</v>
      </c>
      <c r="N502" s="11"/>
      <c r="O502" s="11">
        <f t="shared" si="122"/>
        <v>0</v>
      </c>
      <c r="P502" s="11"/>
      <c r="Q502" s="11"/>
      <c r="R502" s="11"/>
      <c r="S502" s="11">
        <f t="shared" si="123"/>
        <v>0</v>
      </c>
      <c r="T502" s="11">
        <f t="shared" si="124"/>
        <v>1666.6666666666667</v>
      </c>
      <c r="U502" s="11">
        <f t="shared" si="125"/>
        <v>0</v>
      </c>
      <c r="V502" s="24">
        <f t="shared" si="126"/>
        <v>0</v>
      </c>
      <c r="W502" s="11">
        <f>IF(V502&lt;=40000,0,
IF(V502&lt;=55000,(V502-40000)*10%,
IF(V502&lt;=70000,(V502-55000)*15%+1500,
IF(V502&lt;=200000,(V502-70000)*20%+1500+2250,
IF(V502&lt;=400000,(V502-200000)*22.5%+1500+2250+26000,
IF(V502&lt;=600000,(V502-400000)*25%+1500+2250+26000+45000,
IF(AND(V502&gt;600000,V502&lt;=1200000),(V502-400000)*25%+1500+2250+26000+45000
+IFERROR(LOOKUP(V502,{600001;700001;800001;900001},{4000;6750;10250;15250}),0),IF(V502&gt;1200000,((V502-1200000)*27.5%)+300000,0)
)))))))</f>
        <v>0</v>
      </c>
      <c r="X502" s="12">
        <f t="shared" si="127"/>
        <v>0</v>
      </c>
      <c r="Y502" s="12">
        <f t="shared" si="128"/>
        <v>0</v>
      </c>
      <c r="Z502" s="11"/>
      <c r="AA502" s="13">
        <f t="shared" si="129"/>
        <v>0</v>
      </c>
      <c r="AB502" s="12">
        <f t="shared" si="130"/>
        <v>0</v>
      </c>
      <c r="AC502" s="14">
        <f t="shared" si="118"/>
        <v>0</v>
      </c>
      <c r="AE502" s="19">
        <f t="shared" si="131"/>
        <v>0</v>
      </c>
      <c r="AF502" s="19"/>
      <c r="AG502" s="17"/>
      <c r="AK502" s="7"/>
      <c r="AL502" s="108">
        <f t="shared" si="119"/>
        <v>0</v>
      </c>
      <c r="AM502" s="108">
        <f t="shared" si="120"/>
        <v>0</v>
      </c>
      <c r="AN502" s="113"/>
    </row>
    <row r="503" spans="2:40" x14ac:dyDescent="0.2">
      <c r="B503" s="7"/>
      <c r="C503" s="8"/>
      <c r="D503" s="8"/>
      <c r="E503" s="9"/>
      <c r="F503" s="6"/>
      <c r="G503" s="8"/>
      <c r="H503" s="32"/>
      <c r="I503" s="10" t="str">
        <f t="shared" si="117"/>
        <v>21</v>
      </c>
      <c r="J503" s="11">
        <v>1</v>
      </c>
      <c r="K503" s="11"/>
      <c r="L503" s="11"/>
      <c r="M503" s="11">
        <f t="shared" si="121"/>
        <v>0</v>
      </c>
      <c r="N503" s="11"/>
      <c r="O503" s="11">
        <f t="shared" si="122"/>
        <v>0</v>
      </c>
      <c r="P503" s="11"/>
      <c r="Q503" s="11"/>
      <c r="R503" s="11"/>
      <c r="S503" s="11">
        <f t="shared" si="123"/>
        <v>0</v>
      </c>
      <c r="T503" s="11">
        <f t="shared" si="124"/>
        <v>1666.6666666666667</v>
      </c>
      <c r="U503" s="11">
        <f t="shared" si="125"/>
        <v>0</v>
      </c>
      <c r="V503" s="24">
        <f t="shared" si="126"/>
        <v>0</v>
      </c>
      <c r="W503" s="11">
        <f>IF(V503&lt;=40000,0,
IF(V503&lt;=55000,(V503-40000)*10%,
IF(V503&lt;=70000,(V503-55000)*15%+1500,
IF(V503&lt;=200000,(V503-70000)*20%+1500+2250,
IF(V503&lt;=400000,(V503-200000)*22.5%+1500+2250+26000,
IF(V503&lt;=600000,(V503-400000)*25%+1500+2250+26000+45000,
IF(AND(V503&gt;600000,V503&lt;=1200000),(V503-400000)*25%+1500+2250+26000+45000
+IFERROR(LOOKUP(V503,{600001;700001;800001;900001},{4000;6750;10250;15250}),0),IF(V503&gt;1200000,((V503-1200000)*27.5%)+300000,0)
)))))))</f>
        <v>0</v>
      </c>
      <c r="X503" s="12">
        <f t="shared" si="127"/>
        <v>0</v>
      </c>
      <c r="Y503" s="12">
        <f t="shared" si="128"/>
        <v>0</v>
      </c>
      <c r="Z503" s="11"/>
      <c r="AA503" s="13">
        <f t="shared" si="129"/>
        <v>0</v>
      </c>
      <c r="AB503" s="12">
        <f t="shared" si="130"/>
        <v>0</v>
      </c>
      <c r="AC503" s="14">
        <f t="shared" si="118"/>
        <v>0</v>
      </c>
      <c r="AE503" s="19">
        <f t="shared" si="131"/>
        <v>0</v>
      </c>
      <c r="AF503" s="19"/>
      <c r="AG503" s="17"/>
      <c r="AK503" s="7"/>
      <c r="AL503" s="108">
        <f t="shared" si="119"/>
        <v>0</v>
      </c>
      <c r="AM503" s="108">
        <f t="shared" si="120"/>
        <v>0</v>
      </c>
      <c r="AN503" s="113"/>
    </row>
    <row r="504" spans="2:40" x14ac:dyDescent="0.2">
      <c r="B504" s="7"/>
      <c r="C504" s="8"/>
      <c r="D504" s="8"/>
      <c r="E504" s="9"/>
      <c r="F504" s="6"/>
      <c r="G504" s="8"/>
      <c r="H504" s="32"/>
      <c r="I504" s="10" t="str">
        <f t="shared" si="117"/>
        <v>21</v>
      </c>
      <c r="J504" s="11">
        <v>1</v>
      </c>
      <c r="K504" s="11"/>
      <c r="L504" s="11"/>
      <c r="M504" s="11">
        <f t="shared" si="121"/>
        <v>0</v>
      </c>
      <c r="N504" s="11"/>
      <c r="O504" s="11">
        <f t="shared" si="122"/>
        <v>0</v>
      </c>
      <c r="P504" s="11"/>
      <c r="Q504" s="11"/>
      <c r="R504" s="11"/>
      <c r="S504" s="11">
        <f t="shared" si="123"/>
        <v>0</v>
      </c>
      <c r="T504" s="11">
        <f t="shared" si="124"/>
        <v>1666.6666666666667</v>
      </c>
      <c r="U504" s="11">
        <f t="shared" si="125"/>
        <v>0</v>
      </c>
      <c r="V504" s="24">
        <f t="shared" si="126"/>
        <v>0</v>
      </c>
      <c r="W504" s="11">
        <f>IF(V504&lt;=40000,0,
IF(V504&lt;=55000,(V504-40000)*10%,
IF(V504&lt;=70000,(V504-55000)*15%+1500,
IF(V504&lt;=200000,(V504-70000)*20%+1500+2250,
IF(V504&lt;=400000,(V504-200000)*22.5%+1500+2250+26000,
IF(V504&lt;=600000,(V504-400000)*25%+1500+2250+26000+45000,
IF(AND(V504&gt;600000,V504&lt;=1200000),(V504-400000)*25%+1500+2250+26000+45000
+IFERROR(LOOKUP(V504,{600001;700001;800001;900001},{4000;6750;10250;15250}),0),IF(V504&gt;1200000,((V504-1200000)*27.5%)+300000,0)
)))))))</f>
        <v>0</v>
      </c>
      <c r="X504" s="12">
        <f t="shared" si="127"/>
        <v>0</v>
      </c>
      <c r="Y504" s="12">
        <f t="shared" si="128"/>
        <v>0</v>
      </c>
      <c r="Z504" s="11"/>
      <c r="AA504" s="13">
        <f t="shared" si="129"/>
        <v>0</v>
      </c>
      <c r="AB504" s="12">
        <f t="shared" si="130"/>
        <v>0</v>
      </c>
      <c r="AC504" s="14">
        <f t="shared" si="118"/>
        <v>0</v>
      </c>
      <c r="AE504" s="19">
        <f t="shared" si="131"/>
        <v>0</v>
      </c>
      <c r="AF504" s="19"/>
      <c r="AG504" s="17"/>
      <c r="AK504" s="7"/>
      <c r="AL504" s="108">
        <f t="shared" si="119"/>
        <v>0</v>
      </c>
      <c r="AM504" s="108">
        <f t="shared" si="120"/>
        <v>0</v>
      </c>
      <c r="AN504" s="113"/>
    </row>
    <row r="505" spans="2:40" x14ac:dyDescent="0.2">
      <c r="B505" s="7"/>
      <c r="C505" s="8"/>
      <c r="D505" s="8"/>
      <c r="E505" s="9"/>
      <c r="F505" s="6"/>
      <c r="G505" s="8"/>
      <c r="H505" s="32"/>
      <c r="I505" s="10" t="str">
        <f t="shared" si="117"/>
        <v>21</v>
      </c>
      <c r="J505" s="11">
        <v>1</v>
      </c>
      <c r="K505" s="11"/>
      <c r="L505" s="11"/>
      <c r="M505" s="11">
        <f t="shared" si="121"/>
        <v>0</v>
      </c>
      <c r="N505" s="11"/>
      <c r="O505" s="11">
        <f t="shared" si="122"/>
        <v>0</v>
      </c>
      <c r="P505" s="11"/>
      <c r="Q505" s="11"/>
      <c r="R505" s="11"/>
      <c r="S505" s="11">
        <f t="shared" si="123"/>
        <v>0</v>
      </c>
      <c r="T505" s="11">
        <f t="shared" si="124"/>
        <v>1666.6666666666667</v>
      </c>
      <c r="U505" s="11">
        <f t="shared" si="125"/>
        <v>0</v>
      </c>
      <c r="V505" s="24">
        <f t="shared" si="126"/>
        <v>0</v>
      </c>
      <c r="W505" s="11">
        <f>IF(V505&lt;=40000,0,
IF(V505&lt;=55000,(V505-40000)*10%,
IF(V505&lt;=70000,(V505-55000)*15%+1500,
IF(V505&lt;=200000,(V505-70000)*20%+1500+2250,
IF(V505&lt;=400000,(V505-200000)*22.5%+1500+2250+26000,
IF(V505&lt;=600000,(V505-400000)*25%+1500+2250+26000+45000,
IF(AND(V505&gt;600000,V505&lt;=1200000),(V505-400000)*25%+1500+2250+26000+45000
+IFERROR(LOOKUP(V505,{600001;700001;800001;900001},{4000;6750;10250;15250}),0),IF(V505&gt;1200000,((V505-1200000)*27.5%)+300000,0)
)))))))</f>
        <v>0</v>
      </c>
      <c r="X505" s="12">
        <f t="shared" si="127"/>
        <v>0</v>
      </c>
      <c r="Y505" s="12">
        <f t="shared" si="128"/>
        <v>0</v>
      </c>
      <c r="Z505" s="11"/>
      <c r="AA505" s="13">
        <f t="shared" si="129"/>
        <v>0</v>
      </c>
      <c r="AB505" s="12">
        <f t="shared" si="130"/>
        <v>0</v>
      </c>
      <c r="AC505" s="14">
        <f t="shared" si="118"/>
        <v>0</v>
      </c>
      <c r="AE505" s="19">
        <f t="shared" si="131"/>
        <v>0</v>
      </c>
      <c r="AF505" s="19"/>
      <c r="AG505" s="17"/>
      <c r="AK505" s="7"/>
      <c r="AL505" s="108">
        <f t="shared" si="119"/>
        <v>0</v>
      </c>
      <c r="AM505" s="108">
        <f t="shared" si="120"/>
        <v>0</v>
      </c>
      <c r="AN505" s="113"/>
    </row>
    <row r="506" spans="2:40" x14ac:dyDescent="0.2">
      <c r="B506" s="7"/>
      <c r="C506" s="8"/>
      <c r="D506" s="8"/>
      <c r="E506" s="9"/>
      <c r="F506" s="6"/>
      <c r="G506" s="8"/>
      <c r="H506" s="32"/>
      <c r="I506" s="10" t="str">
        <f t="shared" si="117"/>
        <v>21</v>
      </c>
      <c r="J506" s="11">
        <v>1</v>
      </c>
      <c r="K506" s="11"/>
      <c r="L506" s="11"/>
      <c r="M506" s="11">
        <f t="shared" si="121"/>
        <v>0</v>
      </c>
      <c r="N506" s="11"/>
      <c r="O506" s="11">
        <f t="shared" si="122"/>
        <v>0</v>
      </c>
      <c r="P506" s="11"/>
      <c r="Q506" s="11"/>
      <c r="R506" s="11"/>
      <c r="S506" s="11">
        <f t="shared" si="123"/>
        <v>0</v>
      </c>
      <c r="T506" s="11">
        <f t="shared" si="124"/>
        <v>1666.6666666666667</v>
      </c>
      <c r="U506" s="11">
        <f t="shared" si="125"/>
        <v>0</v>
      </c>
      <c r="V506" s="24">
        <f t="shared" si="126"/>
        <v>0</v>
      </c>
      <c r="W506" s="11">
        <f>IF(V506&lt;=40000,0,
IF(V506&lt;=55000,(V506-40000)*10%,
IF(V506&lt;=70000,(V506-55000)*15%+1500,
IF(V506&lt;=200000,(V506-70000)*20%+1500+2250,
IF(V506&lt;=400000,(V506-200000)*22.5%+1500+2250+26000,
IF(V506&lt;=600000,(V506-400000)*25%+1500+2250+26000+45000,
IF(AND(V506&gt;600000,V506&lt;=1200000),(V506-400000)*25%+1500+2250+26000+45000
+IFERROR(LOOKUP(V506,{600001;700001;800001;900001},{4000;6750;10250;15250}),0),IF(V506&gt;1200000,((V506-1200000)*27.5%)+300000,0)
)))))))</f>
        <v>0</v>
      </c>
      <c r="X506" s="12">
        <f t="shared" si="127"/>
        <v>0</v>
      </c>
      <c r="Y506" s="12">
        <f t="shared" si="128"/>
        <v>0</v>
      </c>
      <c r="Z506" s="11"/>
      <c r="AA506" s="13">
        <f t="shared" si="129"/>
        <v>0</v>
      </c>
      <c r="AB506" s="12">
        <f t="shared" si="130"/>
        <v>0</v>
      </c>
      <c r="AC506" s="14">
        <f t="shared" si="118"/>
        <v>0</v>
      </c>
      <c r="AE506" s="19">
        <f t="shared" si="131"/>
        <v>0</v>
      </c>
      <c r="AF506" s="19"/>
      <c r="AG506" s="17"/>
      <c r="AK506" s="7"/>
      <c r="AL506" s="108">
        <f t="shared" si="119"/>
        <v>0</v>
      </c>
      <c r="AM506" s="108">
        <f t="shared" si="120"/>
        <v>0</v>
      </c>
      <c r="AN506" s="113"/>
    </row>
    <row r="507" spans="2:40" x14ac:dyDescent="0.2">
      <c r="B507" s="7"/>
      <c r="C507" s="8"/>
      <c r="D507" s="8"/>
      <c r="E507" s="9"/>
      <c r="F507" s="6"/>
      <c r="G507" s="8"/>
      <c r="H507" s="32"/>
      <c r="I507" s="10" t="str">
        <f t="shared" si="117"/>
        <v>21</v>
      </c>
      <c r="J507" s="11">
        <v>1</v>
      </c>
      <c r="K507" s="11"/>
      <c r="L507" s="11"/>
      <c r="M507" s="11">
        <f t="shared" si="121"/>
        <v>0</v>
      </c>
      <c r="N507" s="11"/>
      <c r="O507" s="11">
        <f t="shared" si="122"/>
        <v>0</v>
      </c>
      <c r="P507" s="11"/>
      <c r="Q507" s="11"/>
      <c r="R507" s="11"/>
      <c r="S507" s="11">
        <f t="shared" si="123"/>
        <v>0</v>
      </c>
      <c r="T507" s="11">
        <f t="shared" si="124"/>
        <v>1666.6666666666667</v>
      </c>
      <c r="U507" s="11">
        <f t="shared" si="125"/>
        <v>0</v>
      </c>
      <c r="V507" s="24">
        <f t="shared" si="126"/>
        <v>0</v>
      </c>
      <c r="W507" s="11">
        <f>IF(V507&lt;=40000,0,
IF(V507&lt;=55000,(V507-40000)*10%,
IF(V507&lt;=70000,(V507-55000)*15%+1500,
IF(V507&lt;=200000,(V507-70000)*20%+1500+2250,
IF(V507&lt;=400000,(V507-200000)*22.5%+1500+2250+26000,
IF(V507&lt;=600000,(V507-400000)*25%+1500+2250+26000+45000,
IF(AND(V507&gt;600000,V507&lt;=1200000),(V507-400000)*25%+1500+2250+26000+45000
+IFERROR(LOOKUP(V507,{600001;700001;800001;900001},{4000;6750;10250;15250}),0),IF(V507&gt;1200000,((V507-1200000)*27.5%)+300000,0)
)))))))</f>
        <v>0</v>
      </c>
      <c r="X507" s="12">
        <f t="shared" si="127"/>
        <v>0</v>
      </c>
      <c r="Y507" s="12">
        <f t="shared" si="128"/>
        <v>0</v>
      </c>
      <c r="Z507" s="11"/>
      <c r="AA507" s="13">
        <f t="shared" si="129"/>
        <v>0</v>
      </c>
      <c r="AB507" s="12">
        <f t="shared" si="130"/>
        <v>0</v>
      </c>
      <c r="AC507" s="14">
        <f t="shared" si="118"/>
        <v>0</v>
      </c>
      <c r="AE507" s="19">
        <f t="shared" si="131"/>
        <v>0</v>
      </c>
      <c r="AF507" s="19"/>
      <c r="AG507" s="17"/>
      <c r="AK507" s="7"/>
      <c r="AL507" s="108">
        <f t="shared" si="119"/>
        <v>0</v>
      </c>
      <c r="AM507" s="108">
        <f t="shared" si="120"/>
        <v>0</v>
      </c>
      <c r="AN507" s="113"/>
    </row>
    <row r="508" spans="2:40" x14ac:dyDescent="0.2">
      <c r="B508" s="7"/>
      <c r="C508" s="8"/>
      <c r="D508" s="8"/>
      <c r="E508" s="9"/>
      <c r="F508" s="6"/>
      <c r="G508" s="8"/>
      <c r="H508" s="32"/>
      <c r="I508" s="10" t="str">
        <f t="shared" si="117"/>
        <v>21</v>
      </c>
      <c r="J508" s="11">
        <v>1</v>
      </c>
      <c r="K508" s="11"/>
      <c r="L508" s="11"/>
      <c r="M508" s="11">
        <f t="shared" si="121"/>
        <v>0</v>
      </c>
      <c r="N508" s="11"/>
      <c r="O508" s="11">
        <f t="shared" si="122"/>
        <v>0</v>
      </c>
      <c r="P508" s="11"/>
      <c r="Q508" s="11"/>
      <c r="R508" s="11"/>
      <c r="S508" s="11">
        <f t="shared" si="123"/>
        <v>0</v>
      </c>
      <c r="T508" s="11">
        <f t="shared" si="124"/>
        <v>1666.6666666666667</v>
      </c>
      <c r="U508" s="11">
        <f t="shared" si="125"/>
        <v>0</v>
      </c>
      <c r="V508" s="24">
        <f t="shared" si="126"/>
        <v>0</v>
      </c>
      <c r="W508" s="11">
        <f>IF(V508&lt;=40000,0,
IF(V508&lt;=55000,(V508-40000)*10%,
IF(V508&lt;=70000,(V508-55000)*15%+1500,
IF(V508&lt;=200000,(V508-70000)*20%+1500+2250,
IF(V508&lt;=400000,(V508-200000)*22.5%+1500+2250+26000,
IF(V508&lt;=600000,(V508-400000)*25%+1500+2250+26000+45000,
IF(AND(V508&gt;600000,V508&lt;=1200000),(V508-400000)*25%+1500+2250+26000+45000
+IFERROR(LOOKUP(V508,{600001;700001;800001;900001},{4000;6750;10250;15250}),0),IF(V508&gt;1200000,((V508-1200000)*27.5%)+300000,0)
)))))))</f>
        <v>0</v>
      </c>
      <c r="X508" s="12">
        <f t="shared" si="127"/>
        <v>0</v>
      </c>
      <c r="Y508" s="12">
        <f t="shared" si="128"/>
        <v>0</v>
      </c>
      <c r="Z508" s="11"/>
      <c r="AA508" s="13">
        <f t="shared" si="129"/>
        <v>0</v>
      </c>
      <c r="AB508" s="12">
        <f t="shared" si="130"/>
        <v>0</v>
      </c>
      <c r="AC508" s="14">
        <f t="shared" si="118"/>
        <v>0</v>
      </c>
      <c r="AE508" s="19">
        <f t="shared" si="131"/>
        <v>0</v>
      </c>
      <c r="AF508" s="19"/>
      <c r="AG508" s="17"/>
      <c r="AK508" s="7"/>
      <c r="AL508" s="108">
        <f t="shared" si="119"/>
        <v>0</v>
      </c>
      <c r="AM508" s="108">
        <f t="shared" si="120"/>
        <v>0</v>
      </c>
      <c r="AN508" s="113"/>
    </row>
    <row r="509" spans="2:40" x14ac:dyDescent="0.2">
      <c r="B509" s="7"/>
      <c r="C509" s="8"/>
      <c r="D509" s="8"/>
      <c r="E509" s="9"/>
      <c r="F509" s="6"/>
      <c r="G509" s="8"/>
      <c r="H509" s="32"/>
      <c r="I509" s="10" t="str">
        <f t="shared" si="117"/>
        <v>21</v>
      </c>
      <c r="J509" s="11">
        <v>1</v>
      </c>
      <c r="K509" s="11"/>
      <c r="L509" s="11"/>
      <c r="M509" s="11">
        <f t="shared" si="121"/>
        <v>0</v>
      </c>
      <c r="N509" s="11"/>
      <c r="O509" s="11">
        <f t="shared" si="122"/>
        <v>0</v>
      </c>
      <c r="P509" s="11"/>
      <c r="Q509" s="11"/>
      <c r="R509" s="11"/>
      <c r="S509" s="11">
        <f t="shared" si="123"/>
        <v>0</v>
      </c>
      <c r="T509" s="11">
        <f t="shared" si="124"/>
        <v>1666.6666666666667</v>
      </c>
      <c r="U509" s="11">
        <f t="shared" si="125"/>
        <v>0</v>
      </c>
      <c r="V509" s="24">
        <f t="shared" si="126"/>
        <v>0</v>
      </c>
      <c r="W509" s="11">
        <f>IF(V509&lt;=40000,0,
IF(V509&lt;=55000,(V509-40000)*10%,
IF(V509&lt;=70000,(V509-55000)*15%+1500,
IF(V509&lt;=200000,(V509-70000)*20%+1500+2250,
IF(V509&lt;=400000,(V509-200000)*22.5%+1500+2250+26000,
IF(V509&lt;=600000,(V509-400000)*25%+1500+2250+26000+45000,
IF(AND(V509&gt;600000,V509&lt;=1200000),(V509-400000)*25%+1500+2250+26000+45000
+IFERROR(LOOKUP(V509,{600001;700001;800001;900001},{4000;6750;10250;15250}),0),IF(V509&gt;1200000,((V509-1200000)*27.5%)+300000,0)
)))))))</f>
        <v>0</v>
      </c>
      <c r="X509" s="12">
        <f t="shared" si="127"/>
        <v>0</v>
      </c>
      <c r="Y509" s="12">
        <f t="shared" si="128"/>
        <v>0</v>
      </c>
      <c r="Z509" s="11"/>
      <c r="AA509" s="13">
        <f t="shared" si="129"/>
        <v>0</v>
      </c>
      <c r="AB509" s="12">
        <f t="shared" si="130"/>
        <v>0</v>
      </c>
      <c r="AC509" s="14">
        <f t="shared" si="118"/>
        <v>0</v>
      </c>
      <c r="AE509" s="19">
        <f t="shared" si="131"/>
        <v>0</v>
      </c>
      <c r="AF509" s="19"/>
      <c r="AG509" s="17"/>
      <c r="AK509" s="7"/>
      <c r="AL509" s="108">
        <f t="shared" si="119"/>
        <v>0</v>
      </c>
      <c r="AM509" s="108">
        <f t="shared" si="120"/>
        <v>0</v>
      </c>
      <c r="AN509" s="113"/>
    </row>
    <row r="510" spans="2:40" x14ac:dyDescent="0.2">
      <c r="B510" s="7"/>
      <c r="C510" s="8"/>
      <c r="D510" s="8"/>
      <c r="E510" s="9"/>
      <c r="F510" s="6"/>
      <c r="G510" s="8"/>
      <c r="H510" s="32"/>
      <c r="I510" s="10" t="str">
        <f t="shared" si="117"/>
        <v>21</v>
      </c>
      <c r="J510" s="11">
        <v>1</v>
      </c>
      <c r="K510" s="11"/>
      <c r="L510" s="11"/>
      <c r="M510" s="11">
        <f t="shared" si="121"/>
        <v>0</v>
      </c>
      <c r="N510" s="11"/>
      <c r="O510" s="11">
        <f t="shared" si="122"/>
        <v>0</v>
      </c>
      <c r="P510" s="11"/>
      <c r="Q510" s="11"/>
      <c r="R510" s="11"/>
      <c r="S510" s="11">
        <f t="shared" si="123"/>
        <v>0</v>
      </c>
      <c r="T510" s="11">
        <f t="shared" si="124"/>
        <v>1666.6666666666667</v>
      </c>
      <c r="U510" s="11">
        <f t="shared" si="125"/>
        <v>0</v>
      </c>
      <c r="V510" s="24">
        <f t="shared" si="126"/>
        <v>0</v>
      </c>
      <c r="W510" s="11">
        <f>IF(V510&lt;=40000,0,
IF(V510&lt;=55000,(V510-40000)*10%,
IF(V510&lt;=70000,(V510-55000)*15%+1500,
IF(V510&lt;=200000,(V510-70000)*20%+1500+2250,
IF(V510&lt;=400000,(V510-200000)*22.5%+1500+2250+26000,
IF(V510&lt;=600000,(V510-400000)*25%+1500+2250+26000+45000,
IF(AND(V510&gt;600000,V510&lt;=1200000),(V510-400000)*25%+1500+2250+26000+45000
+IFERROR(LOOKUP(V510,{600001;700001;800001;900001},{4000;6750;10250;15250}),0),IF(V510&gt;1200000,((V510-1200000)*27.5%)+300000,0)
)))))))</f>
        <v>0</v>
      </c>
      <c r="X510" s="12">
        <f t="shared" si="127"/>
        <v>0</v>
      </c>
      <c r="Y510" s="12">
        <f t="shared" si="128"/>
        <v>0</v>
      </c>
      <c r="Z510" s="11"/>
      <c r="AA510" s="13">
        <f t="shared" si="129"/>
        <v>0</v>
      </c>
      <c r="AB510" s="12">
        <f t="shared" si="130"/>
        <v>0</v>
      </c>
      <c r="AC510" s="14">
        <f t="shared" si="118"/>
        <v>0</v>
      </c>
      <c r="AE510" s="19">
        <f t="shared" si="131"/>
        <v>0</v>
      </c>
      <c r="AF510" s="19"/>
      <c r="AG510" s="17"/>
      <c r="AK510" s="7"/>
      <c r="AL510" s="108">
        <f t="shared" si="119"/>
        <v>0</v>
      </c>
      <c r="AM510" s="108">
        <f t="shared" si="120"/>
        <v>0</v>
      </c>
      <c r="AN510" s="113"/>
    </row>
    <row r="511" spans="2:40" x14ac:dyDescent="0.2">
      <c r="B511" s="7"/>
      <c r="C511" s="8"/>
      <c r="D511" s="8"/>
      <c r="E511" s="9"/>
      <c r="F511" s="6"/>
      <c r="G511" s="8"/>
      <c r="H511" s="32"/>
      <c r="I511" s="10" t="str">
        <f t="shared" si="117"/>
        <v>21</v>
      </c>
      <c r="J511" s="11">
        <v>1</v>
      </c>
      <c r="K511" s="11"/>
      <c r="L511" s="11"/>
      <c r="M511" s="11">
        <f t="shared" si="121"/>
        <v>0</v>
      </c>
      <c r="N511" s="11"/>
      <c r="O511" s="11">
        <f t="shared" si="122"/>
        <v>0</v>
      </c>
      <c r="P511" s="11"/>
      <c r="Q511" s="11"/>
      <c r="R511" s="11"/>
      <c r="S511" s="11">
        <f t="shared" si="123"/>
        <v>0</v>
      </c>
      <c r="T511" s="11">
        <f t="shared" si="124"/>
        <v>1666.6666666666667</v>
      </c>
      <c r="U511" s="11">
        <f t="shared" si="125"/>
        <v>0</v>
      </c>
      <c r="V511" s="24">
        <f t="shared" si="126"/>
        <v>0</v>
      </c>
      <c r="W511" s="11">
        <f>IF(V511&lt;=40000,0,
IF(V511&lt;=55000,(V511-40000)*10%,
IF(V511&lt;=70000,(V511-55000)*15%+1500,
IF(V511&lt;=200000,(V511-70000)*20%+1500+2250,
IF(V511&lt;=400000,(V511-200000)*22.5%+1500+2250+26000,
IF(V511&lt;=600000,(V511-400000)*25%+1500+2250+26000+45000,
IF(AND(V511&gt;600000,V511&lt;=1200000),(V511-400000)*25%+1500+2250+26000+45000
+IFERROR(LOOKUP(V511,{600001;700001;800001;900001},{4000;6750;10250;15250}),0),IF(V511&gt;1200000,((V511-1200000)*27.5%)+300000,0)
)))))))</f>
        <v>0</v>
      </c>
      <c r="X511" s="12">
        <f t="shared" si="127"/>
        <v>0</v>
      </c>
      <c r="Y511" s="12">
        <f t="shared" si="128"/>
        <v>0</v>
      </c>
      <c r="Z511" s="11"/>
      <c r="AA511" s="13">
        <f t="shared" si="129"/>
        <v>0</v>
      </c>
      <c r="AB511" s="12">
        <f t="shared" si="130"/>
        <v>0</v>
      </c>
      <c r="AC511" s="14">
        <f t="shared" si="118"/>
        <v>0</v>
      </c>
      <c r="AE511" s="19">
        <f t="shared" si="131"/>
        <v>0</v>
      </c>
      <c r="AF511" s="19"/>
      <c r="AG511" s="17"/>
      <c r="AK511" s="7"/>
      <c r="AL511" s="108">
        <f t="shared" si="119"/>
        <v>0</v>
      </c>
      <c r="AM511" s="108">
        <f t="shared" si="120"/>
        <v>0</v>
      </c>
      <c r="AN511" s="113"/>
    </row>
    <row r="512" spans="2:40" x14ac:dyDescent="0.2">
      <c r="B512" s="7"/>
      <c r="C512" s="8"/>
      <c r="D512" s="8"/>
      <c r="E512" s="9"/>
      <c r="F512" s="6"/>
      <c r="G512" s="8"/>
      <c r="H512" s="32"/>
      <c r="I512" s="10" t="str">
        <f t="shared" si="117"/>
        <v>21</v>
      </c>
      <c r="J512" s="11">
        <v>1</v>
      </c>
      <c r="K512" s="11"/>
      <c r="L512" s="11"/>
      <c r="M512" s="11">
        <f t="shared" si="121"/>
        <v>0</v>
      </c>
      <c r="N512" s="11"/>
      <c r="O512" s="11">
        <f t="shared" si="122"/>
        <v>0</v>
      </c>
      <c r="P512" s="11"/>
      <c r="Q512" s="11"/>
      <c r="R512" s="11"/>
      <c r="S512" s="11">
        <f t="shared" si="123"/>
        <v>0</v>
      </c>
      <c r="T512" s="11">
        <f t="shared" si="124"/>
        <v>1666.6666666666667</v>
      </c>
      <c r="U512" s="11">
        <f t="shared" si="125"/>
        <v>0</v>
      </c>
      <c r="V512" s="24">
        <f t="shared" si="126"/>
        <v>0</v>
      </c>
      <c r="W512" s="11">
        <f>IF(V512&lt;=40000,0,
IF(V512&lt;=55000,(V512-40000)*10%,
IF(V512&lt;=70000,(V512-55000)*15%+1500,
IF(V512&lt;=200000,(V512-70000)*20%+1500+2250,
IF(V512&lt;=400000,(V512-200000)*22.5%+1500+2250+26000,
IF(V512&lt;=600000,(V512-400000)*25%+1500+2250+26000+45000,
IF(AND(V512&gt;600000,V512&lt;=1200000),(V512-400000)*25%+1500+2250+26000+45000
+IFERROR(LOOKUP(V512,{600001;700001;800001;900001},{4000;6750;10250;15250}),0),IF(V512&gt;1200000,((V512-1200000)*27.5%)+300000,0)
)))))))</f>
        <v>0</v>
      </c>
      <c r="X512" s="12">
        <f t="shared" si="127"/>
        <v>0</v>
      </c>
      <c r="Y512" s="12">
        <f t="shared" si="128"/>
        <v>0</v>
      </c>
      <c r="Z512" s="11"/>
      <c r="AA512" s="13">
        <f t="shared" si="129"/>
        <v>0</v>
      </c>
      <c r="AB512" s="12">
        <f t="shared" si="130"/>
        <v>0</v>
      </c>
      <c r="AC512" s="14">
        <f t="shared" si="118"/>
        <v>0</v>
      </c>
      <c r="AE512" s="19">
        <f t="shared" si="131"/>
        <v>0</v>
      </c>
      <c r="AF512" s="19"/>
      <c r="AG512" s="17"/>
      <c r="AK512" s="7"/>
      <c r="AL512" s="108">
        <f t="shared" si="119"/>
        <v>0</v>
      </c>
      <c r="AM512" s="108">
        <f t="shared" si="120"/>
        <v>0</v>
      </c>
      <c r="AN512" s="113"/>
    </row>
    <row r="513" spans="2:40" x14ac:dyDescent="0.2">
      <c r="B513" s="7"/>
      <c r="C513" s="8"/>
      <c r="D513" s="8"/>
      <c r="E513" s="9"/>
      <c r="F513" s="6"/>
      <c r="G513" s="8"/>
      <c r="H513" s="32"/>
      <c r="I513" s="10" t="str">
        <f t="shared" si="117"/>
        <v>21</v>
      </c>
      <c r="J513" s="11">
        <v>1</v>
      </c>
      <c r="K513" s="11"/>
      <c r="L513" s="11"/>
      <c r="M513" s="11">
        <f t="shared" si="121"/>
        <v>0</v>
      </c>
      <c r="N513" s="11"/>
      <c r="O513" s="11">
        <f t="shared" si="122"/>
        <v>0</v>
      </c>
      <c r="P513" s="11"/>
      <c r="Q513" s="11"/>
      <c r="R513" s="11"/>
      <c r="S513" s="11">
        <f t="shared" si="123"/>
        <v>0</v>
      </c>
      <c r="T513" s="11">
        <f t="shared" si="124"/>
        <v>1666.6666666666667</v>
      </c>
      <c r="U513" s="11">
        <f t="shared" si="125"/>
        <v>0</v>
      </c>
      <c r="V513" s="24">
        <f t="shared" si="126"/>
        <v>0</v>
      </c>
      <c r="W513" s="11">
        <f>IF(V513&lt;=40000,0,
IF(V513&lt;=55000,(V513-40000)*10%,
IF(V513&lt;=70000,(V513-55000)*15%+1500,
IF(V513&lt;=200000,(V513-70000)*20%+1500+2250,
IF(V513&lt;=400000,(V513-200000)*22.5%+1500+2250+26000,
IF(V513&lt;=600000,(V513-400000)*25%+1500+2250+26000+45000,
IF(AND(V513&gt;600000,V513&lt;=1200000),(V513-400000)*25%+1500+2250+26000+45000
+IFERROR(LOOKUP(V513,{600001;700001;800001;900001},{4000;6750;10250;15250}),0),IF(V513&gt;1200000,((V513-1200000)*27.5%)+300000,0)
)))))))</f>
        <v>0</v>
      </c>
      <c r="X513" s="12">
        <f t="shared" si="127"/>
        <v>0</v>
      </c>
      <c r="Y513" s="12">
        <f t="shared" si="128"/>
        <v>0</v>
      </c>
      <c r="Z513" s="11"/>
      <c r="AA513" s="13">
        <f t="shared" si="129"/>
        <v>0</v>
      </c>
      <c r="AB513" s="12">
        <f t="shared" si="130"/>
        <v>0</v>
      </c>
      <c r="AC513" s="14">
        <f t="shared" si="118"/>
        <v>0</v>
      </c>
      <c r="AE513" s="19">
        <f t="shared" si="131"/>
        <v>0</v>
      </c>
      <c r="AF513" s="19"/>
      <c r="AG513" s="17"/>
      <c r="AK513" s="7"/>
      <c r="AL513" s="108">
        <f t="shared" si="119"/>
        <v>0</v>
      </c>
      <c r="AM513" s="108">
        <f t="shared" si="120"/>
        <v>0</v>
      </c>
      <c r="AN513" s="113"/>
    </row>
    <row r="514" spans="2:40" x14ac:dyDescent="0.2">
      <c r="B514" s="7"/>
      <c r="C514" s="8"/>
      <c r="D514" s="8"/>
      <c r="E514" s="9"/>
      <c r="F514" s="6"/>
      <c r="G514" s="8"/>
      <c r="H514" s="32"/>
      <c r="I514" s="10" t="str">
        <f t="shared" si="117"/>
        <v>21</v>
      </c>
      <c r="J514" s="11">
        <v>1</v>
      </c>
      <c r="K514" s="11"/>
      <c r="L514" s="11"/>
      <c r="M514" s="11">
        <f t="shared" si="121"/>
        <v>0</v>
      </c>
      <c r="N514" s="11"/>
      <c r="O514" s="11">
        <f t="shared" si="122"/>
        <v>0</v>
      </c>
      <c r="P514" s="11"/>
      <c r="Q514" s="11"/>
      <c r="R514" s="11"/>
      <c r="S514" s="11">
        <f t="shared" si="123"/>
        <v>0</v>
      </c>
      <c r="T514" s="11">
        <f t="shared" si="124"/>
        <v>1666.6666666666667</v>
      </c>
      <c r="U514" s="11">
        <f t="shared" si="125"/>
        <v>0</v>
      </c>
      <c r="V514" s="24">
        <f t="shared" si="126"/>
        <v>0</v>
      </c>
      <c r="W514" s="11">
        <f>IF(V514&lt;=40000,0,
IF(V514&lt;=55000,(V514-40000)*10%,
IF(V514&lt;=70000,(V514-55000)*15%+1500,
IF(V514&lt;=200000,(V514-70000)*20%+1500+2250,
IF(V514&lt;=400000,(V514-200000)*22.5%+1500+2250+26000,
IF(V514&lt;=600000,(V514-400000)*25%+1500+2250+26000+45000,
IF(AND(V514&gt;600000,V514&lt;=1200000),(V514-400000)*25%+1500+2250+26000+45000
+IFERROR(LOOKUP(V514,{600001;700001;800001;900001},{4000;6750;10250;15250}),0),IF(V514&gt;1200000,((V514-1200000)*27.5%)+300000,0)
)))))))</f>
        <v>0</v>
      </c>
      <c r="X514" s="12">
        <f t="shared" si="127"/>
        <v>0</v>
      </c>
      <c r="Y514" s="12">
        <f t="shared" si="128"/>
        <v>0</v>
      </c>
      <c r="Z514" s="11"/>
      <c r="AA514" s="13">
        <f t="shared" si="129"/>
        <v>0</v>
      </c>
      <c r="AB514" s="12">
        <f t="shared" si="130"/>
        <v>0</v>
      </c>
      <c r="AC514" s="14">
        <f t="shared" si="118"/>
        <v>0</v>
      </c>
      <c r="AE514" s="19">
        <f t="shared" si="131"/>
        <v>0</v>
      </c>
      <c r="AF514" s="19"/>
      <c r="AG514" s="17"/>
      <c r="AK514" s="7"/>
      <c r="AL514" s="108">
        <f t="shared" si="119"/>
        <v>0</v>
      </c>
      <c r="AM514" s="108">
        <f t="shared" si="120"/>
        <v>0</v>
      </c>
      <c r="AN514" s="113"/>
    </row>
    <row r="515" spans="2:40" x14ac:dyDescent="0.2">
      <c r="B515" s="7"/>
      <c r="C515" s="8"/>
      <c r="D515" s="8"/>
      <c r="E515" s="9"/>
      <c r="F515" s="6"/>
      <c r="G515" s="8"/>
      <c r="H515" s="32"/>
      <c r="I515" s="10" t="str">
        <f t="shared" si="117"/>
        <v>21</v>
      </c>
      <c r="J515" s="11">
        <v>1</v>
      </c>
      <c r="K515" s="11"/>
      <c r="L515" s="11"/>
      <c r="M515" s="11">
        <f t="shared" si="121"/>
        <v>0</v>
      </c>
      <c r="N515" s="11"/>
      <c r="O515" s="11">
        <f t="shared" si="122"/>
        <v>0</v>
      </c>
      <c r="P515" s="11"/>
      <c r="Q515" s="11"/>
      <c r="R515" s="11"/>
      <c r="S515" s="11">
        <f t="shared" si="123"/>
        <v>0</v>
      </c>
      <c r="T515" s="11">
        <f t="shared" si="124"/>
        <v>1666.6666666666667</v>
      </c>
      <c r="U515" s="11">
        <f t="shared" si="125"/>
        <v>0</v>
      </c>
      <c r="V515" s="24">
        <f t="shared" si="126"/>
        <v>0</v>
      </c>
      <c r="W515" s="11">
        <f>IF(V515&lt;=40000,0,
IF(V515&lt;=55000,(V515-40000)*10%,
IF(V515&lt;=70000,(V515-55000)*15%+1500,
IF(V515&lt;=200000,(V515-70000)*20%+1500+2250,
IF(V515&lt;=400000,(V515-200000)*22.5%+1500+2250+26000,
IF(V515&lt;=600000,(V515-400000)*25%+1500+2250+26000+45000,
IF(AND(V515&gt;600000,V515&lt;=1200000),(V515-400000)*25%+1500+2250+26000+45000
+IFERROR(LOOKUP(V515,{600001;700001;800001;900001},{4000;6750;10250;15250}),0),IF(V515&gt;1200000,((V515-1200000)*27.5%)+300000,0)
)))))))</f>
        <v>0</v>
      </c>
      <c r="X515" s="12">
        <f t="shared" si="127"/>
        <v>0</v>
      </c>
      <c r="Y515" s="12">
        <f t="shared" si="128"/>
        <v>0</v>
      </c>
      <c r="Z515" s="11"/>
      <c r="AA515" s="13">
        <f t="shared" si="129"/>
        <v>0</v>
      </c>
      <c r="AB515" s="12">
        <f t="shared" si="130"/>
        <v>0</v>
      </c>
      <c r="AC515" s="14">
        <f t="shared" si="118"/>
        <v>0</v>
      </c>
      <c r="AE515" s="19">
        <f t="shared" si="131"/>
        <v>0</v>
      </c>
      <c r="AF515" s="19"/>
      <c r="AG515" s="17"/>
      <c r="AK515" s="7"/>
      <c r="AL515" s="108">
        <f t="shared" si="119"/>
        <v>0</v>
      </c>
      <c r="AM515" s="108">
        <f t="shared" si="120"/>
        <v>0</v>
      </c>
      <c r="AN515" s="113"/>
    </row>
    <row r="516" spans="2:40" x14ac:dyDescent="0.2">
      <c r="B516" s="7"/>
      <c r="C516" s="8"/>
      <c r="D516" s="8"/>
      <c r="E516" s="9"/>
      <c r="F516" s="6"/>
      <c r="G516" s="8"/>
      <c r="H516" s="32"/>
      <c r="I516" s="10" t="str">
        <f t="shared" si="117"/>
        <v>21</v>
      </c>
      <c r="J516" s="11">
        <v>1</v>
      </c>
      <c r="K516" s="11"/>
      <c r="L516" s="11"/>
      <c r="M516" s="11">
        <f t="shared" si="121"/>
        <v>0</v>
      </c>
      <c r="N516" s="11"/>
      <c r="O516" s="11">
        <f t="shared" si="122"/>
        <v>0</v>
      </c>
      <c r="P516" s="11"/>
      <c r="Q516" s="11"/>
      <c r="R516" s="11"/>
      <c r="S516" s="11">
        <f t="shared" si="123"/>
        <v>0</v>
      </c>
      <c r="T516" s="11">
        <f t="shared" si="124"/>
        <v>1666.6666666666667</v>
      </c>
      <c r="U516" s="11">
        <f t="shared" si="125"/>
        <v>0</v>
      </c>
      <c r="V516" s="24">
        <f t="shared" si="126"/>
        <v>0</v>
      </c>
      <c r="W516" s="11">
        <f>IF(V516&lt;=40000,0,
IF(V516&lt;=55000,(V516-40000)*10%,
IF(V516&lt;=70000,(V516-55000)*15%+1500,
IF(V516&lt;=200000,(V516-70000)*20%+1500+2250,
IF(V516&lt;=400000,(V516-200000)*22.5%+1500+2250+26000,
IF(V516&lt;=600000,(V516-400000)*25%+1500+2250+26000+45000,
IF(AND(V516&gt;600000,V516&lt;=1200000),(V516-400000)*25%+1500+2250+26000+45000
+IFERROR(LOOKUP(V516,{600001;700001;800001;900001},{4000;6750;10250;15250}),0),IF(V516&gt;1200000,((V516-1200000)*27.5%)+300000,0)
)))))))</f>
        <v>0</v>
      </c>
      <c r="X516" s="12">
        <f t="shared" si="127"/>
        <v>0</v>
      </c>
      <c r="Y516" s="12">
        <f t="shared" si="128"/>
        <v>0</v>
      </c>
      <c r="Z516" s="11"/>
      <c r="AA516" s="13">
        <f t="shared" si="129"/>
        <v>0</v>
      </c>
      <c r="AB516" s="12">
        <f t="shared" si="130"/>
        <v>0</v>
      </c>
      <c r="AC516" s="14">
        <f t="shared" si="118"/>
        <v>0</v>
      </c>
      <c r="AE516" s="19">
        <f t="shared" si="131"/>
        <v>0</v>
      </c>
      <c r="AF516" s="19"/>
      <c r="AG516" s="17"/>
      <c r="AK516" s="7"/>
      <c r="AL516" s="108">
        <f t="shared" si="119"/>
        <v>0</v>
      </c>
      <c r="AM516" s="108">
        <f t="shared" si="120"/>
        <v>0</v>
      </c>
      <c r="AN516" s="113"/>
    </row>
    <row r="517" spans="2:40" x14ac:dyDescent="0.2">
      <c r="B517" s="7"/>
      <c r="C517" s="8"/>
      <c r="D517" s="8"/>
      <c r="E517" s="9"/>
      <c r="F517" s="6"/>
      <c r="G517" s="8"/>
      <c r="H517" s="32"/>
      <c r="I517" s="10" t="str">
        <f t="shared" ref="I517:I580" si="132">IF(G517&gt;0,"1","21")</f>
        <v>21</v>
      </c>
      <c r="J517" s="11">
        <v>1</v>
      </c>
      <c r="K517" s="11"/>
      <c r="L517" s="11"/>
      <c r="M517" s="11">
        <f t="shared" si="121"/>
        <v>0</v>
      </c>
      <c r="N517" s="11"/>
      <c r="O517" s="11">
        <f t="shared" si="122"/>
        <v>0</v>
      </c>
      <c r="P517" s="11"/>
      <c r="Q517" s="11"/>
      <c r="R517" s="11"/>
      <c r="S517" s="11">
        <f t="shared" si="123"/>
        <v>0</v>
      </c>
      <c r="T517" s="11">
        <f t="shared" si="124"/>
        <v>1666.6666666666667</v>
      </c>
      <c r="U517" s="11">
        <f t="shared" si="125"/>
        <v>0</v>
      </c>
      <c r="V517" s="24">
        <f t="shared" si="126"/>
        <v>0</v>
      </c>
      <c r="W517" s="11">
        <f>IF(V517&lt;=40000,0,
IF(V517&lt;=55000,(V517-40000)*10%,
IF(V517&lt;=70000,(V517-55000)*15%+1500,
IF(V517&lt;=200000,(V517-70000)*20%+1500+2250,
IF(V517&lt;=400000,(V517-200000)*22.5%+1500+2250+26000,
IF(V517&lt;=600000,(V517-400000)*25%+1500+2250+26000+45000,
IF(AND(V517&gt;600000,V517&lt;=1200000),(V517-400000)*25%+1500+2250+26000+45000
+IFERROR(LOOKUP(V517,{600001;700001;800001;900001},{4000;6750;10250;15250}),0),IF(V517&gt;1200000,((V517-1200000)*27.5%)+300000,0)
)))))))</f>
        <v>0</v>
      </c>
      <c r="X517" s="12">
        <f t="shared" si="127"/>
        <v>0</v>
      </c>
      <c r="Y517" s="12">
        <f t="shared" si="128"/>
        <v>0</v>
      </c>
      <c r="Z517" s="11"/>
      <c r="AA517" s="13">
        <f t="shared" si="129"/>
        <v>0</v>
      </c>
      <c r="AB517" s="12">
        <f t="shared" si="130"/>
        <v>0</v>
      </c>
      <c r="AC517" s="14">
        <f t="shared" ref="AC517:AC580" si="133">+M517-P517-Y517</f>
        <v>0</v>
      </c>
      <c r="AE517" s="19">
        <f t="shared" si="131"/>
        <v>0</v>
      </c>
      <c r="AF517" s="19"/>
      <c r="AG517" s="17"/>
      <c r="AK517" s="7"/>
      <c r="AL517" s="108">
        <f t="shared" ref="AL517:AL580" si="134">+AK517+AD517</f>
        <v>0</v>
      </c>
      <c r="AM517" s="108">
        <f t="shared" ref="AM517:AM580" si="135">+AL517-AC517</f>
        <v>0</v>
      </c>
      <c r="AN517" s="113"/>
    </row>
    <row r="518" spans="2:40" x14ac:dyDescent="0.2">
      <c r="B518" s="7"/>
      <c r="C518" s="8"/>
      <c r="D518" s="8"/>
      <c r="E518" s="9"/>
      <c r="F518" s="6"/>
      <c r="G518" s="8"/>
      <c r="H518" s="32"/>
      <c r="I518" s="10" t="str">
        <f t="shared" si="132"/>
        <v>21</v>
      </c>
      <c r="J518" s="11">
        <v>1</v>
      </c>
      <c r="K518" s="11"/>
      <c r="L518" s="11"/>
      <c r="M518" s="11">
        <f t="shared" si="121"/>
        <v>0</v>
      </c>
      <c r="N518" s="11"/>
      <c r="O518" s="11">
        <f t="shared" si="122"/>
        <v>0</v>
      </c>
      <c r="P518" s="11"/>
      <c r="Q518" s="11"/>
      <c r="R518" s="11"/>
      <c r="S518" s="11">
        <f t="shared" si="123"/>
        <v>0</v>
      </c>
      <c r="T518" s="11">
        <f t="shared" si="124"/>
        <v>1666.6666666666667</v>
      </c>
      <c r="U518" s="11">
        <f t="shared" si="125"/>
        <v>0</v>
      </c>
      <c r="V518" s="24">
        <f t="shared" si="126"/>
        <v>0</v>
      </c>
      <c r="W518" s="11">
        <f>IF(V518&lt;=40000,0,
IF(V518&lt;=55000,(V518-40000)*10%,
IF(V518&lt;=70000,(V518-55000)*15%+1500,
IF(V518&lt;=200000,(V518-70000)*20%+1500+2250,
IF(V518&lt;=400000,(V518-200000)*22.5%+1500+2250+26000,
IF(V518&lt;=600000,(V518-400000)*25%+1500+2250+26000+45000,
IF(AND(V518&gt;600000,V518&lt;=1200000),(V518-400000)*25%+1500+2250+26000+45000
+IFERROR(LOOKUP(V518,{600001;700001;800001;900001},{4000;6750;10250;15250}),0),IF(V518&gt;1200000,((V518-1200000)*27.5%)+300000,0)
)))))))</f>
        <v>0</v>
      </c>
      <c r="X518" s="12">
        <f t="shared" si="127"/>
        <v>0</v>
      </c>
      <c r="Y518" s="12">
        <f t="shared" si="128"/>
        <v>0</v>
      </c>
      <c r="Z518" s="11"/>
      <c r="AA518" s="13">
        <f t="shared" si="129"/>
        <v>0</v>
      </c>
      <c r="AB518" s="12">
        <f t="shared" si="130"/>
        <v>0</v>
      </c>
      <c r="AC518" s="14">
        <f t="shared" si="133"/>
        <v>0</v>
      </c>
      <c r="AE518" s="19">
        <f t="shared" si="131"/>
        <v>0</v>
      </c>
      <c r="AF518" s="19"/>
      <c r="AG518" s="17"/>
      <c r="AK518" s="7"/>
      <c r="AL518" s="108">
        <f t="shared" si="134"/>
        <v>0</v>
      </c>
      <c r="AM518" s="108">
        <f t="shared" si="135"/>
        <v>0</v>
      </c>
      <c r="AN518" s="113"/>
    </row>
    <row r="519" spans="2:40" x14ac:dyDescent="0.2">
      <c r="B519" s="7"/>
      <c r="C519" s="8"/>
      <c r="D519" s="8"/>
      <c r="E519" s="9"/>
      <c r="F519" s="6"/>
      <c r="G519" s="8"/>
      <c r="H519" s="32"/>
      <c r="I519" s="10" t="str">
        <f t="shared" si="132"/>
        <v>21</v>
      </c>
      <c r="J519" s="11">
        <v>1</v>
      </c>
      <c r="K519" s="11"/>
      <c r="L519" s="11"/>
      <c r="M519" s="11">
        <f t="shared" si="121"/>
        <v>0</v>
      </c>
      <c r="N519" s="11"/>
      <c r="O519" s="11">
        <f t="shared" si="122"/>
        <v>0</v>
      </c>
      <c r="P519" s="11"/>
      <c r="Q519" s="11"/>
      <c r="R519" s="11"/>
      <c r="S519" s="11">
        <f t="shared" si="123"/>
        <v>0</v>
      </c>
      <c r="T519" s="11">
        <f t="shared" si="124"/>
        <v>1666.6666666666667</v>
      </c>
      <c r="U519" s="11">
        <f t="shared" si="125"/>
        <v>0</v>
      </c>
      <c r="V519" s="24">
        <f t="shared" si="126"/>
        <v>0</v>
      </c>
      <c r="W519" s="11">
        <f>IF(V519&lt;=40000,0,
IF(V519&lt;=55000,(V519-40000)*10%,
IF(V519&lt;=70000,(V519-55000)*15%+1500,
IF(V519&lt;=200000,(V519-70000)*20%+1500+2250,
IF(V519&lt;=400000,(V519-200000)*22.5%+1500+2250+26000,
IF(V519&lt;=600000,(V519-400000)*25%+1500+2250+26000+45000,
IF(AND(V519&gt;600000,V519&lt;=1200000),(V519-400000)*25%+1500+2250+26000+45000
+IFERROR(LOOKUP(V519,{600001;700001;800001;900001},{4000;6750;10250;15250}),0),IF(V519&gt;1200000,((V519-1200000)*27.5%)+300000,0)
)))))))</f>
        <v>0</v>
      </c>
      <c r="X519" s="12">
        <f t="shared" si="127"/>
        <v>0</v>
      </c>
      <c r="Y519" s="12">
        <f t="shared" si="128"/>
        <v>0</v>
      </c>
      <c r="Z519" s="11"/>
      <c r="AA519" s="13">
        <f t="shared" si="129"/>
        <v>0</v>
      </c>
      <c r="AB519" s="12">
        <f t="shared" si="130"/>
        <v>0</v>
      </c>
      <c r="AC519" s="14">
        <f t="shared" si="133"/>
        <v>0</v>
      </c>
      <c r="AE519" s="19">
        <f t="shared" si="131"/>
        <v>0</v>
      </c>
      <c r="AF519" s="19"/>
      <c r="AG519" s="17"/>
      <c r="AK519" s="7"/>
      <c r="AL519" s="108">
        <f t="shared" si="134"/>
        <v>0</v>
      </c>
      <c r="AM519" s="108">
        <f t="shared" si="135"/>
        <v>0</v>
      </c>
      <c r="AN519" s="113"/>
    </row>
    <row r="520" spans="2:40" x14ac:dyDescent="0.2">
      <c r="B520" s="7"/>
      <c r="C520" s="8"/>
      <c r="D520" s="8"/>
      <c r="E520" s="9"/>
      <c r="F520" s="6"/>
      <c r="G520" s="8"/>
      <c r="H520" s="32"/>
      <c r="I520" s="10" t="str">
        <f t="shared" si="132"/>
        <v>21</v>
      </c>
      <c r="J520" s="11">
        <v>1</v>
      </c>
      <c r="K520" s="11"/>
      <c r="L520" s="11"/>
      <c r="M520" s="11">
        <f t="shared" si="121"/>
        <v>0</v>
      </c>
      <c r="N520" s="11"/>
      <c r="O520" s="11">
        <f t="shared" si="122"/>
        <v>0</v>
      </c>
      <c r="P520" s="11"/>
      <c r="Q520" s="11"/>
      <c r="R520" s="11"/>
      <c r="S520" s="11">
        <f t="shared" si="123"/>
        <v>0</v>
      </c>
      <c r="T520" s="11">
        <f t="shared" si="124"/>
        <v>1666.6666666666667</v>
      </c>
      <c r="U520" s="11">
        <f t="shared" si="125"/>
        <v>0</v>
      </c>
      <c r="V520" s="24">
        <f t="shared" si="126"/>
        <v>0</v>
      </c>
      <c r="W520" s="11">
        <f>IF(V520&lt;=40000,0,
IF(V520&lt;=55000,(V520-40000)*10%,
IF(V520&lt;=70000,(V520-55000)*15%+1500,
IF(V520&lt;=200000,(V520-70000)*20%+1500+2250,
IF(V520&lt;=400000,(V520-200000)*22.5%+1500+2250+26000,
IF(V520&lt;=600000,(V520-400000)*25%+1500+2250+26000+45000,
IF(AND(V520&gt;600000,V520&lt;=1200000),(V520-400000)*25%+1500+2250+26000+45000
+IFERROR(LOOKUP(V520,{600001;700001;800001;900001},{4000;6750;10250;15250}),0),IF(V520&gt;1200000,((V520-1200000)*27.5%)+300000,0)
)))))))</f>
        <v>0</v>
      </c>
      <c r="X520" s="12">
        <f t="shared" si="127"/>
        <v>0</v>
      </c>
      <c r="Y520" s="12">
        <f t="shared" si="128"/>
        <v>0</v>
      </c>
      <c r="Z520" s="11"/>
      <c r="AA520" s="13">
        <f t="shared" si="129"/>
        <v>0</v>
      </c>
      <c r="AB520" s="12">
        <f t="shared" si="130"/>
        <v>0</v>
      </c>
      <c r="AC520" s="14">
        <f t="shared" si="133"/>
        <v>0</v>
      </c>
      <c r="AE520" s="19">
        <f t="shared" si="131"/>
        <v>0</v>
      </c>
      <c r="AF520" s="19"/>
      <c r="AG520" s="17"/>
      <c r="AK520" s="7"/>
      <c r="AL520" s="108">
        <f t="shared" si="134"/>
        <v>0</v>
      </c>
      <c r="AM520" s="108">
        <f t="shared" si="135"/>
        <v>0</v>
      </c>
      <c r="AN520" s="113"/>
    </row>
    <row r="521" spans="2:40" x14ac:dyDescent="0.2">
      <c r="B521" s="7"/>
      <c r="C521" s="8"/>
      <c r="D521" s="8"/>
      <c r="E521" s="9"/>
      <c r="F521" s="6"/>
      <c r="G521" s="8"/>
      <c r="H521" s="32"/>
      <c r="I521" s="10" t="str">
        <f t="shared" si="132"/>
        <v>21</v>
      </c>
      <c r="J521" s="11">
        <v>1</v>
      </c>
      <c r="K521" s="11"/>
      <c r="L521" s="11"/>
      <c r="M521" s="11">
        <f t="shared" si="121"/>
        <v>0</v>
      </c>
      <c r="N521" s="11"/>
      <c r="O521" s="11">
        <f t="shared" si="122"/>
        <v>0</v>
      </c>
      <c r="P521" s="11"/>
      <c r="Q521" s="11"/>
      <c r="R521" s="11"/>
      <c r="S521" s="11">
        <f t="shared" si="123"/>
        <v>0</v>
      </c>
      <c r="T521" s="11">
        <f t="shared" si="124"/>
        <v>1666.6666666666667</v>
      </c>
      <c r="U521" s="11">
        <f t="shared" si="125"/>
        <v>0</v>
      </c>
      <c r="V521" s="24">
        <f t="shared" si="126"/>
        <v>0</v>
      </c>
      <c r="W521" s="11">
        <f>IF(V521&lt;=40000,0,
IF(V521&lt;=55000,(V521-40000)*10%,
IF(V521&lt;=70000,(V521-55000)*15%+1500,
IF(V521&lt;=200000,(V521-70000)*20%+1500+2250,
IF(V521&lt;=400000,(V521-200000)*22.5%+1500+2250+26000,
IF(V521&lt;=600000,(V521-400000)*25%+1500+2250+26000+45000,
IF(AND(V521&gt;600000,V521&lt;=1200000),(V521-400000)*25%+1500+2250+26000+45000
+IFERROR(LOOKUP(V521,{600001;700001;800001;900001},{4000;6750;10250;15250}),0),IF(V521&gt;1200000,((V521-1200000)*27.5%)+300000,0)
)))))))</f>
        <v>0</v>
      </c>
      <c r="X521" s="12">
        <f t="shared" si="127"/>
        <v>0</v>
      </c>
      <c r="Y521" s="12">
        <f t="shared" si="128"/>
        <v>0</v>
      </c>
      <c r="Z521" s="11"/>
      <c r="AA521" s="13">
        <f t="shared" si="129"/>
        <v>0</v>
      </c>
      <c r="AB521" s="12">
        <f t="shared" si="130"/>
        <v>0</v>
      </c>
      <c r="AC521" s="14">
        <f t="shared" si="133"/>
        <v>0</v>
      </c>
      <c r="AE521" s="19">
        <f t="shared" si="131"/>
        <v>0</v>
      </c>
      <c r="AF521" s="19"/>
      <c r="AG521" s="17"/>
      <c r="AK521" s="7"/>
      <c r="AL521" s="108">
        <f t="shared" si="134"/>
        <v>0</v>
      </c>
      <c r="AM521" s="108">
        <f t="shared" si="135"/>
        <v>0</v>
      </c>
      <c r="AN521" s="113"/>
    </row>
    <row r="522" spans="2:40" x14ac:dyDescent="0.2">
      <c r="B522" s="7"/>
      <c r="C522" s="8"/>
      <c r="D522" s="8"/>
      <c r="E522" s="9"/>
      <c r="F522" s="6"/>
      <c r="G522" s="8"/>
      <c r="H522" s="32"/>
      <c r="I522" s="10" t="str">
        <f t="shared" si="132"/>
        <v>21</v>
      </c>
      <c r="J522" s="11">
        <v>1</v>
      </c>
      <c r="K522" s="11"/>
      <c r="L522" s="11"/>
      <c r="M522" s="11">
        <f t="shared" si="121"/>
        <v>0</v>
      </c>
      <c r="N522" s="11"/>
      <c r="O522" s="11">
        <f t="shared" si="122"/>
        <v>0</v>
      </c>
      <c r="P522" s="11"/>
      <c r="Q522" s="11"/>
      <c r="R522" s="11"/>
      <c r="S522" s="11">
        <f t="shared" si="123"/>
        <v>0</v>
      </c>
      <c r="T522" s="11">
        <f t="shared" si="124"/>
        <v>1666.6666666666667</v>
      </c>
      <c r="U522" s="11">
        <f t="shared" si="125"/>
        <v>0</v>
      </c>
      <c r="V522" s="24">
        <f t="shared" si="126"/>
        <v>0</v>
      </c>
      <c r="W522" s="11">
        <f>IF(V522&lt;=40000,0,
IF(V522&lt;=55000,(V522-40000)*10%,
IF(V522&lt;=70000,(V522-55000)*15%+1500,
IF(V522&lt;=200000,(V522-70000)*20%+1500+2250,
IF(V522&lt;=400000,(V522-200000)*22.5%+1500+2250+26000,
IF(V522&lt;=600000,(V522-400000)*25%+1500+2250+26000+45000,
IF(AND(V522&gt;600000,V522&lt;=1200000),(V522-400000)*25%+1500+2250+26000+45000
+IFERROR(LOOKUP(V522,{600001;700001;800001;900001},{4000;6750;10250;15250}),0),IF(V522&gt;1200000,((V522-1200000)*27.5%)+300000,0)
)))))))</f>
        <v>0</v>
      </c>
      <c r="X522" s="12">
        <f t="shared" si="127"/>
        <v>0</v>
      </c>
      <c r="Y522" s="12">
        <f t="shared" si="128"/>
        <v>0</v>
      </c>
      <c r="Z522" s="11"/>
      <c r="AA522" s="13">
        <f t="shared" si="129"/>
        <v>0</v>
      </c>
      <c r="AB522" s="12">
        <f t="shared" si="130"/>
        <v>0</v>
      </c>
      <c r="AC522" s="14">
        <f t="shared" si="133"/>
        <v>0</v>
      </c>
      <c r="AE522" s="19">
        <f t="shared" si="131"/>
        <v>0</v>
      </c>
      <c r="AF522" s="19"/>
      <c r="AG522" s="17"/>
      <c r="AK522" s="7"/>
      <c r="AL522" s="108">
        <f t="shared" si="134"/>
        <v>0</v>
      </c>
      <c r="AM522" s="108">
        <f t="shared" si="135"/>
        <v>0</v>
      </c>
      <c r="AN522" s="113"/>
    </row>
    <row r="523" spans="2:40" x14ac:dyDescent="0.2">
      <c r="B523" s="7"/>
      <c r="C523" s="8"/>
      <c r="D523" s="8"/>
      <c r="E523" s="9"/>
      <c r="F523" s="6"/>
      <c r="G523" s="8"/>
      <c r="H523" s="32"/>
      <c r="I523" s="10" t="str">
        <f t="shared" si="132"/>
        <v>21</v>
      </c>
      <c r="J523" s="11">
        <v>1</v>
      </c>
      <c r="K523" s="11"/>
      <c r="L523" s="11"/>
      <c r="M523" s="11">
        <f t="shared" si="121"/>
        <v>0</v>
      </c>
      <c r="N523" s="11"/>
      <c r="O523" s="11">
        <f t="shared" si="122"/>
        <v>0</v>
      </c>
      <c r="P523" s="11"/>
      <c r="Q523" s="11"/>
      <c r="R523" s="11"/>
      <c r="S523" s="11">
        <f t="shared" si="123"/>
        <v>0</v>
      </c>
      <c r="T523" s="11">
        <f t="shared" si="124"/>
        <v>1666.6666666666667</v>
      </c>
      <c r="U523" s="11">
        <f t="shared" si="125"/>
        <v>0</v>
      </c>
      <c r="V523" s="24">
        <f t="shared" si="126"/>
        <v>0</v>
      </c>
      <c r="W523" s="11">
        <f>IF(V523&lt;=40000,0,
IF(V523&lt;=55000,(V523-40000)*10%,
IF(V523&lt;=70000,(V523-55000)*15%+1500,
IF(V523&lt;=200000,(V523-70000)*20%+1500+2250,
IF(V523&lt;=400000,(V523-200000)*22.5%+1500+2250+26000,
IF(V523&lt;=600000,(V523-400000)*25%+1500+2250+26000+45000,
IF(AND(V523&gt;600000,V523&lt;=1200000),(V523-400000)*25%+1500+2250+26000+45000
+IFERROR(LOOKUP(V523,{600001;700001;800001;900001},{4000;6750;10250;15250}),0),IF(V523&gt;1200000,((V523-1200000)*27.5%)+300000,0)
)))))))</f>
        <v>0</v>
      </c>
      <c r="X523" s="12">
        <f t="shared" si="127"/>
        <v>0</v>
      </c>
      <c r="Y523" s="12">
        <f t="shared" si="128"/>
        <v>0</v>
      </c>
      <c r="Z523" s="11"/>
      <c r="AA523" s="13">
        <f t="shared" si="129"/>
        <v>0</v>
      </c>
      <c r="AB523" s="12">
        <f t="shared" si="130"/>
        <v>0</v>
      </c>
      <c r="AC523" s="14">
        <f t="shared" si="133"/>
        <v>0</v>
      </c>
      <c r="AE523" s="19">
        <f t="shared" si="131"/>
        <v>0</v>
      </c>
      <c r="AF523" s="19"/>
      <c r="AG523" s="17"/>
      <c r="AK523" s="7"/>
      <c r="AL523" s="108">
        <f t="shared" si="134"/>
        <v>0</v>
      </c>
      <c r="AM523" s="108">
        <f t="shared" si="135"/>
        <v>0</v>
      </c>
      <c r="AN523" s="113"/>
    </row>
    <row r="524" spans="2:40" x14ac:dyDescent="0.2">
      <c r="B524" s="7"/>
      <c r="C524" s="8"/>
      <c r="D524" s="8"/>
      <c r="E524" s="9"/>
      <c r="F524" s="6"/>
      <c r="G524" s="8"/>
      <c r="H524" s="32"/>
      <c r="I524" s="10" t="str">
        <f t="shared" si="132"/>
        <v>21</v>
      </c>
      <c r="J524" s="11">
        <v>1</v>
      </c>
      <c r="K524" s="11"/>
      <c r="L524" s="11"/>
      <c r="M524" s="11">
        <f t="shared" si="121"/>
        <v>0</v>
      </c>
      <c r="N524" s="11"/>
      <c r="O524" s="11">
        <f t="shared" si="122"/>
        <v>0</v>
      </c>
      <c r="P524" s="11"/>
      <c r="Q524" s="11"/>
      <c r="R524" s="11"/>
      <c r="S524" s="11">
        <f t="shared" si="123"/>
        <v>0</v>
      </c>
      <c r="T524" s="11">
        <f t="shared" si="124"/>
        <v>1666.6666666666667</v>
      </c>
      <c r="U524" s="11">
        <f t="shared" si="125"/>
        <v>0</v>
      </c>
      <c r="V524" s="24">
        <f t="shared" si="126"/>
        <v>0</v>
      </c>
      <c r="W524" s="11">
        <f>IF(V524&lt;=40000,0,
IF(V524&lt;=55000,(V524-40000)*10%,
IF(V524&lt;=70000,(V524-55000)*15%+1500,
IF(V524&lt;=200000,(V524-70000)*20%+1500+2250,
IF(V524&lt;=400000,(V524-200000)*22.5%+1500+2250+26000,
IF(V524&lt;=600000,(V524-400000)*25%+1500+2250+26000+45000,
IF(AND(V524&gt;600000,V524&lt;=1200000),(V524-400000)*25%+1500+2250+26000+45000
+IFERROR(LOOKUP(V524,{600001;700001;800001;900001},{4000;6750;10250;15250}),0),IF(V524&gt;1200000,((V524-1200000)*27.5%)+300000,0)
)))))))</f>
        <v>0</v>
      </c>
      <c r="X524" s="12">
        <f t="shared" si="127"/>
        <v>0</v>
      </c>
      <c r="Y524" s="12">
        <f t="shared" si="128"/>
        <v>0</v>
      </c>
      <c r="Z524" s="11"/>
      <c r="AA524" s="13">
        <f t="shared" si="129"/>
        <v>0</v>
      </c>
      <c r="AB524" s="12">
        <f t="shared" si="130"/>
        <v>0</v>
      </c>
      <c r="AC524" s="14">
        <f t="shared" si="133"/>
        <v>0</v>
      </c>
      <c r="AE524" s="19">
        <f t="shared" si="131"/>
        <v>0</v>
      </c>
      <c r="AF524" s="19"/>
      <c r="AG524" s="17"/>
      <c r="AK524" s="7"/>
      <c r="AL524" s="108">
        <f t="shared" si="134"/>
        <v>0</v>
      </c>
      <c r="AM524" s="108">
        <f t="shared" si="135"/>
        <v>0</v>
      </c>
      <c r="AN524" s="113"/>
    </row>
    <row r="525" spans="2:40" x14ac:dyDescent="0.2">
      <c r="B525" s="7"/>
      <c r="C525" s="8"/>
      <c r="D525" s="8"/>
      <c r="E525" s="9"/>
      <c r="F525" s="6"/>
      <c r="G525" s="8"/>
      <c r="H525" s="32"/>
      <c r="I525" s="10" t="str">
        <f t="shared" si="132"/>
        <v>21</v>
      </c>
      <c r="J525" s="11">
        <v>1</v>
      </c>
      <c r="K525" s="11"/>
      <c r="L525" s="11"/>
      <c r="M525" s="11">
        <f t="shared" si="121"/>
        <v>0</v>
      </c>
      <c r="N525" s="11"/>
      <c r="O525" s="11">
        <f t="shared" si="122"/>
        <v>0</v>
      </c>
      <c r="P525" s="11"/>
      <c r="Q525" s="11"/>
      <c r="R525" s="11"/>
      <c r="S525" s="11">
        <f t="shared" si="123"/>
        <v>0</v>
      </c>
      <c r="T525" s="11">
        <f t="shared" si="124"/>
        <v>1666.6666666666667</v>
      </c>
      <c r="U525" s="11">
        <f t="shared" si="125"/>
        <v>0</v>
      </c>
      <c r="V525" s="24">
        <f t="shared" si="126"/>
        <v>0</v>
      </c>
      <c r="W525" s="11">
        <f>IF(V525&lt;=40000,0,
IF(V525&lt;=55000,(V525-40000)*10%,
IF(V525&lt;=70000,(V525-55000)*15%+1500,
IF(V525&lt;=200000,(V525-70000)*20%+1500+2250,
IF(V525&lt;=400000,(V525-200000)*22.5%+1500+2250+26000,
IF(V525&lt;=600000,(V525-400000)*25%+1500+2250+26000+45000,
IF(AND(V525&gt;600000,V525&lt;=1200000),(V525-400000)*25%+1500+2250+26000+45000
+IFERROR(LOOKUP(V525,{600001;700001;800001;900001},{4000;6750;10250;15250}),0),IF(V525&gt;1200000,((V525-1200000)*27.5%)+300000,0)
)))))))</f>
        <v>0</v>
      </c>
      <c r="X525" s="12">
        <f t="shared" si="127"/>
        <v>0</v>
      </c>
      <c r="Y525" s="12">
        <f t="shared" si="128"/>
        <v>0</v>
      </c>
      <c r="Z525" s="11"/>
      <c r="AA525" s="13">
        <f t="shared" si="129"/>
        <v>0</v>
      </c>
      <c r="AB525" s="12">
        <f t="shared" si="130"/>
        <v>0</v>
      </c>
      <c r="AC525" s="14">
        <f t="shared" si="133"/>
        <v>0</v>
      </c>
      <c r="AE525" s="19">
        <f t="shared" si="131"/>
        <v>0</v>
      </c>
      <c r="AF525" s="19"/>
      <c r="AG525" s="17"/>
      <c r="AK525" s="7"/>
      <c r="AL525" s="108">
        <f t="shared" si="134"/>
        <v>0</v>
      </c>
      <c r="AM525" s="108">
        <f t="shared" si="135"/>
        <v>0</v>
      </c>
      <c r="AN525" s="113"/>
    </row>
    <row r="526" spans="2:40" x14ac:dyDescent="0.2">
      <c r="B526" s="7"/>
      <c r="C526" s="8"/>
      <c r="D526" s="8"/>
      <c r="E526" s="9"/>
      <c r="F526" s="6"/>
      <c r="G526" s="8"/>
      <c r="H526" s="32"/>
      <c r="I526" s="10" t="str">
        <f t="shared" si="132"/>
        <v>21</v>
      </c>
      <c r="J526" s="11">
        <v>1</v>
      </c>
      <c r="K526" s="11"/>
      <c r="L526" s="11"/>
      <c r="M526" s="11">
        <f t="shared" si="121"/>
        <v>0</v>
      </c>
      <c r="N526" s="11"/>
      <c r="O526" s="11">
        <f t="shared" si="122"/>
        <v>0</v>
      </c>
      <c r="P526" s="11"/>
      <c r="Q526" s="11"/>
      <c r="R526" s="11"/>
      <c r="S526" s="11">
        <f t="shared" si="123"/>
        <v>0</v>
      </c>
      <c r="T526" s="11">
        <f t="shared" si="124"/>
        <v>1666.6666666666667</v>
      </c>
      <c r="U526" s="11">
        <f t="shared" si="125"/>
        <v>0</v>
      </c>
      <c r="V526" s="24">
        <f t="shared" si="126"/>
        <v>0</v>
      </c>
      <c r="W526" s="11">
        <f>IF(V526&lt;=40000,0,
IF(V526&lt;=55000,(V526-40000)*10%,
IF(V526&lt;=70000,(V526-55000)*15%+1500,
IF(V526&lt;=200000,(V526-70000)*20%+1500+2250,
IF(V526&lt;=400000,(V526-200000)*22.5%+1500+2250+26000,
IF(V526&lt;=600000,(V526-400000)*25%+1500+2250+26000+45000,
IF(AND(V526&gt;600000,V526&lt;=1200000),(V526-400000)*25%+1500+2250+26000+45000
+IFERROR(LOOKUP(V526,{600001;700001;800001;900001},{4000;6750;10250;15250}),0),IF(V526&gt;1200000,((V526-1200000)*27.5%)+300000,0)
)))))))</f>
        <v>0</v>
      </c>
      <c r="X526" s="12">
        <f t="shared" si="127"/>
        <v>0</v>
      </c>
      <c r="Y526" s="12">
        <f t="shared" si="128"/>
        <v>0</v>
      </c>
      <c r="Z526" s="11"/>
      <c r="AA526" s="13">
        <f t="shared" si="129"/>
        <v>0</v>
      </c>
      <c r="AB526" s="12">
        <f t="shared" si="130"/>
        <v>0</v>
      </c>
      <c r="AC526" s="14">
        <f t="shared" si="133"/>
        <v>0</v>
      </c>
      <c r="AE526" s="19">
        <f t="shared" si="131"/>
        <v>0</v>
      </c>
      <c r="AF526" s="19"/>
      <c r="AG526" s="17"/>
      <c r="AK526" s="7"/>
      <c r="AL526" s="108">
        <f t="shared" si="134"/>
        <v>0</v>
      </c>
      <c r="AM526" s="108">
        <f t="shared" si="135"/>
        <v>0</v>
      </c>
      <c r="AN526" s="113"/>
    </row>
    <row r="527" spans="2:40" x14ac:dyDescent="0.2">
      <c r="B527" s="7"/>
      <c r="C527" s="8"/>
      <c r="D527" s="8"/>
      <c r="E527" s="9"/>
      <c r="F527" s="6"/>
      <c r="G527" s="8"/>
      <c r="H527" s="32"/>
      <c r="I527" s="10" t="str">
        <f t="shared" si="132"/>
        <v>21</v>
      </c>
      <c r="J527" s="11">
        <v>1</v>
      </c>
      <c r="K527" s="11"/>
      <c r="L527" s="11"/>
      <c r="M527" s="11">
        <f t="shared" si="121"/>
        <v>0</v>
      </c>
      <c r="N527" s="11"/>
      <c r="O527" s="11">
        <f t="shared" si="122"/>
        <v>0</v>
      </c>
      <c r="P527" s="11"/>
      <c r="Q527" s="11"/>
      <c r="R527" s="11"/>
      <c r="S527" s="11">
        <f t="shared" si="123"/>
        <v>0</v>
      </c>
      <c r="T527" s="11">
        <f t="shared" si="124"/>
        <v>1666.6666666666667</v>
      </c>
      <c r="U527" s="11">
        <f t="shared" si="125"/>
        <v>0</v>
      </c>
      <c r="V527" s="24">
        <f t="shared" si="126"/>
        <v>0</v>
      </c>
      <c r="W527" s="11">
        <f>IF(V527&lt;=40000,0,
IF(V527&lt;=55000,(V527-40000)*10%,
IF(V527&lt;=70000,(V527-55000)*15%+1500,
IF(V527&lt;=200000,(V527-70000)*20%+1500+2250,
IF(V527&lt;=400000,(V527-200000)*22.5%+1500+2250+26000,
IF(V527&lt;=600000,(V527-400000)*25%+1500+2250+26000+45000,
IF(AND(V527&gt;600000,V527&lt;=1200000),(V527-400000)*25%+1500+2250+26000+45000
+IFERROR(LOOKUP(V527,{600001;700001;800001;900001},{4000;6750;10250;15250}),0),IF(V527&gt;1200000,((V527-1200000)*27.5%)+300000,0)
)))))))</f>
        <v>0</v>
      </c>
      <c r="X527" s="12">
        <f t="shared" si="127"/>
        <v>0</v>
      </c>
      <c r="Y527" s="12">
        <f t="shared" si="128"/>
        <v>0</v>
      </c>
      <c r="Z527" s="11"/>
      <c r="AA527" s="13">
        <f t="shared" si="129"/>
        <v>0</v>
      </c>
      <c r="AB527" s="12">
        <f t="shared" si="130"/>
        <v>0</v>
      </c>
      <c r="AC527" s="14">
        <f t="shared" si="133"/>
        <v>0</v>
      </c>
      <c r="AE527" s="19">
        <f t="shared" si="131"/>
        <v>0</v>
      </c>
      <c r="AF527" s="19"/>
      <c r="AG527" s="17"/>
      <c r="AK527" s="7"/>
      <c r="AL527" s="108">
        <f t="shared" si="134"/>
        <v>0</v>
      </c>
      <c r="AM527" s="108">
        <f t="shared" si="135"/>
        <v>0</v>
      </c>
      <c r="AN527" s="113"/>
    </row>
    <row r="528" spans="2:40" x14ac:dyDescent="0.2">
      <c r="B528" s="7"/>
      <c r="C528" s="8"/>
      <c r="D528" s="8"/>
      <c r="E528" s="9"/>
      <c r="F528" s="6"/>
      <c r="G528" s="8"/>
      <c r="H528" s="32"/>
      <c r="I528" s="10" t="str">
        <f t="shared" si="132"/>
        <v>21</v>
      </c>
      <c r="J528" s="11">
        <v>1</v>
      </c>
      <c r="K528" s="11"/>
      <c r="L528" s="11"/>
      <c r="M528" s="11">
        <f t="shared" si="121"/>
        <v>0</v>
      </c>
      <c r="N528" s="11"/>
      <c r="O528" s="11">
        <f t="shared" si="122"/>
        <v>0</v>
      </c>
      <c r="P528" s="11"/>
      <c r="Q528" s="11"/>
      <c r="R528" s="11"/>
      <c r="S528" s="11">
        <f t="shared" si="123"/>
        <v>0</v>
      </c>
      <c r="T528" s="11">
        <f t="shared" si="124"/>
        <v>1666.6666666666667</v>
      </c>
      <c r="U528" s="11">
        <f t="shared" si="125"/>
        <v>0</v>
      </c>
      <c r="V528" s="24">
        <f t="shared" si="126"/>
        <v>0</v>
      </c>
      <c r="W528" s="11">
        <f>IF(V528&lt;=40000,0,
IF(V528&lt;=55000,(V528-40000)*10%,
IF(V528&lt;=70000,(V528-55000)*15%+1500,
IF(V528&lt;=200000,(V528-70000)*20%+1500+2250,
IF(V528&lt;=400000,(V528-200000)*22.5%+1500+2250+26000,
IF(V528&lt;=600000,(V528-400000)*25%+1500+2250+26000+45000,
IF(AND(V528&gt;600000,V528&lt;=1200000),(V528-400000)*25%+1500+2250+26000+45000
+IFERROR(LOOKUP(V528,{600001;700001;800001;900001},{4000;6750;10250;15250}),0),IF(V528&gt;1200000,((V528-1200000)*27.5%)+300000,0)
)))))))</f>
        <v>0</v>
      </c>
      <c r="X528" s="12">
        <f t="shared" si="127"/>
        <v>0</v>
      </c>
      <c r="Y528" s="12">
        <f t="shared" si="128"/>
        <v>0</v>
      </c>
      <c r="Z528" s="11"/>
      <c r="AA528" s="13">
        <f t="shared" si="129"/>
        <v>0</v>
      </c>
      <c r="AB528" s="12">
        <f t="shared" si="130"/>
        <v>0</v>
      </c>
      <c r="AC528" s="14">
        <f t="shared" si="133"/>
        <v>0</v>
      </c>
      <c r="AE528" s="19">
        <f t="shared" si="131"/>
        <v>0</v>
      </c>
      <c r="AF528" s="19"/>
      <c r="AG528" s="17"/>
      <c r="AK528" s="7"/>
      <c r="AL528" s="108">
        <f t="shared" si="134"/>
        <v>0</v>
      </c>
      <c r="AM528" s="108">
        <f t="shared" si="135"/>
        <v>0</v>
      </c>
      <c r="AN528" s="113"/>
    </row>
    <row r="529" spans="2:40" x14ac:dyDescent="0.2">
      <c r="B529" s="7"/>
      <c r="C529" s="8"/>
      <c r="D529" s="8"/>
      <c r="E529" s="9"/>
      <c r="F529" s="6"/>
      <c r="G529" s="8"/>
      <c r="H529" s="32"/>
      <c r="I529" s="10" t="str">
        <f t="shared" si="132"/>
        <v>21</v>
      </c>
      <c r="J529" s="11">
        <v>1</v>
      </c>
      <c r="K529" s="11"/>
      <c r="L529" s="11"/>
      <c r="M529" s="11">
        <f t="shared" si="121"/>
        <v>0</v>
      </c>
      <c r="N529" s="11"/>
      <c r="O529" s="11">
        <f t="shared" si="122"/>
        <v>0</v>
      </c>
      <c r="P529" s="11"/>
      <c r="Q529" s="11"/>
      <c r="R529" s="11"/>
      <c r="S529" s="11">
        <f t="shared" si="123"/>
        <v>0</v>
      </c>
      <c r="T529" s="11">
        <f t="shared" si="124"/>
        <v>1666.6666666666667</v>
      </c>
      <c r="U529" s="11">
        <f t="shared" si="125"/>
        <v>0</v>
      </c>
      <c r="V529" s="24">
        <f t="shared" si="126"/>
        <v>0</v>
      </c>
      <c r="W529" s="11">
        <f>IF(V529&lt;=40000,0,
IF(V529&lt;=55000,(V529-40000)*10%,
IF(V529&lt;=70000,(V529-55000)*15%+1500,
IF(V529&lt;=200000,(V529-70000)*20%+1500+2250,
IF(V529&lt;=400000,(V529-200000)*22.5%+1500+2250+26000,
IF(V529&lt;=600000,(V529-400000)*25%+1500+2250+26000+45000,
IF(AND(V529&gt;600000,V529&lt;=1200000),(V529-400000)*25%+1500+2250+26000+45000
+IFERROR(LOOKUP(V529,{600001;700001;800001;900001},{4000;6750;10250;15250}),0),IF(V529&gt;1200000,((V529-1200000)*27.5%)+300000,0)
)))))))</f>
        <v>0</v>
      </c>
      <c r="X529" s="12">
        <f t="shared" si="127"/>
        <v>0</v>
      </c>
      <c r="Y529" s="12">
        <f t="shared" si="128"/>
        <v>0</v>
      </c>
      <c r="Z529" s="11"/>
      <c r="AA529" s="13">
        <f t="shared" si="129"/>
        <v>0</v>
      </c>
      <c r="AB529" s="12">
        <f t="shared" si="130"/>
        <v>0</v>
      </c>
      <c r="AC529" s="14">
        <f t="shared" si="133"/>
        <v>0</v>
      </c>
      <c r="AE529" s="19">
        <f t="shared" si="131"/>
        <v>0</v>
      </c>
      <c r="AF529" s="19"/>
      <c r="AG529" s="17"/>
      <c r="AK529" s="7"/>
      <c r="AL529" s="108">
        <f t="shared" si="134"/>
        <v>0</v>
      </c>
      <c r="AM529" s="108">
        <f t="shared" si="135"/>
        <v>0</v>
      </c>
      <c r="AN529" s="113"/>
    </row>
    <row r="530" spans="2:40" x14ac:dyDescent="0.2">
      <c r="B530" s="7"/>
      <c r="C530" s="8"/>
      <c r="D530" s="8"/>
      <c r="E530" s="9"/>
      <c r="F530" s="6"/>
      <c r="G530" s="8"/>
      <c r="H530" s="32"/>
      <c r="I530" s="10" t="str">
        <f t="shared" si="132"/>
        <v>21</v>
      </c>
      <c r="J530" s="11">
        <v>1</v>
      </c>
      <c r="K530" s="11"/>
      <c r="L530" s="11"/>
      <c r="M530" s="11">
        <f t="shared" si="121"/>
        <v>0</v>
      </c>
      <c r="N530" s="11"/>
      <c r="O530" s="11">
        <f t="shared" si="122"/>
        <v>0</v>
      </c>
      <c r="P530" s="11"/>
      <c r="Q530" s="11"/>
      <c r="R530" s="11"/>
      <c r="S530" s="11">
        <f t="shared" si="123"/>
        <v>0</v>
      </c>
      <c r="T530" s="11">
        <f t="shared" si="124"/>
        <v>1666.6666666666667</v>
      </c>
      <c r="U530" s="11">
        <f t="shared" si="125"/>
        <v>0</v>
      </c>
      <c r="V530" s="24">
        <f t="shared" si="126"/>
        <v>0</v>
      </c>
      <c r="W530" s="11">
        <f>IF(V530&lt;=40000,0,
IF(V530&lt;=55000,(V530-40000)*10%,
IF(V530&lt;=70000,(V530-55000)*15%+1500,
IF(V530&lt;=200000,(V530-70000)*20%+1500+2250,
IF(V530&lt;=400000,(V530-200000)*22.5%+1500+2250+26000,
IF(V530&lt;=600000,(V530-400000)*25%+1500+2250+26000+45000,
IF(AND(V530&gt;600000,V530&lt;=1200000),(V530-400000)*25%+1500+2250+26000+45000
+IFERROR(LOOKUP(V530,{600001;700001;800001;900001},{4000;6750;10250;15250}),0),IF(V530&gt;1200000,((V530-1200000)*27.5%)+300000,0)
)))))))</f>
        <v>0</v>
      </c>
      <c r="X530" s="12">
        <f t="shared" si="127"/>
        <v>0</v>
      </c>
      <c r="Y530" s="12">
        <f t="shared" si="128"/>
        <v>0</v>
      </c>
      <c r="Z530" s="11"/>
      <c r="AA530" s="13">
        <f t="shared" si="129"/>
        <v>0</v>
      </c>
      <c r="AB530" s="12">
        <f t="shared" si="130"/>
        <v>0</v>
      </c>
      <c r="AC530" s="14">
        <f t="shared" si="133"/>
        <v>0</v>
      </c>
      <c r="AE530" s="19">
        <f t="shared" si="131"/>
        <v>0</v>
      </c>
      <c r="AF530" s="19"/>
      <c r="AG530" s="17"/>
      <c r="AK530" s="7"/>
      <c r="AL530" s="108">
        <f t="shared" si="134"/>
        <v>0</v>
      </c>
      <c r="AM530" s="108">
        <f t="shared" si="135"/>
        <v>0</v>
      </c>
      <c r="AN530" s="113"/>
    </row>
    <row r="531" spans="2:40" x14ac:dyDescent="0.2">
      <c r="B531" s="7"/>
      <c r="C531" s="8"/>
      <c r="D531" s="8"/>
      <c r="E531" s="9"/>
      <c r="F531" s="6"/>
      <c r="G531" s="8"/>
      <c r="H531" s="32"/>
      <c r="I531" s="10" t="str">
        <f t="shared" si="132"/>
        <v>21</v>
      </c>
      <c r="J531" s="11">
        <v>1</v>
      </c>
      <c r="K531" s="11"/>
      <c r="L531" s="11"/>
      <c r="M531" s="11">
        <f t="shared" si="121"/>
        <v>0</v>
      </c>
      <c r="N531" s="11"/>
      <c r="O531" s="11">
        <f t="shared" si="122"/>
        <v>0</v>
      </c>
      <c r="P531" s="11"/>
      <c r="Q531" s="11"/>
      <c r="R531" s="11"/>
      <c r="S531" s="11">
        <f t="shared" si="123"/>
        <v>0</v>
      </c>
      <c r="T531" s="11">
        <f t="shared" si="124"/>
        <v>1666.6666666666667</v>
      </c>
      <c r="U531" s="11">
        <f t="shared" si="125"/>
        <v>0</v>
      </c>
      <c r="V531" s="24">
        <f t="shared" si="126"/>
        <v>0</v>
      </c>
      <c r="W531" s="11">
        <f>IF(V531&lt;=40000,0,
IF(V531&lt;=55000,(V531-40000)*10%,
IF(V531&lt;=70000,(V531-55000)*15%+1500,
IF(V531&lt;=200000,(V531-70000)*20%+1500+2250,
IF(V531&lt;=400000,(V531-200000)*22.5%+1500+2250+26000,
IF(V531&lt;=600000,(V531-400000)*25%+1500+2250+26000+45000,
IF(AND(V531&gt;600000,V531&lt;=1200000),(V531-400000)*25%+1500+2250+26000+45000
+IFERROR(LOOKUP(V531,{600001;700001;800001;900001},{4000;6750;10250;15250}),0),IF(V531&gt;1200000,((V531-1200000)*27.5%)+300000,0)
)))))))</f>
        <v>0</v>
      </c>
      <c r="X531" s="12">
        <f t="shared" si="127"/>
        <v>0</v>
      </c>
      <c r="Y531" s="12">
        <f t="shared" si="128"/>
        <v>0</v>
      </c>
      <c r="Z531" s="11"/>
      <c r="AA531" s="13">
        <f t="shared" si="129"/>
        <v>0</v>
      </c>
      <c r="AB531" s="12">
        <f t="shared" si="130"/>
        <v>0</v>
      </c>
      <c r="AC531" s="14">
        <f t="shared" si="133"/>
        <v>0</v>
      </c>
      <c r="AE531" s="19">
        <f t="shared" si="131"/>
        <v>0</v>
      </c>
      <c r="AF531" s="19"/>
      <c r="AG531" s="17"/>
      <c r="AK531" s="7"/>
      <c r="AL531" s="108">
        <f t="shared" si="134"/>
        <v>0</v>
      </c>
      <c r="AM531" s="108">
        <f t="shared" si="135"/>
        <v>0</v>
      </c>
      <c r="AN531" s="113"/>
    </row>
    <row r="532" spans="2:40" x14ac:dyDescent="0.2">
      <c r="B532" s="7"/>
      <c r="C532" s="8"/>
      <c r="D532" s="8"/>
      <c r="E532" s="9"/>
      <c r="F532" s="6"/>
      <c r="G532" s="8"/>
      <c r="H532" s="32"/>
      <c r="I532" s="10" t="str">
        <f t="shared" si="132"/>
        <v>21</v>
      </c>
      <c r="J532" s="11">
        <v>1</v>
      </c>
      <c r="K532" s="11"/>
      <c r="L532" s="11"/>
      <c r="M532" s="11">
        <f t="shared" si="121"/>
        <v>0</v>
      </c>
      <c r="N532" s="11"/>
      <c r="O532" s="11">
        <f t="shared" si="122"/>
        <v>0</v>
      </c>
      <c r="P532" s="11"/>
      <c r="Q532" s="11"/>
      <c r="R532" s="11"/>
      <c r="S532" s="11">
        <f t="shared" si="123"/>
        <v>0</v>
      </c>
      <c r="T532" s="11">
        <f t="shared" si="124"/>
        <v>1666.6666666666667</v>
      </c>
      <c r="U532" s="11">
        <f t="shared" si="125"/>
        <v>0</v>
      </c>
      <c r="V532" s="24">
        <f t="shared" si="126"/>
        <v>0</v>
      </c>
      <c r="W532" s="11">
        <f>IF(V532&lt;=40000,0,
IF(V532&lt;=55000,(V532-40000)*10%,
IF(V532&lt;=70000,(V532-55000)*15%+1500,
IF(V532&lt;=200000,(V532-70000)*20%+1500+2250,
IF(V532&lt;=400000,(V532-200000)*22.5%+1500+2250+26000,
IF(V532&lt;=600000,(V532-400000)*25%+1500+2250+26000+45000,
IF(AND(V532&gt;600000,V532&lt;=1200000),(V532-400000)*25%+1500+2250+26000+45000
+IFERROR(LOOKUP(V532,{600001;700001;800001;900001},{4000;6750;10250;15250}),0),IF(V532&gt;1200000,((V532-1200000)*27.5%)+300000,0)
)))))))</f>
        <v>0</v>
      </c>
      <c r="X532" s="12">
        <f t="shared" si="127"/>
        <v>0</v>
      </c>
      <c r="Y532" s="12">
        <f t="shared" si="128"/>
        <v>0</v>
      </c>
      <c r="Z532" s="11"/>
      <c r="AA532" s="13">
        <f t="shared" si="129"/>
        <v>0</v>
      </c>
      <c r="AB532" s="12">
        <f t="shared" si="130"/>
        <v>0</v>
      </c>
      <c r="AC532" s="14">
        <f t="shared" si="133"/>
        <v>0</v>
      </c>
      <c r="AE532" s="19">
        <f t="shared" si="131"/>
        <v>0</v>
      </c>
      <c r="AF532" s="19"/>
      <c r="AG532" s="17"/>
      <c r="AK532" s="7"/>
      <c r="AL532" s="108">
        <f t="shared" si="134"/>
        <v>0</v>
      </c>
      <c r="AM532" s="108">
        <f t="shared" si="135"/>
        <v>0</v>
      </c>
      <c r="AN532" s="113"/>
    </row>
    <row r="533" spans="2:40" x14ac:dyDescent="0.2">
      <c r="B533" s="7"/>
      <c r="C533" s="8"/>
      <c r="D533" s="8"/>
      <c r="E533" s="9"/>
      <c r="F533" s="6"/>
      <c r="G533" s="8"/>
      <c r="H533" s="32"/>
      <c r="I533" s="10" t="str">
        <f t="shared" si="132"/>
        <v>21</v>
      </c>
      <c r="J533" s="11">
        <v>1</v>
      </c>
      <c r="K533" s="11"/>
      <c r="L533" s="11"/>
      <c r="M533" s="11">
        <f t="shared" si="121"/>
        <v>0</v>
      </c>
      <c r="N533" s="11"/>
      <c r="O533" s="11">
        <f t="shared" si="122"/>
        <v>0</v>
      </c>
      <c r="P533" s="11"/>
      <c r="Q533" s="11"/>
      <c r="R533" s="11"/>
      <c r="S533" s="11">
        <f t="shared" si="123"/>
        <v>0</v>
      </c>
      <c r="T533" s="11">
        <f t="shared" si="124"/>
        <v>1666.6666666666667</v>
      </c>
      <c r="U533" s="11">
        <f t="shared" si="125"/>
        <v>0</v>
      </c>
      <c r="V533" s="24">
        <f t="shared" si="126"/>
        <v>0</v>
      </c>
      <c r="W533" s="11">
        <f>IF(V533&lt;=40000,0,
IF(V533&lt;=55000,(V533-40000)*10%,
IF(V533&lt;=70000,(V533-55000)*15%+1500,
IF(V533&lt;=200000,(V533-70000)*20%+1500+2250,
IF(V533&lt;=400000,(V533-200000)*22.5%+1500+2250+26000,
IF(V533&lt;=600000,(V533-400000)*25%+1500+2250+26000+45000,
IF(AND(V533&gt;600000,V533&lt;=1200000),(V533-400000)*25%+1500+2250+26000+45000
+IFERROR(LOOKUP(V533,{600001;700001;800001;900001},{4000;6750;10250;15250}),0),IF(V533&gt;1200000,((V533-1200000)*27.5%)+300000,0)
)))))))</f>
        <v>0</v>
      </c>
      <c r="X533" s="12">
        <f t="shared" si="127"/>
        <v>0</v>
      </c>
      <c r="Y533" s="12">
        <f t="shared" si="128"/>
        <v>0</v>
      </c>
      <c r="Z533" s="11"/>
      <c r="AA533" s="13">
        <f t="shared" si="129"/>
        <v>0</v>
      </c>
      <c r="AB533" s="12">
        <f t="shared" si="130"/>
        <v>0</v>
      </c>
      <c r="AC533" s="14">
        <f t="shared" si="133"/>
        <v>0</v>
      </c>
      <c r="AE533" s="19">
        <f t="shared" si="131"/>
        <v>0</v>
      </c>
      <c r="AF533" s="19"/>
      <c r="AG533" s="17"/>
      <c r="AK533" s="7"/>
      <c r="AL533" s="108">
        <f t="shared" si="134"/>
        <v>0</v>
      </c>
      <c r="AM533" s="108">
        <f t="shared" si="135"/>
        <v>0</v>
      </c>
      <c r="AN533" s="113"/>
    </row>
    <row r="534" spans="2:40" x14ac:dyDescent="0.2">
      <c r="B534" s="7"/>
      <c r="C534" s="8"/>
      <c r="D534" s="8"/>
      <c r="E534" s="9"/>
      <c r="F534" s="6"/>
      <c r="G534" s="8"/>
      <c r="H534" s="32"/>
      <c r="I534" s="10" t="str">
        <f t="shared" si="132"/>
        <v>21</v>
      </c>
      <c r="J534" s="11">
        <v>1</v>
      </c>
      <c r="K534" s="11"/>
      <c r="L534" s="11"/>
      <c r="M534" s="11">
        <f t="shared" si="121"/>
        <v>0</v>
      </c>
      <c r="N534" s="11"/>
      <c r="O534" s="11">
        <f t="shared" si="122"/>
        <v>0</v>
      </c>
      <c r="P534" s="11"/>
      <c r="Q534" s="11"/>
      <c r="R534" s="11"/>
      <c r="S534" s="11">
        <f t="shared" si="123"/>
        <v>0</v>
      </c>
      <c r="T534" s="11">
        <f t="shared" si="124"/>
        <v>1666.6666666666667</v>
      </c>
      <c r="U534" s="11">
        <f t="shared" si="125"/>
        <v>0</v>
      </c>
      <c r="V534" s="24">
        <f t="shared" si="126"/>
        <v>0</v>
      </c>
      <c r="W534" s="11">
        <f>IF(V534&lt;=40000,0,
IF(V534&lt;=55000,(V534-40000)*10%,
IF(V534&lt;=70000,(V534-55000)*15%+1500,
IF(V534&lt;=200000,(V534-70000)*20%+1500+2250,
IF(V534&lt;=400000,(V534-200000)*22.5%+1500+2250+26000,
IF(V534&lt;=600000,(V534-400000)*25%+1500+2250+26000+45000,
IF(AND(V534&gt;600000,V534&lt;=1200000),(V534-400000)*25%+1500+2250+26000+45000
+IFERROR(LOOKUP(V534,{600001;700001;800001;900001},{4000;6750;10250;15250}),0),IF(V534&gt;1200000,((V534-1200000)*27.5%)+300000,0)
)))))))</f>
        <v>0</v>
      </c>
      <c r="X534" s="12">
        <f t="shared" si="127"/>
        <v>0</v>
      </c>
      <c r="Y534" s="12">
        <f t="shared" si="128"/>
        <v>0</v>
      </c>
      <c r="Z534" s="11"/>
      <c r="AA534" s="13">
        <f t="shared" si="129"/>
        <v>0</v>
      </c>
      <c r="AB534" s="12">
        <f t="shared" si="130"/>
        <v>0</v>
      </c>
      <c r="AC534" s="14">
        <f t="shared" si="133"/>
        <v>0</v>
      </c>
      <c r="AE534" s="19">
        <f t="shared" si="131"/>
        <v>0</v>
      </c>
      <c r="AF534" s="19"/>
      <c r="AG534" s="17"/>
      <c r="AK534" s="7"/>
      <c r="AL534" s="108">
        <f t="shared" si="134"/>
        <v>0</v>
      </c>
      <c r="AM534" s="108">
        <f t="shared" si="135"/>
        <v>0</v>
      </c>
      <c r="AN534" s="113"/>
    </row>
    <row r="535" spans="2:40" x14ac:dyDescent="0.2">
      <c r="B535" s="7"/>
      <c r="C535" s="8"/>
      <c r="D535" s="8"/>
      <c r="E535" s="9"/>
      <c r="F535" s="6"/>
      <c r="G535" s="8"/>
      <c r="H535" s="32"/>
      <c r="I535" s="10" t="str">
        <f t="shared" si="132"/>
        <v>21</v>
      </c>
      <c r="J535" s="11">
        <v>1</v>
      </c>
      <c r="K535" s="11"/>
      <c r="L535" s="11"/>
      <c r="M535" s="11">
        <f t="shared" si="121"/>
        <v>0</v>
      </c>
      <c r="N535" s="11"/>
      <c r="O535" s="11">
        <f t="shared" si="122"/>
        <v>0</v>
      </c>
      <c r="P535" s="11"/>
      <c r="Q535" s="11"/>
      <c r="R535" s="11"/>
      <c r="S535" s="11">
        <f t="shared" si="123"/>
        <v>0</v>
      </c>
      <c r="T535" s="11">
        <f t="shared" si="124"/>
        <v>1666.6666666666667</v>
      </c>
      <c r="U535" s="11">
        <f t="shared" si="125"/>
        <v>0</v>
      </c>
      <c r="V535" s="24">
        <f t="shared" si="126"/>
        <v>0</v>
      </c>
      <c r="W535" s="11">
        <f>IF(V535&lt;=40000,0,
IF(V535&lt;=55000,(V535-40000)*10%,
IF(V535&lt;=70000,(V535-55000)*15%+1500,
IF(V535&lt;=200000,(V535-70000)*20%+1500+2250,
IF(V535&lt;=400000,(V535-200000)*22.5%+1500+2250+26000,
IF(V535&lt;=600000,(V535-400000)*25%+1500+2250+26000+45000,
IF(AND(V535&gt;600000,V535&lt;=1200000),(V535-400000)*25%+1500+2250+26000+45000
+IFERROR(LOOKUP(V535,{600001;700001;800001;900001},{4000;6750;10250;15250}),0),IF(V535&gt;1200000,((V535-1200000)*27.5%)+300000,0)
)))))))</f>
        <v>0</v>
      </c>
      <c r="X535" s="12">
        <f t="shared" si="127"/>
        <v>0</v>
      </c>
      <c r="Y535" s="12">
        <f t="shared" si="128"/>
        <v>0</v>
      </c>
      <c r="Z535" s="11"/>
      <c r="AA535" s="13">
        <f t="shared" si="129"/>
        <v>0</v>
      </c>
      <c r="AB535" s="12">
        <f t="shared" si="130"/>
        <v>0</v>
      </c>
      <c r="AC535" s="14">
        <f t="shared" si="133"/>
        <v>0</v>
      </c>
      <c r="AE535" s="19">
        <f t="shared" si="131"/>
        <v>0</v>
      </c>
      <c r="AF535" s="19"/>
      <c r="AG535" s="17"/>
      <c r="AK535" s="7"/>
      <c r="AL535" s="108">
        <f t="shared" si="134"/>
        <v>0</v>
      </c>
      <c r="AM535" s="108">
        <f t="shared" si="135"/>
        <v>0</v>
      </c>
      <c r="AN535" s="113"/>
    </row>
    <row r="536" spans="2:40" x14ac:dyDescent="0.2">
      <c r="B536" s="7"/>
      <c r="C536" s="8"/>
      <c r="D536" s="8"/>
      <c r="E536" s="9"/>
      <c r="F536" s="6"/>
      <c r="G536" s="8"/>
      <c r="H536" s="32"/>
      <c r="I536" s="10" t="str">
        <f t="shared" si="132"/>
        <v>21</v>
      </c>
      <c r="J536" s="11">
        <v>1</v>
      </c>
      <c r="K536" s="11"/>
      <c r="L536" s="11"/>
      <c r="M536" s="11">
        <f t="shared" si="121"/>
        <v>0</v>
      </c>
      <c r="N536" s="11"/>
      <c r="O536" s="11">
        <f t="shared" si="122"/>
        <v>0</v>
      </c>
      <c r="P536" s="11"/>
      <c r="Q536" s="11"/>
      <c r="R536" s="11"/>
      <c r="S536" s="11">
        <f t="shared" si="123"/>
        <v>0</v>
      </c>
      <c r="T536" s="11">
        <f t="shared" si="124"/>
        <v>1666.6666666666667</v>
      </c>
      <c r="U536" s="11">
        <f t="shared" si="125"/>
        <v>0</v>
      </c>
      <c r="V536" s="24">
        <f t="shared" si="126"/>
        <v>0</v>
      </c>
      <c r="W536" s="11">
        <f>IF(V536&lt;=40000,0,
IF(V536&lt;=55000,(V536-40000)*10%,
IF(V536&lt;=70000,(V536-55000)*15%+1500,
IF(V536&lt;=200000,(V536-70000)*20%+1500+2250,
IF(V536&lt;=400000,(V536-200000)*22.5%+1500+2250+26000,
IF(V536&lt;=600000,(V536-400000)*25%+1500+2250+26000+45000,
IF(AND(V536&gt;600000,V536&lt;=1200000),(V536-400000)*25%+1500+2250+26000+45000
+IFERROR(LOOKUP(V536,{600001;700001;800001;900001},{4000;6750;10250;15250}),0),IF(V536&gt;1200000,((V536-1200000)*27.5%)+300000,0)
)))))))</f>
        <v>0</v>
      </c>
      <c r="X536" s="12">
        <f t="shared" si="127"/>
        <v>0</v>
      </c>
      <c r="Y536" s="12">
        <f t="shared" si="128"/>
        <v>0</v>
      </c>
      <c r="Z536" s="11"/>
      <c r="AA536" s="13">
        <f t="shared" si="129"/>
        <v>0</v>
      </c>
      <c r="AB536" s="12">
        <f t="shared" si="130"/>
        <v>0</v>
      </c>
      <c r="AC536" s="14">
        <f t="shared" si="133"/>
        <v>0</v>
      </c>
      <c r="AE536" s="19">
        <f t="shared" si="131"/>
        <v>0</v>
      </c>
      <c r="AF536" s="19"/>
      <c r="AG536" s="17"/>
      <c r="AK536" s="7"/>
      <c r="AL536" s="108">
        <f t="shared" si="134"/>
        <v>0</v>
      </c>
      <c r="AM536" s="108">
        <f t="shared" si="135"/>
        <v>0</v>
      </c>
      <c r="AN536" s="113"/>
    </row>
    <row r="537" spans="2:40" x14ac:dyDescent="0.2">
      <c r="B537" s="7"/>
      <c r="C537" s="8"/>
      <c r="D537" s="8"/>
      <c r="E537" s="9"/>
      <c r="F537" s="6"/>
      <c r="G537" s="8"/>
      <c r="H537" s="32"/>
      <c r="I537" s="10" t="str">
        <f t="shared" si="132"/>
        <v>21</v>
      </c>
      <c r="J537" s="11">
        <v>1</v>
      </c>
      <c r="K537" s="11"/>
      <c r="L537" s="11"/>
      <c r="M537" s="11">
        <f t="shared" si="121"/>
        <v>0</v>
      </c>
      <c r="N537" s="11"/>
      <c r="O537" s="11">
        <f t="shared" si="122"/>
        <v>0</v>
      </c>
      <c r="P537" s="11"/>
      <c r="Q537" s="11"/>
      <c r="R537" s="11"/>
      <c r="S537" s="11">
        <f t="shared" si="123"/>
        <v>0</v>
      </c>
      <c r="T537" s="11">
        <f t="shared" si="124"/>
        <v>1666.6666666666667</v>
      </c>
      <c r="U537" s="11">
        <f t="shared" si="125"/>
        <v>0</v>
      </c>
      <c r="V537" s="24">
        <f t="shared" si="126"/>
        <v>0</v>
      </c>
      <c r="W537" s="11">
        <f>IF(V537&lt;=40000,0,
IF(V537&lt;=55000,(V537-40000)*10%,
IF(V537&lt;=70000,(V537-55000)*15%+1500,
IF(V537&lt;=200000,(V537-70000)*20%+1500+2250,
IF(V537&lt;=400000,(V537-200000)*22.5%+1500+2250+26000,
IF(V537&lt;=600000,(V537-400000)*25%+1500+2250+26000+45000,
IF(AND(V537&gt;600000,V537&lt;=1200000),(V537-400000)*25%+1500+2250+26000+45000
+IFERROR(LOOKUP(V537,{600001;700001;800001;900001},{4000;6750;10250;15250}),0),IF(V537&gt;1200000,((V537-1200000)*27.5%)+300000,0)
)))))))</f>
        <v>0</v>
      </c>
      <c r="X537" s="12">
        <f t="shared" si="127"/>
        <v>0</v>
      </c>
      <c r="Y537" s="12">
        <f t="shared" si="128"/>
        <v>0</v>
      </c>
      <c r="Z537" s="11"/>
      <c r="AA537" s="13">
        <f t="shared" si="129"/>
        <v>0</v>
      </c>
      <c r="AB537" s="12">
        <f t="shared" si="130"/>
        <v>0</v>
      </c>
      <c r="AC537" s="14">
        <f t="shared" si="133"/>
        <v>0</v>
      </c>
      <c r="AE537" s="19">
        <f t="shared" si="131"/>
        <v>0</v>
      </c>
      <c r="AF537" s="19"/>
      <c r="AG537" s="17"/>
      <c r="AK537" s="7"/>
      <c r="AL537" s="108">
        <f t="shared" si="134"/>
        <v>0</v>
      </c>
      <c r="AM537" s="108">
        <f t="shared" si="135"/>
        <v>0</v>
      </c>
      <c r="AN537" s="113"/>
    </row>
    <row r="538" spans="2:40" x14ac:dyDescent="0.2">
      <c r="B538" s="7"/>
      <c r="C538" s="8"/>
      <c r="D538" s="8"/>
      <c r="E538" s="9"/>
      <c r="F538" s="6"/>
      <c r="G538" s="8"/>
      <c r="H538" s="32"/>
      <c r="I538" s="10" t="str">
        <f t="shared" si="132"/>
        <v>21</v>
      </c>
      <c r="J538" s="11">
        <v>1</v>
      </c>
      <c r="K538" s="11"/>
      <c r="L538" s="11"/>
      <c r="M538" s="11">
        <f t="shared" si="121"/>
        <v>0</v>
      </c>
      <c r="N538" s="11"/>
      <c r="O538" s="11">
        <f t="shared" si="122"/>
        <v>0</v>
      </c>
      <c r="P538" s="11"/>
      <c r="Q538" s="11"/>
      <c r="R538" s="11"/>
      <c r="S538" s="11">
        <f t="shared" si="123"/>
        <v>0</v>
      </c>
      <c r="T538" s="11">
        <f t="shared" si="124"/>
        <v>1666.6666666666667</v>
      </c>
      <c r="U538" s="11">
        <f t="shared" si="125"/>
        <v>0</v>
      </c>
      <c r="V538" s="24">
        <f t="shared" si="126"/>
        <v>0</v>
      </c>
      <c r="W538" s="11">
        <f>IF(V538&lt;=40000,0,
IF(V538&lt;=55000,(V538-40000)*10%,
IF(V538&lt;=70000,(V538-55000)*15%+1500,
IF(V538&lt;=200000,(V538-70000)*20%+1500+2250,
IF(V538&lt;=400000,(V538-200000)*22.5%+1500+2250+26000,
IF(V538&lt;=600000,(V538-400000)*25%+1500+2250+26000+45000,
IF(AND(V538&gt;600000,V538&lt;=1200000),(V538-400000)*25%+1500+2250+26000+45000
+IFERROR(LOOKUP(V538,{600001;700001;800001;900001},{4000;6750;10250;15250}),0),IF(V538&gt;1200000,((V538-1200000)*27.5%)+300000,0)
)))))))</f>
        <v>0</v>
      </c>
      <c r="X538" s="12">
        <f t="shared" si="127"/>
        <v>0</v>
      </c>
      <c r="Y538" s="12">
        <f t="shared" si="128"/>
        <v>0</v>
      </c>
      <c r="Z538" s="11"/>
      <c r="AA538" s="13">
        <f t="shared" si="129"/>
        <v>0</v>
      </c>
      <c r="AB538" s="12">
        <f t="shared" si="130"/>
        <v>0</v>
      </c>
      <c r="AC538" s="14">
        <f t="shared" si="133"/>
        <v>0</v>
      </c>
      <c r="AE538" s="19">
        <f t="shared" si="131"/>
        <v>0</v>
      </c>
      <c r="AF538" s="19"/>
      <c r="AG538" s="17"/>
      <c r="AK538" s="7"/>
      <c r="AL538" s="108">
        <f t="shared" si="134"/>
        <v>0</v>
      </c>
      <c r="AM538" s="108">
        <f t="shared" si="135"/>
        <v>0</v>
      </c>
      <c r="AN538" s="113"/>
    </row>
    <row r="539" spans="2:40" x14ac:dyDescent="0.2">
      <c r="B539" s="7"/>
      <c r="C539" s="8"/>
      <c r="D539" s="8"/>
      <c r="E539" s="9"/>
      <c r="F539" s="6"/>
      <c r="G539" s="8"/>
      <c r="H539" s="32"/>
      <c r="I539" s="10" t="str">
        <f t="shared" si="132"/>
        <v>21</v>
      </c>
      <c r="J539" s="11">
        <v>1</v>
      </c>
      <c r="K539" s="11"/>
      <c r="L539" s="11"/>
      <c r="M539" s="11">
        <f t="shared" si="121"/>
        <v>0</v>
      </c>
      <c r="N539" s="11"/>
      <c r="O539" s="11">
        <f t="shared" si="122"/>
        <v>0</v>
      </c>
      <c r="P539" s="11"/>
      <c r="Q539" s="11"/>
      <c r="R539" s="11"/>
      <c r="S539" s="11">
        <f t="shared" si="123"/>
        <v>0</v>
      </c>
      <c r="T539" s="11">
        <f t="shared" si="124"/>
        <v>1666.6666666666667</v>
      </c>
      <c r="U539" s="11">
        <f t="shared" si="125"/>
        <v>0</v>
      </c>
      <c r="V539" s="24">
        <f t="shared" si="126"/>
        <v>0</v>
      </c>
      <c r="W539" s="11">
        <f>IF(V539&lt;=40000,0,
IF(V539&lt;=55000,(V539-40000)*10%,
IF(V539&lt;=70000,(V539-55000)*15%+1500,
IF(V539&lt;=200000,(V539-70000)*20%+1500+2250,
IF(V539&lt;=400000,(V539-200000)*22.5%+1500+2250+26000,
IF(V539&lt;=600000,(V539-400000)*25%+1500+2250+26000+45000,
IF(AND(V539&gt;600000,V539&lt;=1200000),(V539-400000)*25%+1500+2250+26000+45000
+IFERROR(LOOKUP(V539,{600001;700001;800001;900001},{4000;6750;10250;15250}),0),IF(V539&gt;1200000,((V539-1200000)*27.5%)+300000,0)
)))))))</f>
        <v>0</v>
      </c>
      <c r="X539" s="12">
        <f t="shared" si="127"/>
        <v>0</v>
      </c>
      <c r="Y539" s="12">
        <f t="shared" si="128"/>
        <v>0</v>
      </c>
      <c r="Z539" s="11"/>
      <c r="AA539" s="13">
        <f t="shared" si="129"/>
        <v>0</v>
      </c>
      <c r="AB539" s="12">
        <f t="shared" si="130"/>
        <v>0</v>
      </c>
      <c r="AC539" s="14">
        <f t="shared" si="133"/>
        <v>0</v>
      </c>
      <c r="AE539" s="19">
        <f t="shared" si="131"/>
        <v>0</v>
      </c>
      <c r="AF539" s="19"/>
      <c r="AG539" s="17"/>
      <c r="AK539" s="7"/>
      <c r="AL539" s="108">
        <f t="shared" si="134"/>
        <v>0</v>
      </c>
      <c r="AM539" s="108">
        <f t="shared" si="135"/>
        <v>0</v>
      </c>
      <c r="AN539" s="113"/>
    </row>
    <row r="540" spans="2:40" x14ac:dyDescent="0.2">
      <c r="B540" s="7"/>
      <c r="C540" s="8"/>
      <c r="D540" s="8"/>
      <c r="E540" s="9"/>
      <c r="F540" s="6"/>
      <c r="G540" s="8"/>
      <c r="H540" s="32"/>
      <c r="I540" s="10" t="str">
        <f t="shared" si="132"/>
        <v>21</v>
      </c>
      <c r="J540" s="11">
        <v>1</v>
      </c>
      <c r="K540" s="11"/>
      <c r="L540" s="11"/>
      <c r="M540" s="11">
        <f t="shared" si="121"/>
        <v>0</v>
      </c>
      <c r="N540" s="11"/>
      <c r="O540" s="11">
        <f t="shared" si="122"/>
        <v>0</v>
      </c>
      <c r="P540" s="11"/>
      <c r="Q540" s="11"/>
      <c r="R540" s="11"/>
      <c r="S540" s="11">
        <f t="shared" si="123"/>
        <v>0</v>
      </c>
      <c r="T540" s="11">
        <f t="shared" si="124"/>
        <v>1666.6666666666667</v>
      </c>
      <c r="U540" s="11">
        <f t="shared" si="125"/>
        <v>0</v>
      </c>
      <c r="V540" s="24">
        <f t="shared" si="126"/>
        <v>0</v>
      </c>
      <c r="W540" s="11">
        <f>IF(V540&lt;=40000,0,
IF(V540&lt;=55000,(V540-40000)*10%,
IF(V540&lt;=70000,(V540-55000)*15%+1500,
IF(V540&lt;=200000,(V540-70000)*20%+1500+2250,
IF(V540&lt;=400000,(V540-200000)*22.5%+1500+2250+26000,
IF(V540&lt;=600000,(V540-400000)*25%+1500+2250+26000+45000,
IF(AND(V540&gt;600000,V540&lt;=1200000),(V540-400000)*25%+1500+2250+26000+45000
+IFERROR(LOOKUP(V540,{600001;700001;800001;900001},{4000;6750;10250;15250}),0),IF(V540&gt;1200000,((V540-1200000)*27.5%)+300000,0)
)))))))</f>
        <v>0</v>
      </c>
      <c r="X540" s="12">
        <f t="shared" si="127"/>
        <v>0</v>
      </c>
      <c r="Y540" s="12">
        <f t="shared" si="128"/>
        <v>0</v>
      </c>
      <c r="Z540" s="11"/>
      <c r="AA540" s="13">
        <f t="shared" si="129"/>
        <v>0</v>
      </c>
      <c r="AB540" s="12">
        <f t="shared" si="130"/>
        <v>0</v>
      </c>
      <c r="AC540" s="14">
        <f t="shared" si="133"/>
        <v>0</v>
      </c>
      <c r="AE540" s="19">
        <f t="shared" si="131"/>
        <v>0</v>
      </c>
      <c r="AF540" s="19"/>
      <c r="AG540" s="17"/>
      <c r="AK540" s="7"/>
      <c r="AL540" s="108">
        <f t="shared" si="134"/>
        <v>0</v>
      </c>
      <c r="AM540" s="108">
        <f t="shared" si="135"/>
        <v>0</v>
      </c>
      <c r="AN540" s="113"/>
    </row>
    <row r="541" spans="2:40" x14ac:dyDescent="0.2">
      <c r="B541" s="7"/>
      <c r="C541" s="8"/>
      <c r="D541" s="8"/>
      <c r="E541" s="9"/>
      <c r="F541" s="6"/>
      <c r="G541" s="8"/>
      <c r="H541" s="32"/>
      <c r="I541" s="10" t="str">
        <f t="shared" si="132"/>
        <v>21</v>
      </c>
      <c r="J541" s="11">
        <v>1</v>
      </c>
      <c r="K541" s="11"/>
      <c r="L541" s="11"/>
      <c r="M541" s="11">
        <f t="shared" ref="M541:M604" si="136">SUM(K541:L541)</f>
        <v>0</v>
      </c>
      <c r="N541" s="11"/>
      <c r="O541" s="11">
        <f t="shared" ref="O541:O604" si="137">+N541+M541</f>
        <v>0</v>
      </c>
      <c r="P541" s="11"/>
      <c r="Q541" s="11"/>
      <c r="R541" s="11"/>
      <c r="S541" s="11">
        <f t="shared" ref="S541:S604" si="138">O541-P541-Q541-R541</f>
        <v>0</v>
      </c>
      <c r="T541" s="11">
        <f t="shared" ref="T541:T604" si="139">IF(J541&gt;0,(20000/12*J541),0)</f>
        <v>1666.6666666666667</v>
      </c>
      <c r="U541" s="11">
        <f t="shared" ref="U541:U604" si="140">IF(AND(J541&gt;0,S541-T541&gt;0),S541-T541,0)</f>
        <v>0</v>
      </c>
      <c r="V541" s="24">
        <f t="shared" ref="V541:V604" si="141">IF(J541=0,0,(U541/J541*12))</f>
        <v>0</v>
      </c>
      <c r="W541" s="11">
        <f>IF(V541&lt;=40000,0,
IF(V541&lt;=55000,(V541-40000)*10%,
IF(V541&lt;=70000,(V541-55000)*15%+1500,
IF(V541&lt;=200000,(V541-70000)*20%+1500+2250,
IF(V541&lt;=400000,(V541-200000)*22.5%+1500+2250+26000,
IF(V541&lt;=600000,(V541-400000)*25%+1500+2250+26000+45000,
IF(AND(V541&gt;600000,V541&lt;=1200000),(V541-400000)*25%+1500+2250+26000+45000
+IFERROR(LOOKUP(V541,{600001;700001;800001;900001},{4000;6750;10250;15250}),0),IF(V541&gt;1200000,((V541-1200000)*27.5%)+300000,0)
)))))))</f>
        <v>0</v>
      </c>
      <c r="X541" s="12">
        <f t="shared" ref="X541:X604" si="142">N541*0.1</f>
        <v>0</v>
      </c>
      <c r="Y541" s="12">
        <f t="shared" ref="Y541:Y604" si="143">(W541/12*J541)-X541</f>
        <v>0</v>
      </c>
      <c r="Z541" s="11"/>
      <c r="AA541" s="13">
        <f t="shared" ref="AA541:AA604" si="144">+O541-P541-Y541-Z541</f>
        <v>0</v>
      </c>
      <c r="AB541" s="12">
        <f t="shared" ref="AB541:AB604" si="145">(P541/0.11)*18.75%</f>
        <v>0</v>
      </c>
      <c r="AC541" s="14">
        <f t="shared" si="133"/>
        <v>0</v>
      </c>
      <c r="AE541" s="19">
        <f t="shared" ref="AE541:AE604" si="146">+AD541-AC541</f>
        <v>0</v>
      </c>
      <c r="AF541" s="19"/>
      <c r="AG541" s="17"/>
      <c r="AK541" s="7"/>
      <c r="AL541" s="108">
        <f t="shared" si="134"/>
        <v>0</v>
      </c>
      <c r="AM541" s="108">
        <f t="shared" si="135"/>
        <v>0</v>
      </c>
      <c r="AN541" s="113"/>
    </row>
    <row r="542" spans="2:40" x14ac:dyDescent="0.2">
      <c r="B542" s="7"/>
      <c r="C542" s="8"/>
      <c r="D542" s="8"/>
      <c r="E542" s="9"/>
      <c r="F542" s="6"/>
      <c r="G542" s="8"/>
      <c r="H542" s="32"/>
      <c r="I542" s="10" t="str">
        <f t="shared" si="132"/>
        <v>21</v>
      </c>
      <c r="J542" s="11">
        <v>1</v>
      </c>
      <c r="K542" s="11"/>
      <c r="L542" s="11"/>
      <c r="M542" s="11">
        <f t="shared" si="136"/>
        <v>0</v>
      </c>
      <c r="N542" s="11"/>
      <c r="O542" s="11">
        <f t="shared" si="137"/>
        <v>0</v>
      </c>
      <c r="P542" s="11"/>
      <c r="Q542" s="11"/>
      <c r="R542" s="11"/>
      <c r="S542" s="11">
        <f t="shared" si="138"/>
        <v>0</v>
      </c>
      <c r="T542" s="11">
        <f t="shared" si="139"/>
        <v>1666.6666666666667</v>
      </c>
      <c r="U542" s="11">
        <f t="shared" si="140"/>
        <v>0</v>
      </c>
      <c r="V542" s="24">
        <f t="shared" si="141"/>
        <v>0</v>
      </c>
      <c r="W542" s="11">
        <f>IF(V542&lt;=40000,0,
IF(V542&lt;=55000,(V542-40000)*10%,
IF(V542&lt;=70000,(V542-55000)*15%+1500,
IF(V542&lt;=200000,(V542-70000)*20%+1500+2250,
IF(V542&lt;=400000,(V542-200000)*22.5%+1500+2250+26000,
IF(V542&lt;=600000,(V542-400000)*25%+1500+2250+26000+45000,
IF(AND(V542&gt;600000,V542&lt;=1200000),(V542-400000)*25%+1500+2250+26000+45000
+IFERROR(LOOKUP(V542,{600001;700001;800001;900001},{4000;6750;10250;15250}),0),IF(V542&gt;1200000,((V542-1200000)*27.5%)+300000,0)
)))))))</f>
        <v>0</v>
      </c>
      <c r="X542" s="12">
        <f t="shared" si="142"/>
        <v>0</v>
      </c>
      <c r="Y542" s="12">
        <f t="shared" si="143"/>
        <v>0</v>
      </c>
      <c r="Z542" s="11"/>
      <c r="AA542" s="13">
        <f t="shared" si="144"/>
        <v>0</v>
      </c>
      <c r="AB542" s="12">
        <f t="shared" si="145"/>
        <v>0</v>
      </c>
      <c r="AC542" s="14">
        <f t="shared" si="133"/>
        <v>0</v>
      </c>
      <c r="AE542" s="19">
        <f t="shared" si="146"/>
        <v>0</v>
      </c>
      <c r="AF542" s="19"/>
      <c r="AG542" s="17"/>
      <c r="AK542" s="7"/>
      <c r="AL542" s="108">
        <f t="shared" si="134"/>
        <v>0</v>
      </c>
      <c r="AM542" s="108">
        <f t="shared" si="135"/>
        <v>0</v>
      </c>
      <c r="AN542" s="113"/>
    </row>
    <row r="543" spans="2:40" x14ac:dyDescent="0.2">
      <c r="B543" s="7"/>
      <c r="C543" s="8"/>
      <c r="D543" s="8"/>
      <c r="E543" s="9"/>
      <c r="F543" s="6"/>
      <c r="G543" s="8"/>
      <c r="H543" s="32"/>
      <c r="I543" s="10" t="str">
        <f t="shared" si="132"/>
        <v>21</v>
      </c>
      <c r="J543" s="11">
        <v>1</v>
      </c>
      <c r="K543" s="11"/>
      <c r="L543" s="11"/>
      <c r="M543" s="11">
        <f t="shared" si="136"/>
        <v>0</v>
      </c>
      <c r="N543" s="11"/>
      <c r="O543" s="11">
        <f t="shared" si="137"/>
        <v>0</v>
      </c>
      <c r="P543" s="11"/>
      <c r="Q543" s="11"/>
      <c r="R543" s="11"/>
      <c r="S543" s="11">
        <f t="shared" si="138"/>
        <v>0</v>
      </c>
      <c r="T543" s="11">
        <f t="shared" si="139"/>
        <v>1666.6666666666667</v>
      </c>
      <c r="U543" s="11">
        <f t="shared" si="140"/>
        <v>0</v>
      </c>
      <c r="V543" s="24">
        <f t="shared" si="141"/>
        <v>0</v>
      </c>
      <c r="W543" s="11">
        <f>IF(V543&lt;=40000,0,
IF(V543&lt;=55000,(V543-40000)*10%,
IF(V543&lt;=70000,(V543-55000)*15%+1500,
IF(V543&lt;=200000,(V543-70000)*20%+1500+2250,
IF(V543&lt;=400000,(V543-200000)*22.5%+1500+2250+26000,
IF(V543&lt;=600000,(V543-400000)*25%+1500+2250+26000+45000,
IF(AND(V543&gt;600000,V543&lt;=1200000),(V543-400000)*25%+1500+2250+26000+45000
+IFERROR(LOOKUP(V543,{600001;700001;800001;900001},{4000;6750;10250;15250}),0),IF(V543&gt;1200000,((V543-1200000)*27.5%)+300000,0)
)))))))</f>
        <v>0</v>
      </c>
      <c r="X543" s="12">
        <f t="shared" si="142"/>
        <v>0</v>
      </c>
      <c r="Y543" s="12">
        <f t="shared" si="143"/>
        <v>0</v>
      </c>
      <c r="Z543" s="11"/>
      <c r="AA543" s="13">
        <f t="shared" si="144"/>
        <v>0</v>
      </c>
      <c r="AB543" s="12">
        <f t="shared" si="145"/>
        <v>0</v>
      </c>
      <c r="AC543" s="14">
        <f t="shared" si="133"/>
        <v>0</v>
      </c>
      <c r="AE543" s="19">
        <f t="shared" si="146"/>
        <v>0</v>
      </c>
      <c r="AF543" s="19"/>
      <c r="AG543" s="17"/>
      <c r="AK543" s="7"/>
      <c r="AL543" s="108">
        <f t="shared" si="134"/>
        <v>0</v>
      </c>
      <c r="AM543" s="108">
        <f t="shared" si="135"/>
        <v>0</v>
      </c>
      <c r="AN543" s="113"/>
    </row>
    <row r="544" spans="2:40" x14ac:dyDescent="0.2">
      <c r="B544" s="7"/>
      <c r="C544" s="8"/>
      <c r="D544" s="8"/>
      <c r="E544" s="9"/>
      <c r="F544" s="6"/>
      <c r="G544" s="8"/>
      <c r="H544" s="32"/>
      <c r="I544" s="10" t="str">
        <f t="shared" si="132"/>
        <v>21</v>
      </c>
      <c r="J544" s="11">
        <v>1</v>
      </c>
      <c r="K544" s="11"/>
      <c r="L544" s="11"/>
      <c r="M544" s="11">
        <f t="shared" si="136"/>
        <v>0</v>
      </c>
      <c r="N544" s="11"/>
      <c r="O544" s="11">
        <f t="shared" si="137"/>
        <v>0</v>
      </c>
      <c r="P544" s="11"/>
      <c r="Q544" s="11"/>
      <c r="R544" s="11"/>
      <c r="S544" s="11">
        <f t="shared" si="138"/>
        <v>0</v>
      </c>
      <c r="T544" s="11">
        <f t="shared" si="139"/>
        <v>1666.6666666666667</v>
      </c>
      <c r="U544" s="11">
        <f t="shared" si="140"/>
        <v>0</v>
      </c>
      <c r="V544" s="24">
        <f t="shared" si="141"/>
        <v>0</v>
      </c>
      <c r="W544" s="11">
        <f>IF(V544&lt;=40000,0,
IF(V544&lt;=55000,(V544-40000)*10%,
IF(V544&lt;=70000,(V544-55000)*15%+1500,
IF(V544&lt;=200000,(V544-70000)*20%+1500+2250,
IF(V544&lt;=400000,(V544-200000)*22.5%+1500+2250+26000,
IF(V544&lt;=600000,(V544-400000)*25%+1500+2250+26000+45000,
IF(AND(V544&gt;600000,V544&lt;=1200000),(V544-400000)*25%+1500+2250+26000+45000
+IFERROR(LOOKUP(V544,{600001;700001;800001;900001},{4000;6750;10250;15250}),0),IF(V544&gt;1200000,((V544-1200000)*27.5%)+300000,0)
)))))))</f>
        <v>0</v>
      </c>
      <c r="X544" s="12">
        <f t="shared" si="142"/>
        <v>0</v>
      </c>
      <c r="Y544" s="12">
        <f t="shared" si="143"/>
        <v>0</v>
      </c>
      <c r="Z544" s="11"/>
      <c r="AA544" s="13">
        <f t="shared" si="144"/>
        <v>0</v>
      </c>
      <c r="AB544" s="12">
        <f t="shared" si="145"/>
        <v>0</v>
      </c>
      <c r="AC544" s="14">
        <f t="shared" si="133"/>
        <v>0</v>
      </c>
      <c r="AE544" s="19">
        <f t="shared" si="146"/>
        <v>0</v>
      </c>
      <c r="AF544" s="19"/>
      <c r="AG544" s="17"/>
      <c r="AK544" s="7"/>
      <c r="AL544" s="108">
        <f t="shared" si="134"/>
        <v>0</v>
      </c>
      <c r="AM544" s="108">
        <f t="shared" si="135"/>
        <v>0</v>
      </c>
      <c r="AN544" s="113"/>
    </row>
    <row r="545" spans="2:40" x14ac:dyDescent="0.2">
      <c r="B545" s="7"/>
      <c r="C545" s="8"/>
      <c r="D545" s="8"/>
      <c r="E545" s="9"/>
      <c r="F545" s="6"/>
      <c r="G545" s="8"/>
      <c r="H545" s="32"/>
      <c r="I545" s="10" t="str">
        <f t="shared" si="132"/>
        <v>21</v>
      </c>
      <c r="J545" s="11">
        <v>1</v>
      </c>
      <c r="K545" s="11"/>
      <c r="L545" s="11"/>
      <c r="M545" s="11">
        <f t="shared" si="136"/>
        <v>0</v>
      </c>
      <c r="N545" s="11"/>
      <c r="O545" s="11">
        <f t="shared" si="137"/>
        <v>0</v>
      </c>
      <c r="P545" s="11"/>
      <c r="Q545" s="11"/>
      <c r="R545" s="11"/>
      <c r="S545" s="11">
        <f t="shared" si="138"/>
        <v>0</v>
      </c>
      <c r="T545" s="11">
        <f t="shared" si="139"/>
        <v>1666.6666666666667</v>
      </c>
      <c r="U545" s="11">
        <f t="shared" si="140"/>
        <v>0</v>
      </c>
      <c r="V545" s="24">
        <f t="shared" si="141"/>
        <v>0</v>
      </c>
      <c r="W545" s="11">
        <f>IF(V545&lt;=40000,0,
IF(V545&lt;=55000,(V545-40000)*10%,
IF(V545&lt;=70000,(V545-55000)*15%+1500,
IF(V545&lt;=200000,(V545-70000)*20%+1500+2250,
IF(V545&lt;=400000,(V545-200000)*22.5%+1500+2250+26000,
IF(V545&lt;=600000,(V545-400000)*25%+1500+2250+26000+45000,
IF(AND(V545&gt;600000,V545&lt;=1200000),(V545-400000)*25%+1500+2250+26000+45000
+IFERROR(LOOKUP(V545,{600001;700001;800001;900001},{4000;6750;10250;15250}),0),IF(V545&gt;1200000,((V545-1200000)*27.5%)+300000,0)
)))))))</f>
        <v>0</v>
      </c>
      <c r="X545" s="12">
        <f t="shared" si="142"/>
        <v>0</v>
      </c>
      <c r="Y545" s="12">
        <f t="shared" si="143"/>
        <v>0</v>
      </c>
      <c r="Z545" s="11"/>
      <c r="AA545" s="13">
        <f t="shared" si="144"/>
        <v>0</v>
      </c>
      <c r="AB545" s="12">
        <f t="shared" si="145"/>
        <v>0</v>
      </c>
      <c r="AC545" s="14">
        <f t="shared" si="133"/>
        <v>0</v>
      </c>
      <c r="AE545" s="19">
        <f t="shared" si="146"/>
        <v>0</v>
      </c>
      <c r="AF545" s="19"/>
      <c r="AG545" s="17"/>
      <c r="AK545" s="7"/>
      <c r="AL545" s="108">
        <f t="shared" si="134"/>
        <v>0</v>
      </c>
      <c r="AM545" s="108">
        <f t="shared" si="135"/>
        <v>0</v>
      </c>
      <c r="AN545" s="113"/>
    </row>
    <row r="546" spans="2:40" x14ac:dyDescent="0.2">
      <c r="B546" s="7"/>
      <c r="C546" s="8"/>
      <c r="D546" s="8"/>
      <c r="E546" s="9"/>
      <c r="F546" s="6"/>
      <c r="G546" s="8"/>
      <c r="H546" s="32"/>
      <c r="I546" s="10" t="str">
        <f t="shared" si="132"/>
        <v>21</v>
      </c>
      <c r="J546" s="11">
        <v>1</v>
      </c>
      <c r="K546" s="11"/>
      <c r="L546" s="11"/>
      <c r="M546" s="11">
        <f t="shared" si="136"/>
        <v>0</v>
      </c>
      <c r="N546" s="11"/>
      <c r="O546" s="11">
        <f t="shared" si="137"/>
        <v>0</v>
      </c>
      <c r="P546" s="11"/>
      <c r="Q546" s="11"/>
      <c r="R546" s="11"/>
      <c r="S546" s="11">
        <f t="shared" si="138"/>
        <v>0</v>
      </c>
      <c r="T546" s="11">
        <f t="shared" si="139"/>
        <v>1666.6666666666667</v>
      </c>
      <c r="U546" s="11">
        <f t="shared" si="140"/>
        <v>0</v>
      </c>
      <c r="V546" s="24">
        <f t="shared" si="141"/>
        <v>0</v>
      </c>
      <c r="W546" s="11">
        <f>IF(V546&lt;=40000,0,
IF(V546&lt;=55000,(V546-40000)*10%,
IF(V546&lt;=70000,(V546-55000)*15%+1500,
IF(V546&lt;=200000,(V546-70000)*20%+1500+2250,
IF(V546&lt;=400000,(V546-200000)*22.5%+1500+2250+26000,
IF(V546&lt;=600000,(V546-400000)*25%+1500+2250+26000+45000,
IF(AND(V546&gt;600000,V546&lt;=1200000),(V546-400000)*25%+1500+2250+26000+45000
+IFERROR(LOOKUP(V546,{600001;700001;800001;900001},{4000;6750;10250;15250}),0),IF(V546&gt;1200000,((V546-1200000)*27.5%)+300000,0)
)))))))</f>
        <v>0</v>
      </c>
      <c r="X546" s="12">
        <f t="shared" si="142"/>
        <v>0</v>
      </c>
      <c r="Y546" s="12">
        <f t="shared" si="143"/>
        <v>0</v>
      </c>
      <c r="Z546" s="11"/>
      <c r="AA546" s="13">
        <f t="shared" si="144"/>
        <v>0</v>
      </c>
      <c r="AB546" s="12">
        <f t="shared" si="145"/>
        <v>0</v>
      </c>
      <c r="AC546" s="14">
        <f t="shared" si="133"/>
        <v>0</v>
      </c>
      <c r="AE546" s="19">
        <f t="shared" si="146"/>
        <v>0</v>
      </c>
      <c r="AF546" s="19"/>
      <c r="AG546" s="17"/>
      <c r="AK546" s="7"/>
      <c r="AL546" s="108">
        <f t="shared" si="134"/>
        <v>0</v>
      </c>
      <c r="AM546" s="108">
        <f t="shared" si="135"/>
        <v>0</v>
      </c>
      <c r="AN546" s="113"/>
    </row>
    <row r="547" spans="2:40" x14ac:dyDescent="0.2">
      <c r="B547" s="7"/>
      <c r="C547" s="8"/>
      <c r="D547" s="8"/>
      <c r="E547" s="9"/>
      <c r="F547" s="6"/>
      <c r="G547" s="8"/>
      <c r="H547" s="32"/>
      <c r="I547" s="10" t="str">
        <f t="shared" si="132"/>
        <v>21</v>
      </c>
      <c r="J547" s="11">
        <v>1</v>
      </c>
      <c r="K547" s="11"/>
      <c r="L547" s="11"/>
      <c r="M547" s="11">
        <f t="shared" si="136"/>
        <v>0</v>
      </c>
      <c r="N547" s="11"/>
      <c r="O547" s="11">
        <f t="shared" si="137"/>
        <v>0</v>
      </c>
      <c r="P547" s="11"/>
      <c r="Q547" s="11"/>
      <c r="R547" s="11"/>
      <c r="S547" s="11">
        <f t="shared" si="138"/>
        <v>0</v>
      </c>
      <c r="T547" s="11">
        <f t="shared" si="139"/>
        <v>1666.6666666666667</v>
      </c>
      <c r="U547" s="11">
        <f t="shared" si="140"/>
        <v>0</v>
      </c>
      <c r="V547" s="24">
        <f t="shared" si="141"/>
        <v>0</v>
      </c>
      <c r="W547" s="11">
        <f>IF(V547&lt;=40000,0,
IF(V547&lt;=55000,(V547-40000)*10%,
IF(V547&lt;=70000,(V547-55000)*15%+1500,
IF(V547&lt;=200000,(V547-70000)*20%+1500+2250,
IF(V547&lt;=400000,(V547-200000)*22.5%+1500+2250+26000,
IF(V547&lt;=600000,(V547-400000)*25%+1500+2250+26000+45000,
IF(AND(V547&gt;600000,V547&lt;=1200000),(V547-400000)*25%+1500+2250+26000+45000
+IFERROR(LOOKUP(V547,{600001;700001;800001;900001},{4000;6750;10250;15250}),0),IF(V547&gt;1200000,((V547-1200000)*27.5%)+300000,0)
)))))))</f>
        <v>0</v>
      </c>
      <c r="X547" s="12">
        <f t="shared" si="142"/>
        <v>0</v>
      </c>
      <c r="Y547" s="12">
        <f t="shared" si="143"/>
        <v>0</v>
      </c>
      <c r="Z547" s="11"/>
      <c r="AA547" s="13">
        <f t="shared" si="144"/>
        <v>0</v>
      </c>
      <c r="AB547" s="12">
        <f t="shared" si="145"/>
        <v>0</v>
      </c>
      <c r="AC547" s="14">
        <f t="shared" si="133"/>
        <v>0</v>
      </c>
      <c r="AE547" s="19">
        <f t="shared" si="146"/>
        <v>0</v>
      </c>
      <c r="AF547" s="19"/>
      <c r="AG547" s="17"/>
      <c r="AK547" s="7"/>
      <c r="AL547" s="108">
        <f t="shared" si="134"/>
        <v>0</v>
      </c>
      <c r="AM547" s="108">
        <f t="shared" si="135"/>
        <v>0</v>
      </c>
      <c r="AN547" s="113"/>
    </row>
    <row r="548" spans="2:40" x14ac:dyDescent="0.2">
      <c r="B548" s="7"/>
      <c r="C548" s="8"/>
      <c r="D548" s="8"/>
      <c r="E548" s="9"/>
      <c r="F548" s="6"/>
      <c r="G548" s="8"/>
      <c r="H548" s="32"/>
      <c r="I548" s="10" t="str">
        <f t="shared" si="132"/>
        <v>21</v>
      </c>
      <c r="J548" s="11">
        <v>1</v>
      </c>
      <c r="K548" s="11"/>
      <c r="L548" s="11"/>
      <c r="M548" s="11">
        <f t="shared" si="136"/>
        <v>0</v>
      </c>
      <c r="N548" s="11"/>
      <c r="O548" s="11">
        <f t="shared" si="137"/>
        <v>0</v>
      </c>
      <c r="P548" s="11"/>
      <c r="Q548" s="11"/>
      <c r="R548" s="11"/>
      <c r="S548" s="11">
        <f t="shared" si="138"/>
        <v>0</v>
      </c>
      <c r="T548" s="11">
        <f t="shared" si="139"/>
        <v>1666.6666666666667</v>
      </c>
      <c r="U548" s="11">
        <f t="shared" si="140"/>
        <v>0</v>
      </c>
      <c r="V548" s="24">
        <f t="shared" si="141"/>
        <v>0</v>
      </c>
      <c r="W548" s="11">
        <f>IF(V548&lt;=40000,0,
IF(V548&lt;=55000,(V548-40000)*10%,
IF(V548&lt;=70000,(V548-55000)*15%+1500,
IF(V548&lt;=200000,(V548-70000)*20%+1500+2250,
IF(V548&lt;=400000,(V548-200000)*22.5%+1500+2250+26000,
IF(V548&lt;=600000,(V548-400000)*25%+1500+2250+26000+45000,
IF(AND(V548&gt;600000,V548&lt;=1200000),(V548-400000)*25%+1500+2250+26000+45000
+IFERROR(LOOKUP(V548,{600001;700001;800001;900001},{4000;6750;10250;15250}),0),IF(V548&gt;1200000,((V548-1200000)*27.5%)+300000,0)
)))))))</f>
        <v>0</v>
      </c>
      <c r="X548" s="12">
        <f t="shared" si="142"/>
        <v>0</v>
      </c>
      <c r="Y548" s="12">
        <f t="shared" si="143"/>
        <v>0</v>
      </c>
      <c r="Z548" s="11"/>
      <c r="AA548" s="13">
        <f t="shared" si="144"/>
        <v>0</v>
      </c>
      <c r="AB548" s="12">
        <f t="shared" si="145"/>
        <v>0</v>
      </c>
      <c r="AC548" s="14">
        <f t="shared" si="133"/>
        <v>0</v>
      </c>
      <c r="AE548" s="19">
        <f t="shared" si="146"/>
        <v>0</v>
      </c>
      <c r="AF548" s="19"/>
      <c r="AG548" s="17"/>
      <c r="AK548" s="7"/>
      <c r="AL548" s="108">
        <f t="shared" si="134"/>
        <v>0</v>
      </c>
      <c r="AM548" s="108">
        <f t="shared" si="135"/>
        <v>0</v>
      </c>
      <c r="AN548" s="113"/>
    </row>
    <row r="549" spans="2:40" x14ac:dyDescent="0.2">
      <c r="B549" s="7"/>
      <c r="C549" s="8"/>
      <c r="D549" s="8"/>
      <c r="E549" s="9"/>
      <c r="F549" s="6"/>
      <c r="G549" s="8"/>
      <c r="H549" s="32"/>
      <c r="I549" s="10" t="str">
        <f t="shared" si="132"/>
        <v>21</v>
      </c>
      <c r="J549" s="11">
        <v>1</v>
      </c>
      <c r="K549" s="11"/>
      <c r="L549" s="11"/>
      <c r="M549" s="11">
        <f t="shared" si="136"/>
        <v>0</v>
      </c>
      <c r="N549" s="11"/>
      <c r="O549" s="11">
        <f t="shared" si="137"/>
        <v>0</v>
      </c>
      <c r="P549" s="11"/>
      <c r="Q549" s="11"/>
      <c r="R549" s="11"/>
      <c r="S549" s="11">
        <f t="shared" si="138"/>
        <v>0</v>
      </c>
      <c r="T549" s="11">
        <f t="shared" si="139"/>
        <v>1666.6666666666667</v>
      </c>
      <c r="U549" s="11">
        <f t="shared" si="140"/>
        <v>0</v>
      </c>
      <c r="V549" s="24">
        <f t="shared" si="141"/>
        <v>0</v>
      </c>
      <c r="W549" s="11">
        <f>IF(V549&lt;=40000,0,
IF(V549&lt;=55000,(V549-40000)*10%,
IF(V549&lt;=70000,(V549-55000)*15%+1500,
IF(V549&lt;=200000,(V549-70000)*20%+1500+2250,
IF(V549&lt;=400000,(V549-200000)*22.5%+1500+2250+26000,
IF(V549&lt;=600000,(V549-400000)*25%+1500+2250+26000+45000,
IF(AND(V549&gt;600000,V549&lt;=1200000),(V549-400000)*25%+1500+2250+26000+45000
+IFERROR(LOOKUP(V549,{600001;700001;800001;900001},{4000;6750;10250;15250}),0),IF(V549&gt;1200000,((V549-1200000)*27.5%)+300000,0)
)))))))</f>
        <v>0</v>
      </c>
      <c r="X549" s="12">
        <f t="shared" si="142"/>
        <v>0</v>
      </c>
      <c r="Y549" s="12">
        <f t="shared" si="143"/>
        <v>0</v>
      </c>
      <c r="Z549" s="11"/>
      <c r="AA549" s="13">
        <f t="shared" si="144"/>
        <v>0</v>
      </c>
      <c r="AB549" s="12">
        <f t="shared" si="145"/>
        <v>0</v>
      </c>
      <c r="AC549" s="14">
        <f t="shared" si="133"/>
        <v>0</v>
      </c>
      <c r="AE549" s="19">
        <f t="shared" si="146"/>
        <v>0</v>
      </c>
      <c r="AF549" s="19"/>
      <c r="AG549" s="17"/>
      <c r="AK549" s="7"/>
      <c r="AL549" s="108">
        <f t="shared" si="134"/>
        <v>0</v>
      </c>
      <c r="AM549" s="108">
        <f t="shared" si="135"/>
        <v>0</v>
      </c>
      <c r="AN549" s="113"/>
    </row>
    <row r="550" spans="2:40" x14ac:dyDescent="0.2">
      <c r="B550" s="7"/>
      <c r="C550" s="8"/>
      <c r="D550" s="8"/>
      <c r="E550" s="9"/>
      <c r="F550" s="6"/>
      <c r="G550" s="8"/>
      <c r="H550" s="32"/>
      <c r="I550" s="10" t="str">
        <f t="shared" si="132"/>
        <v>21</v>
      </c>
      <c r="J550" s="11">
        <v>1</v>
      </c>
      <c r="K550" s="11"/>
      <c r="L550" s="11"/>
      <c r="M550" s="11">
        <f t="shared" si="136"/>
        <v>0</v>
      </c>
      <c r="N550" s="11"/>
      <c r="O550" s="11">
        <f t="shared" si="137"/>
        <v>0</v>
      </c>
      <c r="P550" s="11"/>
      <c r="Q550" s="11"/>
      <c r="R550" s="11"/>
      <c r="S550" s="11">
        <f t="shared" si="138"/>
        <v>0</v>
      </c>
      <c r="T550" s="11">
        <f t="shared" si="139"/>
        <v>1666.6666666666667</v>
      </c>
      <c r="U550" s="11">
        <f t="shared" si="140"/>
        <v>0</v>
      </c>
      <c r="V550" s="24">
        <f t="shared" si="141"/>
        <v>0</v>
      </c>
      <c r="W550" s="11">
        <f>IF(V550&lt;=40000,0,
IF(V550&lt;=55000,(V550-40000)*10%,
IF(V550&lt;=70000,(V550-55000)*15%+1500,
IF(V550&lt;=200000,(V550-70000)*20%+1500+2250,
IF(V550&lt;=400000,(V550-200000)*22.5%+1500+2250+26000,
IF(V550&lt;=600000,(V550-400000)*25%+1500+2250+26000+45000,
IF(AND(V550&gt;600000,V550&lt;=1200000),(V550-400000)*25%+1500+2250+26000+45000
+IFERROR(LOOKUP(V550,{600001;700001;800001;900001},{4000;6750;10250;15250}),0),IF(V550&gt;1200000,((V550-1200000)*27.5%)+300000,0)
)))))))</f>
        <v>0</v>
      </c>
      <c r="X550" s="12">
        <f t="shared" si="142"/>
        <v>0</v>
      </c>
      <c r="Y550" s="12">
        <f t="shared" si="143"/>
        <v>0</v>
      </c>
      <c r="Z550" s="11"/>
      <c r="AA550" s="13">
        <f t="shared" si="144"/>
        <v>0</v>
      </c>
      <c r="AB550" s="12">
        <f t="shared" si="145"/>
        <v>0</v>
      </c>
      <c r="AC550" s="14">
        <f t="shared" si="133"/>
        <v>0</v>
      </c>
      <c r="AE550" s="19">
        <f t="shared" si="146"/>
        <v>0</v>
      </c>
      <c r="AF550" s="19"/>
      <c r="AG550" s="17"/>
      <c r="AK550" s="7"/>
      <c r="AL550" s="108">
        <f t="shared" si="134"/>
        <v>0</v>
      </c>
      <c r="AM550" s="108">
        <f t="shared" si="135"/>
        <v>0</v>
      </c>
      <c r="AN550" s="113"/>
    </row>
    <row r="551" spans="2:40" x14ac:dyDescent="0.2">
      <c r="B551" s="7"/>
      <c r="C551" s="8"/>
      <c r="D551" s="8"/>
      <c r="E551" s="9"/>
      <c r="F551" s="6"/>
      <c r="G551" s="8"/>
      <c r="H551" s="32"/>
      <c r="I551" s="10" t="str">
        <f t="shared" si="132"/>
        <v>21</v>
      </c>
      <c r="J551" s="11">
        <v>1</v>
      </c>
      <c r="K551" s="11"/>
      <c r="L551" s="11"/>
      <c r="M551" s="11">
        <f t="shared" si="136"/>
        <v>0</v>
      </c>
      <c r="N551" s="11"/>
      <c r="O551" s="11">
        <f t="shared" si="137"/>
        <v>0</v>
      </c>
      <c r="P551" s="11"/>
      <c r="Q551" s="11"/>
      <c r="R551" s="11"/>
      <c r="S551" s="11">
        <f t="shared" si="138"/>
        <v>0</v>
      </c>
      <c r="T551" s="11">
        <f t="shared" si="139"/>
        <v>1666.6666666666667</v>
      </c>
      <c r="U551" s="11">
        <f t="shared" si="140"/>
        <v>0</v>
      </c>
      <c r="V551" s="24">
        <f t="shared" si="141"/>
        <v>0</v>
      </c>
      <c r="W551" s="11">
        <f>IF(V551&lt;=40000,0,
IF(V551&lt;=55000,(V551-40000)*10%,
IF(V551&lt;=70000,(V551-55000)*15%+1500,
IF(V551&lt;=200000,(V551-70000)*20%+1500+2250,
IF(V551&lt;=400000,(V551-200000)*22.5%+1500+2250+26000,
IF(V551&lt;=600000,(V551-400000)*25%+1500+2250+26000+45000,
IF(AND(V551&gt;600000,V551&lt;=1200000),(V551-400000)*25%+1500+2250+26000+45000
+IFERROR(LOOKUP(V551,{600001;700001;800001;900001},{4000;6750;10250;15250}),0),IF(V551&gt;1200000,((V551-1200000)*27.5%)+300000,0)
)))))))</f>
        <v>0</v>
      </c>
      <c r="X551" s="12">
        <f t="shared" si="142"/>
        <v>0</v>
      </c>
      <c r="Y551" s="12">
        <f t="shared" si="143"/>
        <v>0</v>
      </c>
      <c r="Z551" s="11"/>
      <c r="AA551" s="13">
        <f t="shared" si="144"/>
        <v>0</v>
      </c>
      <c r="AB551" s="12">
        <f t="shared" si="145"/>
        <v>0</v>
      </c>
      <c r="AC551" s="14">
        <f t="shared" si="133"/>
        <v>0</v>
      </c>
      <c r="AE551" s="19">
        <f t="shared" si="146"/>
        <v>0</v>
      </c>
      <c r="AF551" s="19"/>
      <c r="AG551" s="17"/>
      <c r="AK551" s="7"/>
      <c r="AL551" s="108">
        <f t="shared" si="134"/>
        <v>0</v>
      </c>
      <c r="AM551" s="108">
        <f t="shared" si="135"/>
        <v>0</v>
      </c>
      <c r="AN551" s="113"/>
    </row>
    <row r="552" spans="2:40" x14ac:dyDescent="0.2">
      <c r="B552" s="7"/>
      <c r="C552" s="8"/>
      <c r="D552" s="8"/>
      <c r="E552" s="9"/>
      <c r="F552" s="6"/>
      <c r="G552" s="8"/>
      <c r="H552" s="32"/>
      <c r="I552" s="10" t="str">
        <f t="shared" si="132"/>
        <v>21</v>
      </c>
      <c r="J552" s="11">
        <v>1</v>
      </c>
      <c r="K552" s="11"/>
      <c r="L552" s="11"/>
      <c r="M552" s="11">
        <f t="shared" si="136"/>
        <v>0</v>
      </c>
      <c r="N552" s="11"/>
      <c r="O552" s="11">
        <f t="shared" si="137"/>
        <v>0</v>
      </c>
      <c r="P552" s="11"/>
      <c r="Q552" s="11"/>
      <c r="R552" s="11"/>
      <c r="S552" s="11">
        <f t="shared" si="138"/>
        <v>0</v>
      </c>
      <c r="T552" s="11">
        <f t="shared" si="139"/>
        <v>1666.6666666666667</v>
      </c>
      <c r="U552" s="11">
        <f t="shared" si="140"/>
        <v>0</v>
      </c>
      <c r="V552" s="24">
        <f t="shared" si="141"/>
        <v>0</v>
      </c>
      <c r="W552" s="11">
        <f>IF(V552&lt;=40000,0,
IF(V552&lt;=55000,(V552-40000)*10%,
IF(V552&lt;=70000,(V552-55000)*15%+1500,
IF(V552&lt;=200000,(V552-70000)*20%+1500+2250,
IF(V552&lt;=400000,(V552-200000)*22.5%+1500+2250+26000,
IF(V552&lt;=600000,(V552-400000)*25%+1500+2250+26000+45000,
IF(AND(V552&gt;600000,V552&lt;=1200000),(V552-400000)*25%+1500+2250+26000+45000
+IFERROR(LOOKUP(V552,{600001;700001;800001;900001},{4000;6750;10250;15250}),0),IF(V552&gt;1200000,((V552-1200000)*27.5%)+300000,0)
)))))))</f>
        <v>0</v>
      </c>
      <c r="X552" s="12">
        <f t="shared" si="142"/>
        <v>0</v>
      </c>
      <c r="Y552" s="12">
        <f t="shared" si="143"/>
        <v>0</v>
      </c>
      <c r="Z552" s="11"/>
      <c r="AA552" s="13">
        <f t="shared" si="144"/>
        <v>0</v>
      </c>
      <c r="AB552" s="12">
        <f t="shared" si="145"/>
        <v>0</v>
      </c>
      <c r="AC552" s="14">
        <f t="shared" si="133"/>
        <v>0</v>
      </c>
      <c r="AE552" s="19">
        <f t="shared" si="146"/>
        <v>0</v>
      </c>
      <c r="AF552" s="19"/>
      <c r="AG552" s="17"/>
      <c r="AK552" s="7"/>
      <c r="AL552" s="108">
        <f t="shared" si="134"/>
        <v>0</v>
      </c>
      <c r="AM552" s="108">
        <f t="shared" si="135"/>
        <v>0</v>
      </c>
      <c r="AN552" s="113"/>
    </row>
    <row r="553" spans="2:40" x14ac:dyDescent="0.2">
      <c r="B553" s="7"/>
      <c r="C553" s="8"/>
      <c r="D553" s="8"/>
      <c r="E553" s="9"/>
      <c r="F553" s="6"/>
      <c r="G553" s="8"/>
      <c r="H553" s="32"/>
      <c r="I553" s="10" t="str">
        <f t="shared" si="132"/>
        <v>21</v>
      </c>
      <c r="J553" s="11">
        <v>1</v>
      </c>
      <c r="K553" s="11"/>
      <c r="L553" s="11"/>
      <c r="M553" s="11">
        <f t="shared" si="136"/>
        <v>0</v>
      </c>
      <c r="N553" s="11"/>
      <c r="O553" s="11">
        <f t="shared" si="137"/>
        <v>0</v>
      </c>
      <c r="P553" s="11"/>
      <c r="Q553" s="11"/>
      <c r="R553" s="11"/>
      <c r="S553" s="11">
        <f t="shared" si="138"/>
        <v>0</v>
      </c>
      <c r="T553" s="11">
        <f t="shared" si="139"/>
        <v>1666.6666666666667</v>
      </c>
      <c r="U553" s="11">
        <f t="shared" si="140"/>
        <v>0</v>
      </c>
      <c r="V553" s="24">
        <f t="shared" si="141"/>
        <v>0</v>
      </c>
      <c r="W553" s="11">
        <f>IF(V553&lt;=40000,0,
IF(V553&lt;=55000,(V553-40000)*10%,
IF(V553&lt;=70000,(V553-55000)*15%+1500,
IF(V553&lt;=200000,(V553-70000)*20%+1500+2250,
IF(V553&lt;=400000,(V553-200000)*22.5%+1500+2250+26000,
IF(V553&lt;=600000,(V553-400000)*25%+1500+2250+26000+45000,
IF(AND(V553&gt;600000,V553&lt;=1200000),(V553-400000)*25%+1500+2250+26000+45000
+IFERROR(LOOKUP(V553,{600001;700001;800001;900001},{4000;6750;10250;15250}),0),IF(V553&gt;1200000,((V553-1200000)*27.5%)+300000,0)
)))))))</f>
        <v>0</v>
      </c>
      <c r="X553" s="12">
        <f t="shared" si="142"/>
        <v>0</v>
      </c>
      <c r="Y553" s="12">
        <f t="shared" si="143"/>
        <v>0</v>
      </c>
      <c r="Z553" s="11"/>
      <c r="AA553" s="13">
        <f t="shared" si="144"/>
        <v>0</v>
      </c>
      <c r="AB553" s="12">
        <f t="shared" si="145"/>
        <v>0</v>
      </c>
      <c r="AC553" s="14">
        <f t="shared" si="133"/>
        <v>0</v>
      </c>
      <c r="AE553" s="19">
        <f t="shared" si="146"/>
        <v>0</v>
      </c>
      <c r="AF553" s="19"/>
      <c r="AG553" s="17"/>
      <c r="AK553" s="7"/>
      <c r="AL553" s="108">
        <f t="shared" si="134"/>
        <v>0</v>
      </c>
      <c r="AM553" s="108">
        <f t="shared" si="135"/>
        <v>0</v>
      </c>
      <c r="AN553" s="113"/>
    </row>
    <row r="554" spans="2:40" x14ac:dyDescent="0.2">
      <c r="B554" s="7"/>
      <c r="C554" s="8"/>
      <c r="D554" s="8"/>
      <c r="E554" s="9"/>
      <c r="F554" s="6"/>
      <c r="G554" s="8"/>
      <c r="H554" s="32"/>
      <c r="I554" s="10" t="str">
        <f t="shared" si="132"/>
        <v>21</v>
      </c>
      <c r="J554" s="11">
        <v>1</v>
      </c>
      <c r="K554" s="11"/>
      <c r="L554" s="11"/>
      <c r="M554" s="11">
        <f t="shared" si="136"/>
        <v>0</v>
      </c>
      <c r="N554" s="11"/>
      <c r="O554" s="11">
        <f t="shared" si="137"/>
        <v>0</v>
      </c>
      <c r="P554" s="11"/>
      <c r="Q554" s="11"/>
      <c r="R554" s="11"/>
      <c r="S554" s="11">
        <f t="shared" si="138"/>
        <v>0</v>
      </c>
      <c r="T554" s="11">
        <f t="shared" si="139"/>
        <v>1666.6666666666667</v>
      </c>
      <c r="U554" s="11">
        <f t="shared" si="140"/>
        <v>0</v>
      </c>
      <c r="V554" s="24">
        <f t="shared" si="141"/>
        <v>0</v>
      </c>
      <c r="W554" s="11">
        <f>IF(V554&lt;=40000,0,
IF(V554&lt;=55000,(V554-40000)*10%,
IF(V554&lt;=70000,(V554-55000)*15%+1500,
IF(V554&lt;=200000,(V554-70000)*20%+1500+2250,
IF(V554&lt;=400000,(V554-200000)*22.5%+1500+2250+26000,
IF(V554&lt;=600000,(V554-400000)*25%+1500+2250+26000+45000,
IF(AND(V554&gt;600000,V554&lt;=1200000),(V554-400000)*25%+1500+2250+26000+45000
+IFERROR(LOOKUP(V554,{600001;700001;800001;900001},{4000;6750;10250;15250}),0),IF(V554&gt;1200000,((V554-1200000)*27.5%)+300000,0)
)))))))</f>
        <v>0</v>
      </c>
      <c r="X554" s="12">
        <f t="shared" si="142"/>
        <v>0</v>
      </c>
      <c r="Y554" s="12">
        <f t="shared" si="143"/>
        <v>0</v>
      </c>
      <c r="Z554" s="11"/>
      <c r="AA554" s="13">
        <f t="shared" si="144"/>
        <v>0</v>
      </c>
      <c r="AB554" s="12">
        <f t="shared" si="145"/>
        <v>0</v>
      </c>
      <c r="AC554" s="14">
        <f t="shared" si="133"/>
        <v>0</v>
      </c>
      <c r="AE554" s="19">
        <f t="shared" si="146"/>
        <v>0</v>
      </c>
      <c r="AF554" s="19"/>
      <c r="AG554" s="17"/>
      <c r="AK554" s="7"/>
      <c r="AL554" s="108">
        <f t="shared" si="134"/>
        <v>0</v>
      </c>
      <c r="AM554" s="108">
        <f t="shared" si="135"/>
        <v>0</v>
      </c>
      <c r="AN554" s="113"/>
    </row>
    <row r="555" spans="2:40" x14ac:dyDescent="0.2">
      <c r="B555" s="7"/>
      <c r="C555" s="8"/>
      <c r="D555" s="8"/>
      <c r="E555" s="9"/>
      <c r="F555" s="6"/>
      <c r="G555" s="8"/>
      <c r="H555" s="32"/>
      <c r="I555" s="10" t="str">
        <f t="shared" si="132"/>
        <v>21</v>
      </c>
      <c r="J555" s="11">
        <v>1</v>
      </c>
      <c r="K555" s="11"/>
      <c r="L555" s="11"/>
      <c r="M555" s="11">
        <f t="shared" si="136"/>
        <v>0</v>
      </c>
      <c r="N555" s="11"/>
      <c r="O555" s="11">
        <f t="shared" si="137"/>
        <v>0</v>
      </c>
      <c r="P555" s="11"/>
      <c r="Q555" s="11"/>
      <c r="R555" s="11"/>
      <c r="S555" s="11">
        <f t="shared" si="138"/>
        <v>0</v>
      </c>
      <c r="T555" s="11">
        <f t="shared" si="139"/>
        <v>1666.6666666666667</v>
      </c>
      <c r="U555" s="11">
        <f t="shared" si="140"/>
        <v>0</v>
      </c>
      <c r="V555" s="24">
        <f t="shared" si="141"/>
        <v>0</v>
      </c>
      <c r="W555" s="11">
        <f>IF(V555&lt;=40000,0,
IF(V555&lt;=55000,(V555-40000)*10%,
IF(V555&lt;=70000,(V555-55000)*15%+1500,
IF(V555&lt;=200000,(V555-70000)*20%+1500+2250,
IF(V555&lt;=400000,(V555-200000)*22.5%+1500+2250+26000,
IF(V555&lt;=600000,(V555-400000)*25%+1500+2250+26000+45000,
IF(AND(V555&gt;600000,V555&lt;=1200000),(V555-400000)*25%+1500+2250+26000+45000
+IFERROR(LOOKUP(V555,{600001;700001;800001;900001},{4000;6750;10250;15250}),0),IF(V555&gt;1200000,((V555-1200000)*27.5%)+300000,0)
)))))))</f>
        <v>0</v>
      </c>
      <c r="X555" s="12">
        <f t="shared" si="142"/>
        <v>0</v>
      </c>
      <c r="Y555" s="12">
        <f t="shared" si="143"/>
        <v>0</v>
      </c>
      <c r="Z555" s="11"/>
      <c r="AA555" s="13">
        <f t="shared" si="144"/>
        <v>0</v>
      </c>
      <c r="AB555" s="12">
        <f t="shared" si="145"/>
        <v>0</v>
      </c>
      <c r="AC555" s="14">
        <f t="shared" si="133"/>
        <v>0</v>
      </c>
      <c r="AE555" s="19">
        <f t="shared" si="146"/>
        <v>0</v>
      </c>
      <c r="AF555" s="19"/>
      <c r="AG555" s="17"/>
      <c r="AK555" s="7"/>
      <c r="AL555" s="108">
        <f t="shared" si="134"/>
        <v>0</v>
      </c>
      <c r="AM555" s="108">
        <f t="shared" si="135"/>
        <v>0</v>
      </c>
      <c r="AN555" s="113"/>
    </row>
    <row r="556" spans="2:40" x14ac:dyDescent="0.2">
      <c r="B556" s="7"/>
      <c r="C556" s="8"/>
      <c r="D556" s="8"/>
      <c r="E556" s="9"/>
      <c r="F556" s="6"/>
      <c r="G556" s="8"/>
      <c r="H556" s="32"/>
      <c r="I556" s="10" t="str">
        <f t="shared" si="132"/>
        <v>21</v>
      </c>
      <c r="J556" s="11">
        <v>1</v>
      </c>
      <c r="K556" s="11"/>
      <c r="L556" s="11"/>
      <c r="M556" s="11">
        <f t="shared" si="136"/>
        <v>0</v>
      </c>
      <c r="N556" s="11"/>
      <c r="O556" s="11">
        <f t="shared" si="137"/>
        <v>0</v>
      </c>
      <c r="P556" s="11"/>
      <c r="Q556" s="11"/>
      <c r="R556" s="11"/>
      <c r="S556" s="11">
        <f t="shared" si="138"/>
        <v>0</v>
      </c>
      <c r="T556" s="11">
        <f t="shared" si="139"/>
        <v>1666.6666666666667</v>
      </c>
      <c r="U556" s="11">
        <f t="shared" si="140"/>
        <v>0</v>
      </c>
      <c r="V556" s="24">
        <f t="shared" si="141"/>
        <v>0</v>
      </c>
      <c r="W556" s="11">
        <f>IF(V556&lt;=40000,0,
IF(V556&lt;=55000,(V556-40000)*10%,
IF(V556&lt;=70000,(V556-55000)*15%+1500,
IF(V556&lt;=200000,(V556-70000)*20%+1500+2250,
IF(V556&lt;=400000,(V556-200000)*22.5%+1500+2250+26000,
IF(V556&lt;=600000,(V556-400000)*25%+1500+2250+26000+45000,
IF(AND(V556&gt;600000,V556&lt;=1200000),(V556-400000)*25%+1500+2250+26000+45000
+IFERROR(LOOKUP(V556,{600001;700001;800001;900001},{4000;6750;10250;15250}),0),IF(V556&gt;1200000,((V556-1200000)*27.5%)+300000,0)
)))))))</f>
        <v>0</v>
      </c>
      <c r="X556" s="12">
        <f t="shared" si="142"/>
        <v>0</v>
      </c>
      <c r="Y556" s="12">
        <f t="shared" si="143"/>
        <v>0</v>
      </c>
      <c r="Z556" s="11"/>
      <c r="AA556" s="13">
        <f t="shared" si="144"/>
        <v>0</v>
      </c>
      <c r="AB556" s="12">
        <f t="shared" si="145"/>
        <v>0</v>
      </c>
      <c r="AC556" s="14">
        <f t="shared" si="133"/>
        <v>0</v>
      </c>
      <c r="AE556" s="19">
        <f t="shared" si="146"/>
        <v>0</v>
      </c>
      <c r="AF556" s="19"/>
      <c r="AG556" s="17"/>
      <c r="AK556" s="7"/>
      <c r="AL556" s="108">
        <f t="shared" si="134"/>
        <v>0</v>
      </c>
      <c r="AM556" s="108">
        <f t="shared" si="135"/>
        <v>0</v>
      </c>
      <c r="AN556" s="113"/>
    </row>
    <row r="557" spans="2:40" x14ac:dyDescent="0.2">
      <c r="B557" s="7"/>
      <c r="C557" s="8"/>
      <c r="D557" s="8"/>
      <c r="E557" s="9"/>
      <c r="F557" s="6"/>
      <c r="G557" s="8"/>
      <c r="H557" s="32"/>
      <c r="I557" s="10" t="str">
        <f t="shared" si="132"/>
        <v>21</v>
      </c>
      <c r="J557" s="11">
        <v>1</v>
      </c>
      <c r="K557" s="11"/>
      <c r="L557" s="11"/>
      <c r="M557" s="11">
        <f t="shared" si="136"/>
        <v>0</v>
      </c>
      <c r="N557" s="11"/>
      <c r="O557" s="11">
        <f t="shared" si="137"/>
        <v>0</v>
      </c>
      <c r="P557" s="11"/>
      <c r="Q557" s="11"/>
      <c r="R557" s="11"/>
      <c r="S557" s="11">
        <f t="shared" si="138"/>
        <v>0</v>
      </c>
      <c r="T557" s="11">
        <f t="shared" si="139"/>
        <v>1666.6666666666667</v>
      </c>
      <c r="U557" s="11">
        <f t="shared" si="140"/>
        <v>0</v>
      </c>
      <c r="V557" s="24">
        <f t="shared" si="141"/>
        <v>0</v>
      </c>
      <c r="W557" s="11">
        <f>IF(V557&lt;=40000,0,
IF(V557&lt;=55000,(V557-40000)*10%,
IF(V557&lt;=70000,(V557-55000)*15%+1500,
IF(V557&lt;=200000,(V557-70000)*20%+1500+2250,
IF(V557&lt;=400000,(V557-200000)*22.5%+1500+2250+26000,
IF(V557&lt;=600000,(V557-400000)*25%+1500+2250+26000+45000,
IF(AND(V557&gt;600000,V557&lt;=1200000),(V557-400000)*25%+1500+2250+26000+45000
+IFERROR(LOOKUP(V557,{600001;700001;800001;900001},{4000;6750;10250;15250}),0),IF(V557&gt;1200000,((V557-1200000)*27.5%)+300000,0)
)))))))</f>
        <v>0</v>
      </c>
      <c r="X557" s="12">
        <f t="shared" si="142"/>
        <v>0</v>
      </c>
      <c r="Y557" s="12">
        <f t="shared" si="143"/>
        <v>0</v>
      </c>
      <c r="Z557" s="11"/>
      <c r="AA557" s="13">
        <f t="shared" si="144"/>
        <v>0</v>
      </c>
      <c r="AB557" s="12">
        <f t="shared" si="145"/>
        <v>0</v>
      </c>
      <c r="AC557" s="14">
        <f t="shared" si="133"/>
        <v>0</v>
      </c>
      <c r="AE557" s="19">
        <f t="shared" si="146"/>
        <v>0</v>
      </c>
      <c r="AF557" s="19"/>
      <c r="AG557" s="17"/>
      <c r="AK557" s="7"/>
      <c r="AL557" s="108">
        <f t="shared" si="134"/>
        <v>0</v>
      </c>
      <c r="AM557" s="108">
        <f t="shared" si="135"/>
        <v>0</v>
      </c>
      <c r="AN557" s="113"/>
    </row>
    <row r="558" spans="2:40" x14ac:dyDescent="0.2">
      <c r="B558" s="7"/>
      <c r="C558" s="8"/>
      <c r="D558" s="8"/>
      <c r="E558" s="9"/>
      <c r="F558" s="6"/>
      <c r="G558" s="8"/>
      <c r="H558" s="32"/>
      <c r="I558" s="10" t="str">
        <f t="shared" si="132"/>
        <v>21</v>
      </c>
      <c r="J558" s="11">
        <v>1</v>
      </c>
      <c r="K558" s="11"/>
      <c r="L558" s="11"/>
      <c r="M558" s="11">
        <f t="shared" si="136"/>
        <v>0</v>
      </c>
      <c r="N558" s="11"/>
      <c r="O558" s="11">
        <f t="shared" si="137"/>
        <v>0</v>
      </c>
      <c r="P558" s="11"/>
      <c r="Q558" s="11"/>
      <c r="R558" s="11"/>
      <c r="S558" s="11">
        <f t="shared" si="138"/>
        <v>0</v>
      </c>
      <c r="T558" s="11">
        <f t="shared" si="139"/>
        <v>1666.6666666666667</v>
      </c>
      <c r="U558" s="11">
        <f t="shared" si="140"/>
        <v>0</v>
      </c>
      <c r="V558" s="24">
        <f t="shared" si="141"/>
        <v>0</v>
      </c>
      <c r="W558" s="11">
        <f>IF(V558&lt;=40000,0,
IF(V558&lt;=55000,(V558-40000)*10%,
IF(V558&lt;=70000,(V558-55000)*15%+1500,
IF(V558&lt;=200000,(V558-70000)*20%+1500+2250,
IF(V558&lt;=400000,(V558-200000)*22.5%+1500+2250+26000,
IF(V558&lt;=600000,(V558-400000)*25%+1500+2250+26000+45000,
IF(AND(V558&gt;600000,V558&lt;=1200000),(V558-400000)*25%+1500+2250+26000+45000
+IFERROR(LOOKUP(V558,{600001;700001;800001;900001},{4000;6750;10250;15250}),0),IF(V558&gt;1200000,((V558-1200000)*27.5%)+300000,0)
)))))))</f>
        <v>0</v>
      </c>
      <c r="X558" s="12">
        <f t="shared" si="142"/>
        <v>0</v>
      </c>
      <c r="Y558" s="12">
        <f t="shared" si="143"/>
        <v>0</v>
      </c>
      <c r="Z558" s="11"/>
      <c r="AA558" s="13">
        <f t="shared" si="144"/>
        <v>0</v>
      </c>
      <c r="AB558" s="12">
        <f t="shared" si="145"/>
        <v>0</v>
      </c>
      <c r="AC558" s="14">
        <f t="shared" si="133"/>
        <v>0</v>
      </c>
      <c r="AE558" s="19">
        <f t="shared" si="146"/>
        <v>0</v>
      </c>
      <c r="AF558" s="19"/>
      <c r="AG558" s="17"/>
      <c r="AK558" s="7"/>
      <c r="AL558" s="108">
        <f t="shared" si="134"/>
        <v>0</v>
      </c>
      <c r="AM558" s="108">
        <f t="shared" si="135"/>
        <v>0</v>
      </c>
      <c r="AN558" s="113"/>
    </row>
    <row r="559" spans="2:40" x14ac:dyDescent="0.2">
      <c r="B559" s="7"/>
      <c r="C559" s="8"/>
      <c r="D559" s="8"/>
      <c r="E559" s="9"/>
      <c r="F559" s="6"/>
      <c r="G559" s="8"/>
      <c r="H559" s="32"/>
      <c r="I559" s="10" t="str">
        <f t="shared" si="132"/>
        <v>21</v>
      </c>
      <c r="J559" s="11">
        <v>1</v>
      </c>
      <c r="K559" s="11"/>
      <c r="L559" s="11"/>
      <c r="M559" s="11">
        <f t="shared" si="136"/>
        <v>0</v>
      </c>
      <c r="N559" s="11"/>
      <c r="O559" s="11">
        <f t="shared" si="137"/>
        <v>0</v>
      </c>
      <c r="P559" s="11"/>
      <c r="Q559" s="11"/>
      <c r="R559" s="11"/>
      <c r="S559" s="11">
        <f t="shared" si="138"/>
        <v>0</v>
      </c>
      <c r="T559" s="11">
        <f t="shared" si="139"/>
        <v>1666.6666666666667</v>
      </c>
      <c r="U559" s="11">
        <f t="shared" si="140"/>
        <v>0</v>
      </c>
      <c r="V559" s="24">
        <f t="shared" si="141"/>
        <v>0</v>
      </c>
      <c r="W559" s="11">
        <f>IF(V559&lt;=40000,0,
IF(V559&lt;=55000,(V559-40000)*10%,
IF(V559&lt;=70000,(V559-55000)*15%+1500,
IF(V559&lt;=200000,(V559-70000)*20%+1500+2250,
IF(V559&lt;=400000,(V559-200000)*22.5%+1500+2250+26000,
IF(V559&lt;=600000,(V559-400000)*25%+1500+2250+26000+45000,
IF(AND(V559&gt;600000,V559&lt;=1200000),(V559-400000)*25%+1500+2250+26000+45000
+IFERROR(LOOKUP(V559,{600001;700001;800001;900001},{4000;6750;10250;15250}),0),IF(V559&gt;1200000,((V559-1200000)*27.5%)+300000,0)
)))))))</f>
        <v>0</v>
      </c>
      <c r="X559" s="12">
        <f t="shared" si="142"/>
        <v>0</v>
      </c>
      <c r="Y559" s="12">
        <f t="shared" si="143"/>
        <v>0</v>
      </c>
      <c r="Z559" s="11"/>
      <c r="AA559" s="13">
        <f t="shared" si="144"/>
        <v>0</v>
      </c>
      <c r="AB559" s="12">
        <f t="shared" si="145"/>
        <v>0</v>
      </c>
      <c r="AC559" s="14">
        <f t="shared" si="133"/>
        <v>0</v>
      </c>
      <c r="AE559" s="19">
        <f t="shared" si="146"/>
        <v>0</v>
      </c>
      <c r="AF559" s="19"/>
      <c r="AG559" s="17"/>
      <c r="AK559" s="7"/>
      <c r="AL559" s="108">
        <f t="shared" si="134"/>
        <v>0</v>
      </c>
      <c r="AM559" s="108">
        <f t="shared" si="135"/>
        <v>0</v>
      </c>
      <c r="AN559" s="113"/>
    </row>
    <row r="560" spans="2:40" x14ac:dyDescent="0.2">
      <c r="B560" s="7"/>
      <c r="C560" s="8"/>
      <c r="D560" s="8"/>
      <c r="E560" s="9"/>
      <c r="F560" s="6"/>
      <c r="G560" s="8"/>
      <c r="H560" s="32"/>
      <c r="I560" s="10" t="str">
        <f t="shared" si="132"/>
        <v>21</v>
      </c>
      <c r="J560" s="11">
        <v>1</v>
      </c>
      <c r="K560" s="11"/>
      <c r="L560" s="11"/>
      <c r="M560" s="11">
        <f t="shared" si="136"/>
        <v>0</v>
      </c>
      <c r="N560" s="11"/>
      <c r="O560" s="11">
        <f t="shared" si="137"/>
        <v>0</v>
      </c>
      <c r="P560" s="11"/>
      <c r="Q560" s="11"/>
      <c r="R560" s="11"/>
      <c r="S560" s="11">
        <f t="shared" si="138"/>
        <v>0</v>
      </c>
      <c r="T560" s="11">
        <f t="shared" si="139"/>
        <v>1666.6666666666667</v>
      </c>
      <c r="U560" s="11">
        <f t="shared" si="140"/>
        <v>0</v>
      </c>
      <c r="V560" s="24">
        <f t="shared" si="141"/>
        <v>0</v>
      </c>
      <c r="W560" s="11">
        <f>IF(V560&lt;=40000,0,
IF(V560&lt;=55000,(V560-40000)*10%,
IF(V560&lt;=70000,(V560-55000)*15%+1500,
IF(V560&lt;=200000,(V560-70000)*20%+1500+2250,
IF(V560&lt;=400000,(V560-200000)*22.5%+1500+2250+26000,
IF(V560&lt;=600000,(V560-400000)*25%+1500+2250+26000+45000,
IF(AND(V560&gt;600000,V560&lt;=1200000),(V560-400000)*25%+1500+2250+26000+45000
+IFERROR(LOOKUP(V560,{600001;700001;800001;900001},{4000;6750;10250;15250}),0),IF(V560&gt;1200000,((V560-1200000)*27.5%)+300000,0)
)))))))</f>
        <v>0</v>
      </c>
      <c r="X560" s="12">
        <f t="shared" si="142"/>
        <v>0</v>
      </c>
      <c r="Y560" s="12">
        <f t="shared" si="143"/>
        <v>0</v>
      </c>
      <c r="Z560" s="11"/>
      <c r="AA560" s="13">
        <f t="shared" si="144"/>
        <v>0</v>
      </c>
      <c r="AB560" s="12">
        <f t="shared" si="145"/>
        <v>0</v>
      </c>
      <c r="AC560" s="14">
        <f t="shared" si="133"/>
        <v>0</v>
      </c>
      <c r="AE560" s="19">
        <f t="shared" si="146"/>
        <v>0</v>
      </c>
      <c r="AF560" s="19"/>
      <c r="AG560" s="17"/>
      <c r="AK560" s="7"/>
      <c r="AL560" s="108">
        <f t="shared" si="134"/>
        <v>0</v>
      </c>
      <c r="AM560" s="108">
        <f t="shared" si="135"/>
        <v>0</v>
      </c>
      <c r="AN560" s="113"/>
    </row>
    <row r="561" spans="2:40" x14ac:dyDescent="0.2">
      <c r="B561" s="7"/>
      <c r="C561" s="8"/>
      <c r="D561" s="8"/>
      <c r="E561" s="9"/>
      <c r="F561" s="6"/>
      <c r="G561" s="8"/>
      <c r="H561" s="32"/>
      <c r="I561" s="10" t="str">
        <f t="shared" si="132"/>
        <v>21</v>
      </c>
      <c r="J561" s="11">
        <v>1</v>
      </c>
      <c r="K561" s="11"/>
      <c r="L561" s="11"/>
      <c r="M561" s="11">
        <f t="shared" si="136"/>
        <v>0</v>
      </c>
      <c r="N561" s="11"/>
      <c r="O561" s="11">
        <f t="shared" si="137"/>
        <v>0</v>
      </c>
      <c r="P561" s="11"/>
      <c r="Q561" s="11"/>
      <c r="R561" s="11"/>
      <c r="S561" s="11">
        <f t="shared" si="138"/>
        <v>0</v>
      </c>
      <c r="T561" s="11">
        <f t="shared" si="139"/>
        <v>1666.6666666666667</v>
      </c>
      <c r="U561" s="11">
        <f t="shared" si="140"/>
        <v>0</v>
      </c>
      <c r="V561" s="24">
        <f t="shared" si="141"/>
        <v>0</v>
      </c>
      <c r="W561" s="11">
        <f>IF(V561&lt;=40000,0,
IF(V561&lt;=55000,(V561-40000)*10%,
IF(V561&lt;=70000,(V561-55000)*15%+1500,
IF(V561&lt;=200000,(V561-70000)*20%+1500+2250,
IF(V561&lt;=400000,(V561-200000)*22.5%+1500+2250+26000,
IF(V561&lt;=600000,(V561-400000)*25%+1500+2250+26000+45000,
IF(AND(V561&gt;600000,V561&lt;=1200000),(V561-400000)*25%+1500+2250+26000+45000
+IFERROR(LOOKUP(V561,{600001;700001;800001;900001},{4000;6750;10250;15250}),0),IF(V561&gt;1200000,((V561-1200000)*27.5%)+300000,0)
)))))))</f>
        <v>0</v>
      </c>
      <c r="X561" s="12">
        <f t="shared" si="142"/>
        <v>0</v>
      </c>
      <c r="Y561" s="12">
        <f t="shared" si="143"/>
        <v>0</v>
      </c>
      <c r="Z561" s="11"/>
      <c r="AA561" s="13">
        <f t="shared" si="144"/>
        <v>0</v>
      </c>
      <c r="AB561" s="12">
        <f t="shared" si="145"/>
        <v>0</v>
      </c>
      <c r="AC561" s="14">
        <f t="shared" si="133"/>
        <v>0</v>
      </c>
      <c r="AE561" s="19">
        <f t="shared" si="146"/>
        <v>0</v>
      </c>
      <c r="AF561" s="19"/>
      <c r="AG561" s="17"/>
      <c r="AK561" s="7"/>
      <c r="AL561" s="108">
        <f t="shared" si="134"/>
        <v>0</v>
      </c>
      <c r="AM561" s="108">
        <f t="shared" si="135"/>
        <v>0</v>
      </c>
      <c r="AN561" s="113"/>
    </row>
    <row r="562" spans="2:40" x14ac:dyDescent="0.2">
      <c r="B562" s="7"/>
      <c r="C562" s="8"/>
      <c r="D562" s="8"/>
      <c r="E562" s="9"/>
      <c r="F562" s="6"/>
      <c r="G562" s="8"/>
      <c r="H562" s="32"/>
      <c r="I562" s="10" t="str">
        <f t="shared" si="132"/>
        <v>21</v>
      </c>
      <c r="J562" s="11">
        <v>1</v>
      </c>
      <c r="K562" s="11"/>
      <c r="L562" s="11"/>
      <c r="M562" s="11">
        <f t="shared" si="136"/>
        <v>0</v>
      </c>
      <c r="N562" s="11"/>
      <c r="O562" s="11">
        <f t="shared" si="137"/>
        <v>0</v>
      </c>
      <c r="P562" s="11"/>
      <c r="Q562" s="11"/>
      <c r="R562" s="11"/>
      <c r="S562" s="11">
        <f t="shared" si="138"/>
        <v>0</v>
      </c>
      <c r="T562" s="11">
        <f t="shared" si="139"/>
        <v>1666.6666666666667</v>
      </c>
      <c r="U562" s="11">
        <f t="shared" si="140"/>
        <v>0</v>
      </c>
      <c r="V562" s="24">
        <f t="shared" si="141"/>
        <v>0</v>
      </c>
      <c r="W562" s="11">
        <f>IF(V562&lt;=40000,0,
IF(V562&lt;=55000,(V562-40000)*10%,
IF(V562&lt;=70000,(V562-55000)*15%+1500,
IF(V562&lt;=200000,(V562-70000)*20%+1500+2250,
IF(V562&lt;=400000,(V562-200000)*22.5%+1500+2250+26000,
IF(V562&lt;=600000,(V562-400000)*25%+1500+2250+26000+45000,
IF(AND(V562&gt;600000,V562&lt;=1200000),(V562-400000)*25%+1500+2250+26000+45000
+IFERROR(LOOKUP(V562,{600001;700001;800001;900001},{4000;6750;10250;15250}),0),IF(V562&gt;1200000,((V562-1200000)*27.5%)+300000,0)
)))))))</f>
        <v>0</v>
      </c>
      <c r="X562" s="12">
        <f t="shared" si="142"/>
        <v>0</v>
      </c>
      <c r="Y562" s="12">
        <f t="shared" si="143"/>
        <v>0</v>
      </c>
      <c r="Z562" s="11"/>
      <c r="AA562" s="13">
        <f t="shared" si="144"/>
        <v>0</v>
      </c>
      <c r="AB562" s="12">
        <f t="shared" si="145"/>
        <v>0</v>
      </c>
      <c r="AC562" s="14">
        <f t="shared" si="133"/>
        <v>0</v>
      </c>
      <c r="AE562" s="19">
        <f t="shared" si="146"/>
        <v>0</v>
      </c>
      <c r="AF562" s="19"/>
      <c r="AG562" s="17"/>
      <c r="AK562" s="7"/>
      <c r="AL562" s="108">
        <f t="shared" si="134"/>
        <v>0</v>
      </c>
      <c r="AM562" s="108">
        <f t="shared" si="135"/>
        <v>0</v>
      </c>
      <c r="AN562" s="113"/>
    </row>
    <row r="563" spans="2:40" x14ac:dyDescent="0.2">
      <c r="B563" s="7"/>
      <c r="C563" s="8"/>
      <c r="D563" s="8"/>
      <c r="E563" s="9"/>
      <c r="F563" s="6"/>
      <c r="G563" s="8"/>
      <c r="H563" s="32"/>
      <c r="I563" s="10" t="str">
        <f t="shared" si="132"/>
        <v>21</v>
      </c>
      <c r="J563" s="11">
        <v>1</v>
      </c>
      <c r="K563" s="11"/>
      <c r="L563" s="11"/>
      <c r="M563" s="11">
        <f t="shared" si="136"/>
        <v>0</v>
      </c>
      <c r="N563" s="11"/>
      <c r="O563" s="11">
        <f t="shared" si="137"/>
        <v>0</v>
      </c>
      <c r="P563" s="11"/>
      <c r="Q563" s="11"/>
      <c r="R563" s="11"/>
      <c r="S563" s="11">
        <f t="shared" si="138"/>
        <v>0</v>
      </c>
      <c r="T563" s="11">
        <f t="shared" si="139"/>
        <v>1666.6666666666667</v>
      </c>
      <c r="U563" s="11">
        <f t="shared" si="140"/>
        <v>0</v>
      </c>
      <c r="V563" s="24">
        <f t="shared" si="141"/>
        <v>0</v>
      </c>
      <c r="W563" s="11">
        <f>IF(V563&lt;=40000,0,
IF(V563&lt;=55000,(V563-40000)*10%,
IF(V563&lt;=70000,(V563-55000)*15%+1500,
IF(V563&lt;=200000,(V563-70000)*20%+1500+2250,
IF(V563&lt;=400000,(V563-200000)*22.5%+1500+2250+26000,
IF(V563&lt;=600000,(V563-400000)*25%+1500+2250+26000+45000,
IF(AND(V563&gt;600000,V563&lt;=1200000),(V563-400000)*25%+1500+2250+26000+45000
+IFERROR(LOOKUP(V563,{600001;700001;800001;900001},{4000;6750;10250;15250}),0),IF(V563&gt;1200000,((V563-1200000)*27.5%)+300000,0)
)))))))</f>
        <v>0</v>
      </c>
      <c r="X563" s="12">
        <f t="shared" si="142"/>
        <v>0</v>
      </c>
      <c r="Y563" s="12">
        <f t="shared" si="143"/>
        <v>0</v>
      </c>
      <c r="Z563" s="11"/>
      <c r="AA563" s="13">
        <f t="shared" si="144"/>
        <v>0</v>
      </c>
      <c r="AB563" s="12">
        <f t="shared" si="145"/>
        <v>0</v>
      </c>
      <c r="AC563" s="14">
        <f t="shared" si="133"/>
        <v>0</v>
      </c>
      <c r="AE563" s="19">
        <f t="shared" si="146"/>
        <v>0</v>
      </c>
      <c r="AF563" s="19"/>
      <c r="AG563" s="17"/>
      <c r="AK563" s="7"/>
      <c r="AL563" s="108">
        <f t="shared" si="134"/>
        <v>0</v>
      </c>
      <c r="AM563" s="108">
        <f t="shared" si="135"/>
        <v>0</v>
      </c>
      <c r="AN563" s="113"/>
    </row>
    <row r="564" spans="2:40" x14ac:dyDescent="0.2">
      <c r="B564" s="7"/>
      <c r="C564" s="8"/>
      <c r="D564" s="8"/>
      <c r="E564" s="9"/>
      <c r="F564" s="6"/>
      <c r="G564" s="8"/>
      <c r="H564" s="32"/>
      <c r="I564" s="10" t="str">
        <f t="shared" si="132"/>
        <v>21</v>
      </c>
      <c r="J564" s="11">
        <v>1</v>
      </c>
      <c r="K564" s="11"/>
      <c r="L564" s="11"/>
      <c r="M564" s="11">
        <f t="shared" si="136"/>
        <v>0</v>
      </c>
      <c r="N564" s="11"/>
      <c r="O564" s="11">
        <f t="shared" si="137"/>
        <v>0</v>
      </c>
      <c r="P564" s="11"/>
      <c r="Q564" s="11"/>
      <c r="R564" s="11"/>
      <c r="S564" s="11">
        <f t="shared" si="138"/>
        <v>0</v>
      </c>
      <c r="T564" s="11">
        <f t="shared" si="139"/>
        <v>1666.6666666666667</v>
      </c>
      <c r="U564" s="11">
        <f t="shared" si="140"/>
        <v>0</v>
      </c>
      <c r="V564" s="24">
        <f t="shared" si="141"/>
        <v>0</v>
      </c>
      <c r="W564" s="11">
        <f>IF(V564&lt;=40000,0,
IF(V564&lt;=55000,(V564-40000)*10%,
IF(V564&lt;=70000,(V564-55000)*15%+1500,
IF(V564&lt;=200000,(V564-70000)*20%+1500+2250,
IF(V564&lt;=400000,(V564-200000)*22.5%+1500+2250+26000,
IF(V564&lt;=600000,(V564-400000)*25%+1500+2250+26000+45000,
IF(AND(V564&gt;600000,V564&lt;=1200000),(V564-400000)*25%+1500+2250+26000+45000
+IFERROR(LOOKUP(V564,{600001;700001;800001;900001},{4000;6750;10250;15250}),0),IF(V564&gt;1200000,((V564-1200000)*27.5%)+300000,0)
)))))))</f>
        <v>0</v>
      </c>
      <c r="X564" s="12">
        <f t="shared" si="142"/>
        <v>0</v>
      </c>
      <c r="Y564" s="12">
        <f t="shared" si="143"/>
        <v>0</v>
      </c>
      <c r="Z564" s="11"/>
      <c r="AA564" s="13">
        <f t="shared" si="144"/>
        <v>0</v>
      </c>
      <c r="AB564" s="12">
        <f t="shared" si="145"/>
        <v>0</v>
      </c>
      <c r="AC564" s="14">
        <f t="shared" si="133"/>
        <v>0</v>
      </c>
      <c r="AE564" s="19">
        <f t="shared" si="146"/>
        <v>0</v>
      </c>
      <c r="AF564" s="19"/>
      <c r="AG564" s="17"/>
      <c r="AK564" s="7"/>
      <c r="AL564" s="108">
        <f t="shared" si="134"/>
        <v>0</v>
      </c>
      <c r="AM564" s="108">
        <f t="shared" si="135"/>
        <v>0</v>
      </c>
      <c r="AN564" s="113"/>
    </row>
    <row r="565" spans="2:40" x14ac:dyDescent="0.2">
      <c r="B565" s="7"/>
      <c r="C565" s="8"/>
      <c r="D565" s="8"/>
      <c r="E565" s="9"/>
      <c r="F565" s="6"/>
      <c r="G565" s="8"/>
      <c r="H565" s="32"/>
      <c r="I565" s="10" t="str">
        <f t="shared" si="132"/>
        <v>21</v>
      </c>
      <c r="J565" s="11">
        <v>1</v>
      </c>
      <c r="K565" s="11"/>
      <c r="L565" s="11"/>
      <c r="M565" s="11">
        <f t="shared" si="136"/>
        <v>0</v>
      </c>
      <c r="N565" s="11"/>
      <c r="O565" s="11">
        <f t="shared" si="137"/>
        <v>0</v>
      </c>
      <c r="P565" s="11"/>
      <c r="Q565" s="11"/>
      <c r="R565" s="11"/>
      <c r="S565" s="11">
        <f t="shared" si="138"/>
        <v>0</v>
      </c>
      <c r="T565" s="11">
        <f t="shared" si="139"/>
        <v>1666.6666666666667</v>
      </c>
      <c r="U565" s="11">
        <f t="shared" si="140"/>
        <v>0</v>
      </c>
      <c r="V565" s="24">
        <f t="shared" si="141"/>
        <v>0</v>
      </c>
      <c r="W565" s="11">
        <f>IF(V565&lt;=40000,0,
IF(V565&lt;=55000,(V565-40000)*10%,
IF(V565&lt;=70000,(V565-55000)*15%+1500,
IF(V565&lt;=200000,(V565-70000)*20%+1500+2250,
IF(V565&lt;=400000,(V565-200000)*22.5%+1500+2250+26000,
IF(V565&lt;=600000,(V565-400000)*25%+1500+2250+26000+45000,
IF(AND(V565&gt;600000,V565&lt;=1200000),(V565-400000)*25%+1500+2250+26000+45000
+IFERROR(LOOKUP(V565,{600001;700001;800001;900001},{4000;6750;10250;15250}),0),IF(V565&gt;1200000,((V565-1200000)*27.5%)+300000,0)
)))))))</f>
        <v>0</v>
      </c>
      <c r="X565" s="12">
        <f t="shared" si="142"/>
        <v>0</v>
      </c>
      <c r="Y565" s="12">
        <f t="shared" si="143"/>
        <v>0</v>
      </c>
      <c r="Z565" s="11"/>
      <c r="AA565" s="13">
        <f t="shared" si="144"/>
        <v>0</v>
      </c>
      <c r="AB565" s="12">
        <f t="shared" si="145"/>
        <v>0</v>
      </c>
      <c r="AC565" s="14">
        <f t="shared" si="133"/>
        <v>0</v>
      </c>
      <c r="AE565" s="19">
        <f t="shared" si="146"/>
        <v>0</v>
      </c>
      <c r="AF565" s="19"/>
      <c r="AG565" s="17"/>
      <c r="AK565" s="7"/>
      <c r="AL565" s="108">
        <f t="shared" si="134"/>
        <v>0</v>
      </c>
      <c r="AM565" s="108">
        <f t="shared" si="135"/>
        <v>0</v>
      </c>
      <c r="AN565" s="113"/>
    </row>
    <row r="566" spans="2:40" x14ac:dyDescent="0.2">
      <c r="B566" s="7"/>
      <c r="C566" s="8"/>
      <c r="D566" s="8"/>
      <c r="E566" s="9"/>
      <c r="F566" s="6"/>
      <c r="G566" s="8"/>
      <c r="H566" s="32"/>
      <c r="I566" s="10" t="str">
        <f t="shared" si="132"/>
        <v>21</v>
      </c>
      <c r="J566" s="11">
        <v>1</v>
      </c>
      <c r="K566" s="11"/>
      <c r="L566" s="11"/>
      <c r="M566" s="11">
        <f t="shared" si="136"/>
        <v>0</v>
      </c>
      <c r="N566" s="11"/>
      <c r="O566" s="11">
        <f t="shared" si="137"/>
        <v>0</v>
      </c>
      <c r="P566" s="11"/>
      <c r="Q566" s="11"/>
      <c r="R566" s="11"/>
      <c r="S566" s="11">
        <f t="shared" si="138"/>
        <v>0</v>
      </c>
      <c r="T566" s="11">
        <f t="shared" si="139"/>
        <v>1666.6666666666667</v>
      </c>
      <c r="U566" s="11">
        <f t="shared" si="140"/>
        <v>0</v>
      </c>
      <c r="V566" s="24">
        <f t="shared" si="141"/>
        <v>0</v>
      </c>
      <c r="W566" s="11">
        <f>IF(V566&lt;=40000,0,
IF(V566&lt;=55000,(V566-40000)*10%,
IF(V566&lt;=70000,(V566-55000)*15%+1500,
IF(V566&lt;=200000,(V566-70000)*20%+1500+2250,
IF(V566&lt;=400000,(V566-200000)*22.5%+1500+2250+26000,
IF(V566&lt;=600000,(V566-400000)*25%+1500+2250+26000+45000,
IF(AND(V566&gt;600000,V566&lt;=1200000),(V566-400000)*25%+1500+2250+26000+45000
+IFERROR(LOOKUP(V566,{600001;700001;800001;900001},{4000;6750;10250;15250}),0),IF(V566&gt;1200000,((V566-1200000)*27.5%)+300000,0)
)))))))</f>
        <v>0</v>
      </c>
      <c r="X566" s="12">
        <f t="shared" si="142"/>
        <v>0</v>
      </c>
      <c r="Y566" s="12">
        <f t="shared" si="143"/>
        <v>0</v>
      </c>
      <c r="Z566" s="11"/>
      <c r="AA566" s="13">
        <f t="shared" si="144"/>
        <v>0</v>
      </c>
      <c r="AB566" s="12">
        <f t="shared" si="145"/>
        <v>0</v>
      </c>
      <c r="AC566" s="14">
        <f t="shared" si="133"/>
        <v>0</v>
      </c>
      <c r="AE566" s="19">
        <f t="shared" si="146"/>
        <v>0</v>
      </c>
      <c r="AF566" s="19"/>
      <c r="AG566" s="17"/>
      <c r="AK566" s="7"/>
      <c r="AL566" s="108">
        <f t="shared" si="134"/>
        <v>0</v>
      </c>
      <c r="AM566" s="108">
        <f t="shared" si="135"/>
        <v>0</v>
      </c>
      <c r="AN566" s="113"/>
    </row>
    <row r="567" spans="2:40" x14ac:dyDescent="0.2">
      <c r="B567" s="7"/>
      <c r="C567" s="8"/>
      <c r="D567" s="8"/>
      <c r="E567" s="9"/>
      <c r="F567" s="6"/>
      <c r="G567" s="8"/>
      <c r="H567" s="32"/>
      <c r="I567" s="10" t="str">
        <f t="shared" si="132"/>
        <v>21</v>
      </c>
      <c r="J567" s="11">
        <v>1</v>
      </c>
      <c r="K567" s="11"/>
      <c r="L567" s="11"/>
      <c r="M567" s="11">
        <f t="shared" si="136"/>
        <v>0</v>
      </c>
      <c r="N567" s="11"/>
      <c r="O567" s="11">
        <f t="shared" si="137"/>
        <v>0</v>
      </c>
      <c r="P567" s="11"/>
      <c r="Q567" s="11"/>
      <c r="R567" s="11"/>
      <c r="S567" s="11">
        <f t="shared" si="138"/>
        <v>0</v>
      </c>
      <c r="T567" s="11">
        <f t="shared" si="139"/>
        <v>1666.6666666666667</v>
      </c>
      <c r="U567" s="11">
        <f t="shared" si="140"/>
        <v>0</v>
      </c>
      <c r="V567" s="24">
        <f t="shared" si="141"/>
        <v>0</v>
      </c>
      <c r="W567" s="11">
        <f>IF(V567&lt;=40000,0,
IF(V567&lt;=55000,(V567-40000)*10%,
IF(V567&lt;=70000,(V567-55000)*15%+1500,
IF(V567&lt;=200000,(V567-70000)*20%+1500+2250,
IF(V567&lt;=400000,(V567-200000)*22.5%+1500+2250+26000,
IF(V567&lt;=600000,(V567-400000)*25%+1500+2250+26000+45000,
IF(AND(V567&gt;600000,V567&lt;=1200000),(V567-400000)*25%+1500+2250+26000+45000
+IFERROR(LOOKUP(V567,{600001;700001;800001;900001},{4000;6750;10250;15250}),0),IF(V567&gt;1200000,((V567-1200000)*27.5%)+300000,0)
)))))))</f>
        <v>0</v>
      </c>
      <c r="X567" s="12">
        <f t="shared" si="142"/>
        <v>0</v>
      </c>
      <c r="Y567" s="12">
        <f t="shared" si="143"/>
        <v>0</v>
      </c>
      <c r="Z567" s="11"/>
      <c r="AA567" s="13">
        <f t="shared" si="144"/>
        <v>0</v>
      </c>
      <c r="AB567" s="12">
        <f t="shared" si="145"/>
        <v>0</v>
      </c>
      <c r="AC567" s="14">
        <f t="shared" si="133"/>
        <v>0</v>
      </c>
      <c r="AE567" s="19">
        <f t="shared" si="146"/>
        <v>0</v>
      </c>
      <c r="AF567" s="19"/>
      <c r="AG567" s="17"/>
      <c r="AK567" s="7"/>
      <c r="AL567" s="108">
        <f t="shared" si="134"/>
        <v>0</v>
      </c>
      <c r="AM567" s="108">
        <f t="shared" si="135"/>
        <v>0</v>
      </c>
      <c r="AN567" s="113"/>
    </row>
    <row r="568" spans="2:40" x14ac:dyDescent="0.2">
      <c r="B568" s="7"/>
      <c r="C568" s="8"/>
      <c r="D568" s="8"/>
      <c r="E568" s="9"/>
      <c r="F568" s="6"/>
      <c r="G568" s="8"/>
      <c r="H568" s="32"/>
      <c r="I568" s="10" t="str">
        <f t="shared" si="132"/>
        <v>21</v>
      </c>
      <c r="J568" s="11">
        <v>1</v>
      </c>
      <c r="K568" s="11"/>
      <c r="L568" s="11"/>
      <c r="M568" s="11">
        <f t="shared" si="136"/>
        <v>0</v>
      </c>
      <c r="N568" s="11"/>
      <c r="O568" s="11">
        <f t="shared" si="137"/>
        <v>0</v>
      </c>
      <c r="P568" s="11"/>
      <c r="Q568" s="11"/>
      <c r="R568" s="11"/>
      <c r="S568" s="11">
        <f t="shared" si="138"/>
        <v>0</v>
      </c>
      <c r="T568" s="11">
        <f t="shared" si="139"/>
        <v>1666.6666666666667</v>
      </c>
      <c r="U568" s="11">
        <f t="shared" si="140"/>
        <v>0</v>
      </c>
      <c r="V568" s="24">
        <f t="shared" si="141"/>
        <v>0</v>
      </c>
      <c r="W568" s="11">
        <f>IF(V568&lt;=40000,0,
IF(V568&lt;=55000,(V568-40000)*10%,
IF(V568&lt;=70000,(V568-55000)*15%+1500,
IF(V568&lt;=200000,(V568-70000)*20%+1500+2250,
IF(V568&lt;=400000,(V568-200000)*22.5%+1500+2250+26000,
IF(V568&lt;=600000,(V568-400000)*25%+1500+2250+26000+45000,
IF(AND(V568&gt;600000,V568&lt;=1200000),(V568-400000)*25%+1500+2250+26000+45000
+IFERROR(LOOKUP(V568,{600001;700001;800001;900001},{4000;6750;10250;15250}),0),IF(V568&gt;1200000,((V568-1200000)*27.5%)+300000,0)
)))))))</f>
        <v>0</v>
      </c>
      <c r="X568" s="12">
        <f t="shared" si="142"/>
        <v>0</v>
      </c>
      <c r="Y568" s="12">
        <f t="shared" si="143"/>
        <v>0</v>
      </c>
      <c r="Z568" s="11"/>
      <c r="AA568" s="13">
        <f t="shared" si="144"/>
        <v>0</v>
      </c>
      <c r="AB568" s="12">
        <f t="shared" si="145"/>
        <v>0</v>
      </c>
      <c r="AC568" s="14">
        <f t="shared" si="133"/>
        <v>0</v>
      </c>
      <c r="AE568" s="19">
        <f t="shared" si="146"/>
        <v>0</v>
      </c>
      <c r="AF568" s="19"/>
      <c r="AG568" s="17"/>
      <c r="AK568" s="7"/>
      <c r="AL568" s="108">
        <f t="shared" si="134"/>
        <v>0</v>
      </c>
      <c r="AM568" s="108">
        <f t="shared" si="135"/>
        <v>0</v>
      </c>
      <c r="AN568" s="113"/>
    </row>
    <row r="569" spans="2:40" x14ac:dyDescent="0.2">
      <c r="B569" s="7"/>
      <c r="C569" s="8"/>
      <c r="D569" s="8"/>
      <c r="E569" s="9"/>
      <c r="F569" s="6"/>
      <c r="G569" s="8"/>
      <c r="H569" s="32"/>
      <c r="I569" s="10" t="str">
        <f t="shared" si="132"/>
        <v>21</v>
      </c>
      <c r="J569" s="11">
        <v>1</v>
      </c>
      <c r="K569" s="11"/>
      <c r="L569" s="11"/>
      <c r="M569" s="11">
        <f t="shared" si="136"/>
        <v>0</v>
      </c>
      <c r="N569" s="11"/>
      <c r="O569" s="11">
        <f t="shared" si="137"/>
        <v>0</v>
      </c>
      <c r="P569" s="11"/>
      <c r="Q569" s="11"/>
      <c r="R569" s="11"/>
      <c r="S569" s="11">
        <f t="shared" si="138"/>
        <v>0</v>
      </c>
      <c r="T569" s="11">
        <f t="shared" si="139"/>
        <v>1666.6666666666667</v>
      </c>
      <c r="U569" s="11">
        <f t="shared" si="140"/>
        <v>0</v>
      </c>
      <c r="V569" s="24">
        <f t="shared" si="141"/>
        <v>0</v>
      </c>
      <c r="W569" s="11">
        <f>IF(V569&lt;=40000,0,
IF(V569&lt;=55000,(V569-40000)*10%,
IF(V569&lt;=70000,(V569-55000)*15%+1500,
IF(V569&lt;=200000,(V569-70000)*20%+1500+2250,
IF(V569&lt;=400000,(V569-200000)*22.5%+1500+2250+26000,
IF(V569&lt;=600000,(V569-400000)*25%+1500+2250+26000+45000,
IF(AND(V569&gt;600000,V569&lt;=1200000),(V569-400000)*25%+1500+2250+26000+45000
+IFERROR(LOOKUP(V569,{600001;700001;800001;900001},{4000;6750;10250;15250}),0),IF(V569&gt;1200000,((V569-1200000)*27.5%)+300000,0)
)))))))</f>
        <v>0</v>
      </c>
      <c r="X569" s="12">
        <f t="shared" si="142"/>
        <v>0</v>
      </c>
      <c r="Y569" s="12">
        <f t="shared" si="143"/>
        <v>0</v>
      </c>
      <c r="Z569" s="11"/>
      <c r="AA569" s="13">
        <f t="shared" si="144"/>
        <v>0</v>
      </c>
      <c r="AB569" s="12">
        <f t="shared" si="145"/>
        <v>0</v>
      </c>
      <c r="AC569" s="14">
        <f t="shared" si="133"/>
        <v>0</v>
      </c>
      <c r="AE569" s="19">
        <f t="shared" si="146"/>
        <v>0</v>
      </c>
      <c r="AF569" s="19"/>
      <c r="AG569" s="17"/>
      <c r="AK569" s="7"/>
      <c r="AL569" s="108">
        <f t="shared" si="134"/>
        <v>0</v>
      </c>
      <c r="AM569" s="108">
        <f t="shared" si="135"/>
        <v>0</v>
      </c>
      <c r="AN569" s="113"/>
    </row>
    <row r="570" spans="2:40" x14ac:dyDescent="0.2">
      <c r="B570" s="7"/>
      <c r="C570" s="8"/>
      <c r="D570" s="8"/>
      <c r="E570" s="9"/>
      <c r="F570" s="6"/>
      <c r="G570" s="8"/>
      <c r="H570" s="32"/>
      <c r="I570" s="10" t="str">
        <f t="shared" si="132"/>
        <v>21</v>
      </c>
      <c r="J570" s="11">
        <v>1</v>
      </c>
      <c r="K570" s="11"/>
      <c r="L570" s="11"/>
      <c r="M570" s="11">
        <f t="shared" si="136"/>
        <v>0</v>
      </c>
      <c r="N570" s="11"/>
      <c r="O570" s="11">
        <f t="shared" si="137"/>
        <v>0</v>
      </c>
      <c r="P570" s="11"/>
      <c r="Q570" s="11"/>
      <c r="R570" s="11"/>
      <c r="S570" s="11">
        <f t="shared" si="138"/>
        <v>0</v>
      </c>
      <c r="T570" s="11">
        <f t="shared" si="139"/>
        <v>1666.6666666666667</v>
      </c>
      <c r="U570" s="11">
        <f t="shared" si="140"/>
        <v>0</v>
      </c>
      <c r="V570" s="24">
        <f t="shared" si="141"/>
        <v>0</v>
      </c>
      <c r="W570" s="11">
        <f>IF(V570&lt;=40000,0,
IF(V570&lt;=55000,(V570-40000)*10%,
IF(V570&lt;=70000,(V570-55000)*15%+1500,
IF(V570&lt;=200000,(V570-70000)*20%+1500+2250,
IF(V570&lt;=400000,(V570-200000)*22.5%+1500+2250+26000,
IF(V570&lt;=600000,(V570-400000)*25%+1500+2250+26000+45000,
IF(AND(V570&gt;600000,V570&lt;=1200000),(V570-400000)*25%+1500+2250+26000+45000
+IFERROR(LOOKUP(V570,{600001;700001;800001;900001},{4000;6750;10250;15250}),0),IF(V570&gt;1200000,((V570-1200000)*27.5%)+300000,0)
)))))))</f>
        <v>0</v>
      </c>
      <c r="X570" s="12">
        <f t="shared" si="142"/>
        <v>0</v>
      </c>
      <c r="Y570" s="12">
        <f t="shared" si="143"/>
        <v>0</v>
      </c>
      <c r="Z570" s="11"/>
      <c r="AA570" s="13">
        <f t="shared" si="144"/>
        <v>0</v>
      </c>
      <c r="AB570" s="12">
        <f t="shared" si="145"/>
        <v>0</v>
      </c>
      <c r="AC570" s="14">
        <f t="shared" si="133"/>
        <v>0</v>
      </c>
      <c r="AE570" s="19">
        <f t="shared" si="146"/>
        <v>0</v>
      </c>
      <c r="AF570" s="19"/>
      <c r="AG570" s="17"/>
      <c r="AK570" s="7"/>
      <c r="AL570" s="108">
        <f t="shared" si="134"/>
        <v>0</v>
      </c>
      <c r="AM570" s="108">
        <f t="shared" si="135"/>
        <v>0</v>
      </c>
      <c r="AN570" s="113"/>
    </row>
    <row r="571" spans="2:40" x14ac:dyDescent="0.2">
      <c r="B571" s="7"/>
      <c r="C571" s="8"/>
      <c r="D571" s="8"/>
      <c r="E571" s="9"/>
      <c r="F571" s="6"/>
      <c r="G571" s="8"/>
      <c r="H571" s="32"/>
      <c r="I571" s="10" t="str">
        <f t="shared" si="132"/>
        <v>21</v>
      </c>
      <c r="J571" s="11">
        <v>1</v>
      </c>
      <c r="K571" s="11"/>
      <c r="L571" s="11"/>
      <c r="M571" s="11">
        <f t="shared" si="136"/>
        <v>0</v>
      </c>
      <c r="N571" s="11"/>
      <c r="O571" s="11">
        <f t="shared" si="137"/>
        <v>0</v>
      </c>
      <c r="P571" s="11"/>
      <c r="Q571" s="11"/>
      <c r="R571" s="11"/>
      <c r="S571" s="11">
        <f t="shared" si="138"/>
        <v>0</v>
      </c>
      <c r="T571" s="11">
        <f t="shared" si="139"/>
        <v>1666.6666666666667</v>
      </c>
      <c r="U571" s="11">
        <f t="shared" si="140"/>
        <v>0</v>
      </c>
      <c r="V571" s="24">
        <f t="shared" si="141"/>
        <v>0</v>
      </c>
      <c r="W571" s="11">
        <f>IF(V571&lt;=40000,0,
IF(V571&lt;=55000,(V571-40000)*10%,
IF(V571&lt;=70000,(V571-55000)*15%+1500,
IF(V571&lt;=200000,(V571-70000)*20%+1500+2250,
IF(V571&lt;=400000,(V571-200000)*22.5%+1500+2250+26000,
IF(V571&lt;=600000,(V571-400000)*25%+1500+2250+26000+45000,
IF(AND(V571&gt;600000,V571&lt;=1200000),(V571-400000)*25%+1500+2250+26000+45000
+IFERROR(LOOKUP(V571,{600001;700001;800001;900001},{4000;6750;10250;15250}),0),IF(V571&gt;1200000,((V571-1200000)*27.5%)+300000,0)
)))))))</f>
        <v>0</v>
      </c>
      <c r="X571" s="12">
        <f t="shared" si="142"/>
        <v>0</v>
      </c>
      <c r="Y571" s="12">
        <f t="shared" si="143"/>
        <v>0</v>
      </c>
      <c r="Z571" s="11"/>
      <c r="AA571" s="13">
        <f t="shared" si="144"/>
        <v>0</v>
      </c>
      <c r="AB571" s="12">
        <f t="shared" si="145"/>
        <v>0</v>
      </c>
      <c r="AC571" s="14">
        <f t="shared" si="133"/>
        <v>0</v>
      </c>
      <c r="AE571" s="19">
        <f t="shared" si="146"/>
        <v>0</v>
      </c>
      <c r="AF571" s="19"/>
      <c r="AG571" s="17"/>
      <c r="AK571" s="7"/>
      <c r="AL571" s="108">
        <f t="shared" si="134"/>
        <v>0</v>
      </c>
      <c r="AM571" s="108">
        <f t="shared" si="135"/>
        <v>0</v>
      </c>
      <c r="AN571" s="113"/>
    </row>
    <row r="572" spans="2:40" x14ac:dyDescent="0.2">
      <c r="B572" s="7"/>
      <c r="C572" s="8"/>
      <c r="D572" s="8"/>
      <c r="E572" s="9"/>
      <c r="F572" s="6"/>
      <c r="G572" s="8"/>
      <c r="H572" s="32"/>
      <c r="I572" s="10" t="str">
        <f t="shared" si="132"/>
        <v>21</v>
      </c>
      <c r="J572" s="11">
        <v>1</v>
      </c>
      <c r="K572" s="11"/>
      <c r="L572" s="11"/>
      <c r="M572" s="11">
        <f t="shared" si="136"/>
        <v>0</v>
      </c>
      <c r="N572" s="11"/>
      <c r="O572" s="11">
        <f t="shared" si="137"/>
        <v>0</v>
      </c>
      <c r="P572" s="11"/>
      <c r="Q572" s="11"/>
      <c r="R572" s="11"/>
      <c r="S572" s="11">
        <f t="shared" si="138"/>
        <v>0</v>
      </c>
      <c r="T572" s="11">
        <f t="shared" si="139"/>
        <v>1666.6666666666667</v>
      </c>
      <c r="U572" s="11">
        <f t="shared" si="140"/>
        <v>0</v>
      </c>
      <c r="V572" s="24">
        <f t="shared" si="141"/>
        <v>0</v>
      </c>
      <c r="W572" s="11">
        <f>IF(V572&lt;=40000,0,
IF(V572&lt;=55000,(V572-40000)*10%,
IF(V572&lt;=70000,(V572-55000)*15%+1500,
IF(V572&lt;=200000,(V572-70000)*20%+1500+2250,
IF(V572&lt;=400000,(V572-200000)*22.5%+1500+2250+26000,
IF(V572&lt;=600000,(V572-400000)*25%+1500+2250+26000+45000,
IF(AND(V572&gt;600000,V572&lt;=1200000),(V572-400000)*25%+1500+2250+26000+45000
+IFERROR(LOOKUP(V572,{600001;700001;800001;900001},{4000;6750;10250;15250}),0),IF(V572&gt;1200000,((V572-1200000)*27.5%)+300000,0)
)))))))</f>
        <v>0</v>
      </c>
      <c r="X572" s="12">
        <f t="shared" si="142"/>
        <v>0</v>
      </c>
      <c r="Y572" s="12">
        <f t="shared" si="143"/>
        <v>0</v>
      </c>
      <c r="Z572" s="11"/>
      <c r="AA572" s="13">
        <f t="shared" si="144"/>
        <v>0</v>
      </c>
      <c r="AB572" s="12">
        <f t="shared" si="145"/>
        <v>0</v>
      </c>
      <c r="AC572" s="14">
        <f t="shared" si="133"/>
        <v>0</v>
      </c>
      <c r="AE572" s="19">
        <f t="shared" si="146"/>
        <v>0</v>
      </c>
      <c r="AF572" s="19"/>
      <c r="AG572" s="17"/>
      <c r="AK572" s="7"/>
      <c r="AL572" s="108">
        <f t="shared" si="134"/>
        <v>0</v>
      </c>
      <c r="AM572" s="108">
        <f t="shared" si="135"/>
        <v>0</v>
      </c>
      <c r="AN572" s="113"/>
    </row>
    <row r="573" spans="2:40" x14ac:dyDescent="0.2">
      <c r="B573" s="7"/>
      <c r="C573" s="8"/>
      <c r="D573" s="8"/>
      <c r="E573" s="9"/>
      <c r="F573" s="6"/>
      <c r="G573" s="8"/>
      <c r="H573" s="32"/>
      <c r="I573" s="10" t="str">
        <f t="shared" si="132"/>
        <v>21</v>
      </c>
      <c r="J573" s="11">
        <v>1</v>
      </c>
      <c r="K573" s="11"/>
      <c r="L573" s="11"/>
      <c r="M573" s="11">
        <f t="shared" si="136"/>
        <v>0</v>
      </c>
      <c r="N573" s="11"/>
      <c r="O573" s="11">
        <f t="shared" si="137"/>
        <v>0</v>
      </c>
      <c r="P573" s="11"/>
      <c r="Q573" s="11"/>
      <c r="R573" s="11"/>
      <c r="S573" s="11">
        <f t="shared" si="138"/>
        <v>0</v>
      </c>
      <c r="T573" s="11">
        <f t="shared" si="139"/>
        <v>1666.6666666666667</v>
      </c>
      <c r="U573" s="11">
        <f t="shared" si="140"/>
        <v>0</v>
      </c>
      <c r="V573" s="24">
        <f t="shared" si="141"/>
        <v>0</v>
      </c>
      <c r="W573" s="11">
        <f>IF(V573&lt;=40000,0,
IF(V573&lt;=55000,(V573-40000)*10%,
IF(V573&lt;=70000,(V573-55000)*15%+1500,
IF(V573&lt;=200000,(V573-70000)*20%+1500+2250,
IF(V573&lt;=400000,(V573-200000)*22.5%+1500+2250+26000,
IF(V573&lt;=600000,(V573-400000)*25%+1500+2250+26000+45000,
IF(AND(V573&gt;600000,V573&lt;=1200000),(V573-400000)*25%+1500+2250+26000+45000
+IFERROR(LOOKUP(V573,{600001;700001;800001;900001},{4000;6750;10250;15250}),0),IF(V573&gt;1200000,((V573-1200000)*27.5%)+300000,0)
)))))))</f>
        <v>0</v>
      </c>
      <c r="X573" s="12">
        <f t="shared" si="142"/>
        <v>0</v>
      </c>
      <c r="Y573" s="12">
        <f t="shared" si="143"/>
        <v>0</v>
      </c>
      <c r="Z573" s="11"/>
      <c r="AA573" s="13">
        <f t="shared" si="144"/>
        <v>0</v>
      </c>
      <c r="AB573" s="12">
        <f t="shared" si="145"/>
        <v>0</v>
      </c>
      <c r="AC573" s="14">
        <f t="shared" si="133"/>
        <v>0</v>
      </c>
      <c r="AE573" s="19">
        <f t="shared" si="146"/>
        <v>0</v>
      </c>
      <c r="AF573" s="19"/>
      <c r="AG573" s="17"/>
      <c r="AK573" s="7"/>
      <c r="AL573" s="108">
        <f t="shared" si="134"/>
        <v>0</v>
      </c>
      <c r="AM573" s="108">
        <f t="shared" si="135"/>
        <v>0</v>
      </c>
      <c r="AN573" s="113"/>
    </row>
    <row r="574" spans="2:40" x14ac:dyDescent="0.2">
      <c r="B574" s="7"/>
      <c r="C574" s="8"/>
      <c r="D574" s="8"/>
      <c r="E574" s="9"/>
      <c r="F574" s="6"/>
      <c r="G574" s="8"/>
      <c r="H574" s="32"/>
      <c r="I574" s="10" t="str">
        <f t="shared" si="132"/>
        <v>21</v>
      </c>
      <c r="J574" s="11">
        <v>1</v>
      </c>
      <c r="K574" s="11"/>
      <c r="L574" s="11"/>
      <c r="M574" s="11">
        <f t="shared" si="136"/>
        <v>0</v>
      </c>
      <c r="N574" s="11"/>
      <c r="O574" s="11">
        <f t="shared" si="137"/>
        <v>0</v>
      </c>
      <c r="P574" s="11"/>
      <c r="Q574" s="11"/>
      <c r="R574" s="11"/>
      <c r="S574" s="11">
        <f t="shared" si="138"/>
        <v>0</v>
      </c>
      <c r="T574" s="11">
        <f t="shared" si="139"/>
        <v>1666.6666666666667</v>
      </c>
      <c r="U574" s="11">
        <f t="shared" si="140"/>
        <v>0</v>
      </c>
      <c r="V574" s="24">
        <f t="shared" si="141"/>
        <v>0</v>
      </c>
      <c r="W574" s="11">
        <f>IF(V574&lt;=40000,0,
IF(V574&lt;=55000,(V574-40000)*10%,
IF(V574&lt;=70000,(V574-55000)*15%+1500,
IF(V574&lt;=200000,(V574-70000)*20%+1500+2250,
IF(V574&lt;=400000,(V574-200000)*22.5%+1500+2250+26000,
IF(V574&lt;=600000,(V574-400000)*25%+1500+2250+26000+45000,
IF(AND(V574&gt;600000,V574&lt;=1200000),(V574-400000)*25%+1500+2250+26000+45000
+IFERROR(LOOKUP(V574,{600001;700001;800001;900001},{4000;6750;10250;15250}),0),IF(V574&gt;1200000,((V574-1200000)*27.5%)+300000,0)
)))))))</f>
        <v>0</v>
      </c>
      <c r="X574" s="12">
        <f t="shared" si="142"/>
        <v>0</v>
      </c>
      <c r="Y574" s="12">
        <f t="shared" si="143"/>
        <v>0</v>
      </c>
      <c r="Z574" s="11"/>
      <c r="AA574" s="13">
        <f t="shared" si="144"/>
        <v>0</v>
      </c>
      <c r="AB574" s="12">
        <f t="shared" si="145"/>
        <v>0</v>
      </c>
      <c r="AC574" s="14">
        <f t="shared" si="133"/>
        <v>0</v>
      </c>
      <c r="AE574" s="19">
        <f t="shared" si="146"/>
        <v>0</v>
      </c>
      <c r="AF574" s="19"/>
      <c r="AG574" s="17"/>
      <c r="AK574" s="7"/>
      <c r="AL574" s="108">
        <f t="shared" si="134"/>
        <v>0</v>
      </c>
      <c r="AM574" s="108">
        <f t="shared" si="135"/>
        <v>0</v>
      </c>
      <c r="AN574" s="113"/>
    </row>
    <row r="575" spans="2:40" x14ac:dyDescent="0.2">
      <c r="B575" s="7"/>
      <c r="C575" s="8"/>
      <c r="D575" s="8"/>
      <c r="E575" s="9"/>
      <c r="F575" s="6"/>
      <c r="G575" s="8"/>
      <c r="H575" s="32"/>
      <c r="I575" s="10" t="str">
        <f t="shared" si="132"/>
        <v>21</v>
      </c>
      <c r="J575" s="11">
        <v>1</v>
      </c>
      <c r="K575" s="11"/>
      <c r="L575" s="11"/>
      <c r="M575" s="11">
        <f t="shared" si="136"/>
        <v>0</v>
      </c>
      <c r="N575" s="11"/>
      <c r="O575" s="11">
        <f t="shared" si="137"/>
        <v>0</v>
      </c>
      <c r="P575" s="11"/>
      <c r="Q575" s="11"/>
      <c r="R575" s="11"/>
      <c r="S575" s="11">
        <f t="shared" si="138"/>
        <v>0</v>
      </c>
      <c r="T575" s="11">
        <f t="shared" si="139"/>
        <v>1666.6666666666667</v>
      </c>
      <c r="U575" s="11">
        <f t="shared" si="140"/>
        <v>0</v>
      </c>
      <c r="V575" s="24">
        <f t="shared" si="141"/>
        <v>0</v>
      </c>
      <c r="W575" s="11">
        <f>IF(V575&lt;=40000,0,
IF(V575&lt;=55000,(V575-40000)*10%,
IF(V575&lt;=70000,(V575-55000)*15%+1500,
IF(V575&lt;=200000,(V575-70000)*20%+1500+2250,
IF(V575&lt;=400000,(V575-200000)*22.5%+1500+2250+26000,
IF(V575&lt;=600000,(V575-400000)*25%+1500+2250+26000+45000,
IF(AND(V575&gt;600000,V575&lt;=1200000),(V575-400000)*25%+1500+2250+26000+45000
+IFERROR(LOOKUP(V575,{600001;700001;800001;900001},{4000;6750;10250;15250}),0),IF(V575&gt;1200000,((V575-1200000)*27.5%)+300000,0)
)))))))</f>
        <v>0</v>
      </c>
      <c r="X575" s="12">
        <f t="shared" si="142"/>
        <v>0</v>
      </c>
      <c r="Y575" s="12">
        <f t="shared" si="143"/>
        <v>0</v>
      </c>
      <c r="Z575" s="11"/>
      <c r="AA575" s="13">
        <f t="shared" si="144"/>
        <v>0</v>
      </c>
      <c r="AB575" s="12">
        <f t="shared" si="145"/>
        <v>0</v>
      </c>
      <c r="AC575" s="14">
        <f t="shared" si="133"/>
        <v>0</v>
      </c>
      <c r="AE575" s="19">
        <f t="shared" si="146"/>
        <v>0</v>
      </c>
      <c r="AF575" s="19"/>
      <c r="AG575" s="17"/>
      <c r="AK575" s="7"/>
      <c r="AL575" s="108">
        <f t="shared" si="134"/>
        <v>0</v>
      </c>
      <c r="AM575" s="108">
        <f t="shared" si="135"/>
        <v>0</v>
      </c>
      <c r="AN575" s="113"/>
    </row>
    <row r="576" spans="2:40" x14ac:dyDescent="0.2">
      <c r="B576" s="7"/>
      <c r="C576" s="8"/>
      <c r="D576" s="8"/>
      <c r="E576" s="9"/>
      <c r="F576" s="6"/>
      <c r="G576" s="8"/>
      <c r="H576" s="32"/>
      <c r="I576" s="10" t="str">
        <f t="shared" si="132"/>
        <v>21</v>
      </c>
      <c r="J576" s="11">
        <v>1</v>
      </c>
      <c r="K576" s="11"/>
      <c r="L576" s="11"/>
      <c r="M576" s="11">
        <f t="shared" si="136"/>
        <v>0</v>
      </c>
      <c r="N576" s="11"/>
      <c r="O576" s="11">
        <f t="shared" si="137"/>
        <v>0</v>
      </c>
      <c r="P576" s="11"/>
      <c r="Q576" s="11"/>
      <c r="R576" s="11"/>
      <c r="S576" s="11">
        <f t="shared" si="138"/>
        <v>0</v>
      </c>
      <c r="T576" s="11">
        <f t="shared" si="139"/>
        <v>1666.6666666666667</v>
      </c>
      <c r="U576" s="11">
        <f t="shared" si="140"/>
        <v>0</v>
      </c>
      <c r="V576" s="24">
        <f t="shared" si="141"/>
        <v>0</v>
      </c>
      <c r="W576" s="11">
        <f>IF(V576&lt;=40000,0,
IF(V576&lt;=55000,(V576-40000)*10%,
IF(V576&lt;=70000,(V576-55000)*15%+1500,
IF(V576&lt;=200000,(V576-70000)*20%+1500+2250,
IF(V576&lt;=400000,(V576-200000)*22.5%+1500+2250+26000,
IF(V576&lt;=600000,(V576-400000)*25%+1500+2250+26000+45000,
IF(AND(V576&gt;600000,V576&lt;=1200000),(V576-400000)*25%+1500+2250+26000+45000
+IFERROR(LOOKUP(V576,{600001;700001;800001;900001},{4000;6750;10250;15250}),0),IF(V576&gt;1200000,((V576-1200000)*27.5%)+300000,0)
)))))))</f>
        <v>0</v>
      </c>
      <c r="X576" s="12">
        <f t="shared" si="142"/>
        <v>0</v>
      </c>
      <c r="Y576" s="12">
        <f t="shared" si="143"/>
        <v>0</v>
      </c>
      <c r="Z576" s="11"/>
      <c r="AA576" s="13">
        <f t="shared" si="144"/>
        <v>0</v>
      </c>
      <c r="AB576" s="12">
        <f t="shared" si="145"/>
        <v>0</v>
      </c>
      <c r="AC576" s="14">
        <f t="shared" si="133"/>
        <v>0</v>
      </c>
      <c r="AE576" s="19">
        <f t="shared" si="146"/>
        <v>0</v>
      </c>
      <c r="AF576" s="19"/>
      <c r="AG576" s="17"/>
      <c r="AK576" s="7"/>
      <c r="AL576" s="108">
        <f t="shared" si="134"/>
        <v>0</v>
      </c>
      <c r="AM576" s="108">
        <f t="shared" si="135"/>
        <v>0</v>
      </c>
      <c r="AN576" s="113"/>
    </row>
    <row r="577" spans="2:40" x14ac:dyDescent="0.2">
      <c r="B577" s="7"/>
      <c r="C577" s="8"/>
      <c r="D577" s="8"/>
      <c r="E577" s="9"/>
      <c r="F577" s="6"/>
      <c r="G577" s="8"/>
      <c r="H577" s="32"/>
      <c r="I577" s="10" t="str">
        <f t="shared" si="132"/>
        <v>21</v>
      </c>
      <c r="J577" s="11">
        <v>1</v>
      </c>
      <c r="K577" s="11"/>
      <c r="L577" s="11"/>
      <c r="M577" s="11">
        <f t="shared" si="136"/>
        <v>0</v>
      </c>
      <c r="N577" s="11"/>
      <c r="O577" s="11">
        <f t="shared" si="137"/>
        <v>0</v>
      </c>
      <c r="P577" s="11"/>
      <c r="Q577" s="11"/>
      <c r="R577" s="11"/>
      <c r="S577" s="11">
        <f t="shared" si="138"/>
        <v>0</v>
      </c>
      <c r="T577" s="11">
        <f t="shared" si="139"/>
        <v>1666.6666666666667</v>
      </c>
      <c r="U577" s="11">
        <f t="shared" si="140"/>
        <v>0</v>
      </c>
      <c r="V577" s="24">
        <f t="shared" si="141"/>
        <v>0</v>
      </c>
      <c r="W577" s="11">
        <f>IF(V577&lt;=40000,0,
IF(V577&lt;=55000,(V577-40000)*10%,
IF(V577&lt;=70000,(V577-55000)*15%+1500,
IF(V577&lt;=200000,(V577-70000)*20%+1500+2250,
IF(V577&lt;=400000,(V577-200000)*22.5%+1500+2250+26000,
IF(V577&lt;=600000,(V577-400000)*25%+1500+2250+26000+45000,
IF(AND(V577&gt;600000,V577&lt;=1200000),(V577-400000)*25%+1500+2250+26000+45000
+IFERROR(LOOKUP(V577,{600001;700001;800001;900001},{4000;6750;10250;15250}),0),IF(V577&gt;1200000,((V577-1200000)*27.5%)+300000,0)
)))))))</f>
        <v>0</v>
      </c>
      <c r="X577" s="12">
        <f t="shared" si="142"/>
        <v>0</v>
      </c>
      <c r="Y577" s="12">
        <f t="shared" si="143"/>
        <v>0</v>
      </c>
      <c r="Z577" s="11"/>
      <c r="AA577" s="13">
        <f t="shared" si="144"/>
        <v>0</v>
      </c>
      <c r="AB577" s="12">
        <f t="shared" si="145"/>
        <v>0</v>
      </c>
      <c r="AC577" s="14">
        <f t="shared" si="133"/>
        <v>0</v>
      </c>
      <c r="AE577" s="19">
        <f t="shared" si="146"/>
        <v>0</v>
      </c>
      <c r="AF577" s="19"/>
      <c r="AG577" s="17"/>
      <c r="AK577" s="7"/>
      <c r="AL577" s="108">
        <f t="shared" si="134"/>
        <v>0</v>
      </c>
      <c r="AM577" s="108">
        <f t="shared" si="135"/>
        <v>0</v>
      </c>
      <c r="AN577" s="113"/>
    </row>
    <row r="578" spans="2:40" x14ac:dyDescent="0.2">
      <c r="B578" s="7"/>
      <c r="C578" s="8"/>
      <c r="D578" s="8"/>
      <c r="E578" s="9"/>
      <c r="F578" s="6"/>
      <c r="G578" s="8"/>
      <c r="H578" s="32"/>
      <c r="I578" s="10" t="str">
        <f t="shared" si="132"/>
        <v>21</v>
      </c>
      <c r="J578" s="11">
        <v>1</v>
      </c>
      <c r="K578" s="11"/>
      <c r="L578" s="11"/>
      <c r="M578" s="11">
        <f t="shared" si="136"/>
        <v>0</v>
      </c>
      <c r="N578" s="11"/>
      <c r="O578" s="11">
        <f t="shared" si="137"/>
        <v>0</v>
      </c>
      <c r="P578" s="11"/>
      <c r="Q578" s="11"/>
      <c r="R578" s="11"/>
      <c r="S578" s="11">
        <f t="shared" si="138"/>
        <v>0</v>
      </c>
      <c r="T578" s="11">
        <f t="shared" si="139"/>
        <v>1666.6666666666667</v>
      </c>
      <c r="U578" s="11">
        <f t="shared" si="140"/>
        <v>0</v>
      </c>
      <c r="V578" s="24">
        <f t="shared" si="141"/>
        <v>0</v>
      </c>
      <c r="W578" s="11">
        <f>IF(V578&lt;=40000,0,
IF(V578&lt;=55000,(V578-40000)*10%,
IF(V578&lt;=70000,(V578-55000)*15%+1500,
IF(V578&lt;=200000,(V578-70000)*20%+1500+2250,
IF(V578&lt;=400000,(V578-200000)*22.5%+1500+2250+26000,
IF(V578&lt;=600000,(V578-400000)*25%+1500+2250+26000+45000,
IF(AND(V578&gt;600000,V578&lt;=1200000),(V578-400000)*25%+1500+2250+26000+45000
+IFERROR(LOOKUP(V578,{600001;700001;800001;900001},{4000;6750;10250;15250}),0),IF(V578&gt;1200000,((V578-1200000)*27.5%)+300000,0)
)))))))</f>
        <v>0</v>
      </c>
      <c r="X578" s="12">
        <f t="shared" si="142"/>
        <v>0</v>
      </c>
      <c r="Y578" s="12">
        <f t="shared" si="143"/>
        <v>0</v>
      </c>
      <c r="Z578" s="11"/>
      <c r="AA578" s="13">
        <f t="shared" si="144"/>
        <v>0</v>
      </c>
      <c r="AB578" s="12">
        <f t="shared" si="145"/>
        <v>0</v>
      </c>
      <c r="AC578" s="14">
        <f t="shared" si="133"/>
        <v>0</v>
      </c>
      <c r="AE578" s="19">
        <f t="shared" si="146"/>
        <v>0</v>
      </c>
      <c r="AF578" s="19"/>
      <c r="AG578" s="17"/>
      <c r="AK578" s="7"/>
      <c r="AL578" s="108">
        <f t="shared" si="134"/>
        <v>0</v>
      </c>
      <c r="AM578" s="108">
        <f t="shared" si="135"/>
        <v>0</v>
      </c>
      <c r="AN578" s="113"/>
    </row>
    <row r="579" spans="2:40" x14ac:dyDescent="0.2">
      <c r="B579" s="7"/>
      <c r="C579" s="8"/>
      <c r="D579" s="8"/>
      <c r="E579" s="9"/>
      <c r="F579" s="6"/>
      <c r="G579" s="8"/>
      <c r="H579" s="32"/>
      <c r="I579" s="10" t="str">
        <f t="shared" si="132"/>
        <v>21</v>
      </c>
      <c r="J579" s="11">
        <v>1</v>
      </c>
      <c r="K579" s="11"/>
      <c r="L579" s="11"/>
      <c r="M579" s="11">
        <f t="shared" si="136"/>
        <v>0</v>
      </c>
      <c r="N579" s="11"/>
      <c r="O579" s="11">
        <f t="shared" si="137"/>
        <v>0</v>
      </c>
      <c r="P579" s="11"/>
      <c r="Q579" s="11"/>
      <c r="R579" s="11"/>
      <c r="S579" s="11">
        <f t="shared" si="138"/>
        <v>0</v>
      </c>
      <c r="T579" s="11">
        <f t="shared" si="139"/>
        <v>1666.6666666666667</v>
      </c>
      <c r="U579" s="11">
        <f t="shared" si="140"/>
        <v>0</v>
      </c>
      <c r="V579" s="24">
        <f t="shared" si="141"/>
        <v>0</v>
      </c>
      <c r="W579" s="11">
        <f>IF(V579&lt;=40000,0,
IF(V579&lt;=55000,(V579-40000)*10%,
IF(V579&lt;=70000,(V579-55000)*15%+1500,
IF(V579&lt;=200000,(V579-70000)*20%+1500+2250,
IF(V579&lt;=400000,(V579-200000)*22.5%+1500+2250+26000,
IF(V579&lt;=600000,(V579-400000)*25%+1500+2250+26000+45000,
IF(AND(V579&gt;600000,V579&lt;=1200000),(V579-400000)*25%+1500+2250+26000+45000
+IFERROR(LOOKUP(V579,{600001;700001;800001;900001},{4000;6750;10250;15250}),0),IF(V579&gt;1200000,((V579-1200000)*27.5%)+300000,0)
)))))))</f>
        <v>0</v>
      </c>
      <c r="X579" s="12">
        <f t="shared" si="142"/>
        <v>0</v>
      </c>
      <c r="Y579" s="12">
        <f t="shared" si="143"/>
        <v>0</v>
      </c>
      <c r="Z579" s="11"/>
      <c r="AA579" s="13">
        <f t="shared" si="144"/>
        <v>0</v>
      </c>
      <c r="AB579" s="12">
        <f t="shared" si="145"/>
        <v>0</v>
      </c>
      <c r="AC579" s="14">
        <f t="shared" si="133"/>
        <v>0</v>
      </c>
      <c r="AE579" s="19">
        <f t="shared" si="146"/>
        <v>0</v>
      </c>
      <c r="AF579" s="19"/>
      <c r="AG579" s="17"/>
      <c r="AK579" s="7"/>
      <c r="AL579" s="108">
        <f t="shared" si="134"/>
        <v>0</v>
      </c>
      <c r="AM579" s="108">
        <f t="shared" si="135"/>
        <v>0</v>
      </c>
      <c r="AN579" s="113"/>
    </row>
    <row r="580" spans="2:40" x14ac:dyDescent="0.2">
      <c r="B580" s="7"/>
      <c r="C580" s="8"/>
      <c r="D580" s="8"/>
      <c r="E580" s="9"/>
      <c r="F580" s="6"/>
      <c r="G580" s="8"/>
      <c r="H580" s="32"/>
      <c r="I580" s="10" t="str">
        <f t="shared" si="132"/>
        <v>21</v>
      </c>
      <c r="J580" s="11">
        <v>1</v>
      </c>
      <c r="K580" s="11"/>
      <c r="L580" s="11"/>
      <c r="M580" s="11">
        <f t="shared" si="136"/>
        <v>0</v>
      </c>
      <c r="N580" s="11"/>
      <c r="O580" s="11">
        <f t="shared" si="137"/>
        <v>0</v>
      </c>
      <c r="P580" s="11"/>
      <c r="Q580" s="11"/>
      <c r="R580" s="11"/>
      <c r="S580" s="11">
        <f t="shared" si="138"/>
        <v>0</v>
      </c>
      <c r="T580" s="11">
        <f t="shared" si="139"/>
        <v>1666.6666666666667</v>
      </c>
      <c r="U580" s="11">
        <f t="shared" si="140"/>
        <v>0</v>
      </c>
      <c r="V580" s="24">
        <f t="shared" si="141"/>
        <v>0</v>
      </c>
      <c r="W580" s="11">
        <f>IF(V580&lt;=40000,0,
IF(V580&lt;=55000,(V580-40000)*10%,
IF(V580&lt;=70000,(V580-55000)*15%+1500,
IF(V580&lt;=200000,(V580-70000)*20%+1500+2250,
IF(V580&lt;=400000,(V580-200000)*22.5%+1500+2250+26000,
IF(V580&lt;=600000,(V580-400000)*25%+1500+2250+26000+45000,
IF(AND(V580&gt;600000,V580&lt;=1200000),(V580-400000)*25%+1500+2250+26000+45000
+IFERROR(LOOKUP(V580,{600001;700001;800001;900001},{4000;6750;10250;15250}),0),IF(V580&gt;1200000,((V580-1200000)*27.5%)+300000,0)
)))))))</f>
        <v>0</v>
      </c>
      <c r="X580" s="12">
        <f t="shared" si="142"/>
        <v>0</v>
      </c>
      <c r="Y580" s="12">
        <f t="shared" si="143"/>
        <v>0</v>
      </c>
      <c r="Z580" s="11"/>
      <c r="AA580" s="13">
        <f t="shared" si="144"/>
        <v>0</v>
      </c>
      <c r="AB580" s="12">
        <f t="shared" si="145"/>
        <v>0</v>
      </c>
      <c r="AC580" s="14">
        <f t="shared" si="133"/>
        <v>0</v>
      </c>
      <c r="AE580" s="19">
        <f t="shared" si="146"/>
        <v>0</v>
      </c>
      <c r="AF580" s="19"/>
      <c r="AG580" s="17"/>
      <c r="AK580" s="7"/>
      <c r="AL580" s="108">
        <f t="shared" si="134"/>
        <v>0</v>
      </c>
      <c r="AM580" s="108">
        <f t="shared" si="135"/>
        <v>0</v>
      </c>
      <c r="AN580" s="113"/>
    </row>
    <row r="581" spans="2:40" x14ac:dyDescent="0.2">
      <c r="B581" s="7"/>
      <c r="C581" s="8"/>
      <c r="D581" s="8"/>
      <c r="E581" s="9"/>
      <c r="F581" s="6"/>
      <c r="G581" s="8"/>
      <c r="H581" s="32"/>
      <c r="I581" s="10" t="str">
        <f t="shared" ref="I581:I644" si="147">IF(G581&gt;0,"1","21")</f>
        <v>21</v>
      </c>
      <c r="J581" s="11">
        <v>1</v>
      </c>
      <c r="K581" s="11"/>
      <c r="L581" s="11"/>
      <c r="M581" s="11">
        <f t="shared" si="136"/>
        <v>0</v>
      </c>
      <c r="N581" s="11"/>
      <c r="O581" s="11">
        <f t="shared" si="137"/>
        <v>0</v>
      </c>
      <c r="P581" s="11"/>
      <c r="Q581" s="11"/>
      <c r="R581" s="11"/>
      <c r="S581" s="11">
        <f t="shared" si="138"/>
        <v>0</v>
      </c>
      <c r="T581" s="11">
        <f t="shared" si="139"/>
        <v>1666.6666666666667</v>
      </c>
      <c r="U581" s="11">
        <f t="shared" si="140"/>
        <v>0</v>
      </c>
      <c r="V581" s="24">
        <f t="shared" si="141"/>
        <v>0</v>
      </c>
      <c r="W581" s="11">
        <f>IF(V581&lt;=40000,0,
IF(V581&lt;=55000,(V581-40000)*10%,
IF(V581&lt;=70000,(V581-55000)*15%+1500,
IF(V581&lt;=200000,(V581-70000)*20%+1500+2250,
IF(V581&lt;=400000,(V581-200000)*22.5%+1500+2250+26000,
IF(V581&lt;=600000,(V581-400000)*25%+1500+2250+26000+45000,
IF(AND(V581&gt;600000,V581&lt;=1200000),(V581-400000)*25%+1500+2250+26000+45000
+IFERROR(LOOKUP(V581,{600001;700001;800001;900001},{4000;6750;10250;15250}),0),IF(V581&gt;1200000,((V581-1200000)*27.5%)+300000,0)
)))))))</f>
        <v>0</v>
      </c>
      <c r="X581" s="12">
        <f t="shared" si="142"/>
        <v>0</v>
      </c>
      <c r="Y581" s="12">
        <f t="shared" si="143"/>
        <v>0</v>
      </c>
      <c r="Z581" s="11"/>
      <c r="AA581" s="13">
        <f t="shared" si="144"/>
        <v>0</v>
      </c>
      <c r="AB581" s="12">
        <f t="shared" si="145"/>
        <v>0</v>
      </c>
      <c r="AC581" s="14">
        <f t="shared" ref="AC581:AC644" si="148">+M581-P581-Y581</f>
        <v>0</v>
      </c>
      <c r="AE581" s="19">
        <f t="shared" si="146"/>
        <v>0</v>
      </c>
      <c r="AF581" s="19"/>
      <c r="AG581" s="17"/>
      <c r="AK581" s="7"/>
      <c r="AL581" s="108">
        <f t="shared" ref="AL581:AL644" si="149">+AK581+AD581</f>
        <v>0</v>
      </c>
      <c r="AM581" s="108">
        <f t="shared" ref="AM581:AM644" si="150">+AL581-AC581</f>
        <v>0</v>
      </c>
      <c r="AN581" s="113"/>
    </row>
    <row r="582" spans="2:40" x14ac:dyDescent="0.2">
      <c r="B582" s="7"/>
      <c r="C582" s="8"/>
      <c r="D582" s="8"/>
      <c r="E582" s="9"/>
      <c r="F582" s="6"/>
      <c r="G582" s="8"/>
      <c r="H582" s="32"/>
      <c r="I582" s="10" t="str">
        <f t="shared" si="147"/>
        <v>21</v>
      </c>
      <c r="J582" s="11">
        <v>1</v>
      </c>
      <c r="K582" s="11"/>
      <c r="L582" s="11"/>
      <c r="M582" s="11">
        <f t="shared" si="136"/>
        <v>0</v>
      </c>
      <c r="N582" s="11"/>
      <c r="O582" s="11">
        <f t="shared" si="137"/>
        <v>0</v>
      </c>
      <c r="P582" s="11"/>
      <c r="Q582" s="11"/>
      <c r="R582" s="11"/>
      <c r="S582" s="11">
        <f t="shared" si="138"/>
        <v>0</v>
      </c>
      <c r="T582" s="11">
        <f t="shared" si="139"/>
        <v>1666.6666666666667</v>
      </c>
      <c r="U582" s="11">
        <f t="shared" si="140"/>
        <v>0</v>
      </c>
      <c r="V582" s="24">
        <f t="shared" si="141"/>
        <v>0</v>
      </c>
      <c r="W582" s="11">
        <f>IF(V582&lt;=40000,0,
IF(V582&lt;=55000,(V582-40000)*10%,
IF(V582&lt;=70000,(V582-55000)*15%+1500,
IF(V582&lt;=200000,(V582-70000)*20%+1500+2250,
IF(V582&lt;=400000,(V582-200000)*22.5%+1500+2250+26000,
IF(V582&lt;=600000,(V582-400000)*25%+1500+2250+26000+45000,
IF(AND(V582&gt;600000,V582&lt;=1200000),(V582-400000)*25%+1500+2250+26000+45000
+IFERROR(LOOKUP(V582,{600001;700001;800001;900001},{4000;6750;10250;15250}),0),IF(V582&gt;1200000,((V582-1200000)*27.5%)+300000,0)
)))))))</f>
        <v>0</v>
      </c>
      <c r="X582" s="12">
        <f t="shared" si="142"/>
        <v>0</v>
      </c>
      <c r="Y582" s="12">
        <f t="shared" si="143"/>
        <v>0</v>
      </c>
      <c r="Z582" s="11"/>
      <c r="AA582" s="13">
        <f t="shared" si="144"/>
        <v>0</v>
      </c>
      <c r="AB582" s="12">
        <f t="shared" si="145"/>
        <v>0</v>
      </c>
      <c r="AC582" s="14">
        <f t="shared" si="148"/>
        <v>0</v>
      </c>
      <c r="AE582" s="19">
        <f t="shared" si="146"/>
        <v>0</v>
      </c>
      <c r="AF582" s="19"/>
      <c r="AG582" s="17"/>
      <c r="AK582" s="7"/>
      <c r="AL582" s="108">
        <f t="shared" si="149"/>
        <v>0</v>
      </c>
      <c r="AM582" s="108">
        <f t="shared" si="150"/>
        <v>0</v>
      </c>
      <c r="AN582" s="113"/>
    </row>
    <row r="583" spans="2:40" x14ac:dyDescent="0.2">
      <c r="B583" s="7"/>
      <c r="C583" s="8"/>
      <c r="D583" s="8"/>
      <c r="E583" s="9"/>
      <c r="F583" s="6"/>
      <c r="G583" s="8"/>
      <c r="H583" s="32"/>
      <c r="I583" s="10" t="str">
        <f t="shared" si="147"/>
        <v>21</v>
      </c>
      <c r="J583" s="11">
        <v>1</v>
      </c>
      <c r="K583" s="11"/>
      <c r="L583" s="11"/>
      <c r="M583" s="11">
        <f t="shared" si="136"/>
        <v>0</v>
      </c>
      <c r="N583" s="11"/>
      <c r="O583" s="11">
        <f t="shared" si="137"/>
        <v>0</v>
      </c>
      <c r="P583" s="11"/>
      <c r="Q583" s="11"/>
      <c r="R583" s="11"/>
      <c r="S583" s="11">
        <f t="shared" si="138"/>
        <v>0</v>
      </c>
      <c r="T583" s="11">
        <f t="shared" si="139"/>
        <v>1666.6666666666667</v>
      </c>
      <c r="U583" s="11">
        <f t="shared" si="140"/>
        <v>0</v>
      </c>
      <c r="V583" s="24">
        <f t="shared" si="141"/>
        <v>0</v>
      </c>
      <c r="W583" s="11">
        <f>IF(V583&lt;=40000,0,
IF(V583&lt;=55000,(V583-40000)*10%,
IF(V583&lt;=70000,(V583-55000)*15%+1500,
IF(V583&lt;=200000,(V583-70000)*20%+1500+2250,
IF(V583&lt;=400000,(V583-200000)*22.5%+1500+2250+26000,
IF(V583&lt;=600000,(V583-400000)*25%+1500+2250+26000+45000,
IF(AND(V583&gt;600000,V583&lt;=1200000),(V583-400000)*25%+1500+2250+26000+45000
+IFERROR(LOOKUP(V583,{600001;700001;800001;900001},{4000;6750;10250;15250}),0),IF(V583&gt;1200000,((V583-1200000)*27.5%)+300000,0)
)))))))</f>
        <v>0</v>
      </c>
      <c r="X583" s="12">
        <f t="shared" si="142"/>
        <v>0</v>
      </c>
      <c r="Y583" s="12">
        <f t="shared" si="143"/>
        <v>0</v>
      </c>
      <c r="Z583" s="11"/>
      <c r="AA583" s="13">
        <f t="shared" si="144"/>
        <v>0</v>
      </c>
      <c r="AB583" s="12">
        <f t="shared" si="145"/>
        <v>0</v>
      </c>
      <c r="AC583" s="14">
        <f t="shared" si="148"/>
        <v>0</v>
      </c>
      <c r="AE583" s="19">
        <f t="shared" si="146"/>
        <v>0</v>
      </c>
      <c r="AF583" s="19"/>
      <c r="AG583" s="17"/>
      <c r="AK583" s="7"/>
      <c r="AL583" s="108">
        <f t="shared" si="149"/>
        <v>0</v>
      </c>
      <c r="AM583" s="108">
        <f t="shared" si="150"/>
        <v>0</v>
      </c>
      <c r="AN583" s="113"/>
    </row>
    <row r="584" spans="2:40" x14ac:dyDescent="0.2">
      <c r="B584" s="7"/>
      <c r="C584" s="8"/>
      <c r="D584" s="8"/>
      <c r="E584" s="9"/>
      <c r="F584" s="6"/>
      <c r="G584" s="8"/>
      <c r="H584" s="32"/>
      <c r="I584" s="10" t="str">
        <f t="shared" si="147"/>
        <v>21</v>
      </c>
      <c r="J584" s="11">
        <v>1</v>
      </c>
      <c r="K584" s="11"/>
      <c r="L584" s="11"/>
      <c r="M584" s="11">
        <f t="shared" si="136"/>
        <v>0</v>
      </c>
      <c r="N584" s="11"/>
      <c r="O584" s="11">
        <f t="shared" si="137"/>
        <v>0</v>
      </c>
      <c r="P584" s="11"/>
      <c r="Q584" s="11"/>
      <c r="R584" s="11"/>
      <c r="S584" s="11">
        <f t="shared" si="138"/>
        <v>0</v>
      </c>
      <c r="T584" s="11">
        <f t="shared" si="139"/>
        <v>1666.6666666666667</v>
      </c>
      <c r="U584" s="11">
        <f t="shared" si="140"/>
        <v>0</v>
      </c>
      <c r="V584" s="24">
        <f t="shared" si="141"/>
        <v>0</v>
      </c>
      <c r="W584" s="11">
        <f>IF(V584&lt;=40000,0,
IF(V584&lt;=55000,(V584-40000)*10%,
IF(V584&lt;=70000,(V584-55000)*15%+1500,
IF(V584&lt;=200000,(V584-70000)*20%+1500+2250,
IF(V584&lt;=400000,(V584-200000)*22.5%+1500+2250+26000,
IF(V584&lt;=600000,(V584-400000)*25%+1500+2250+26000+45000,
IF(AND(V584&gt;600000,V584&lt;=1200000),(V584-400000)*25%+1500+2250+26000+45000
+IFERROR(LOOKUP(V584,{600001;700001;800001;900001},{4000;6750;10250;15250}),0),IF(V584&gt;1200000,((V584-1200000)*27.5%)+300000,0)
)))))))</f>
        <v>0</v>
      </c>
      <c r="X584" s="12">
        <f t="shared" si="142"/>
        <v>0</v>
      </c>
      <c r="Y584" s="12">
        <f t="shared" si="143"/>
        <v>0</v>
      </c>
      <c r="Z584" s="11"/>
      <c r="AA584" s="13">
        <f t="shared" si="144"/>
        <v>0</v>
      </c>
      <c r="AB584" s="12">
        <f t="shared" si="145"/>
        <v>0</v>
      </c>
      <c r="AC584" s="14">
        <f t="shared" si="148"/>
        <v>0</v>
      </c>
      <c r="AE584" s="19">
        <f t="shared" si="146"/>
        <v>0</v>
      </c>
      <c r="AF584" s="19"/>
      <c r="AG584" s="17"/>
      <c r="AK584" s="7"/>
      <c r="AL584" s="108">
        <f t="shared" si="149"/>
        <v>0</v>
      </c>
      <c r="AM584" s="108">
        <f t="shared" si="150"/>
        <v>0</v>
      </c>
      <c r="AN584" s="113"/>
    </row>
    <row r="585" spans="2:40" x14ac:dyDescent="0.2">
      <c r="B585" s="7"/>
      <c r="C585" s="8"/>
      <c r="D585" s="8"/>
      <c r="E585" s="9"/>
      <c r="F585" s="6"/>
      <c r="G585" s="8"/>
      <c r="H585" s="32"/>
      <c r="I585" s="10" t="str">
        <f t="shared" si="147"/>
        <v>21</v>
      </c>
      <c r="J585" s="11">
        <v>1</v>
      </c>
      <c r="K585" s="11"/>
      <c r="L585" s="11"/>
      <c r="M585" s="11">
        <f t="shared" si="136"/>
        <v>0</v>
      </c>
      <c r="N585" s="11"/>
      <c r="O585" s="11">
        <f t="shared" si="137"/>
        <v>0</v>
      </c>
      <c r="P585" s="11"/>
      <c r="Q585" s="11"/>
      <c r="R585" s="11"/>
      <c r="S585" s="11">
        <f t="shared" si="138"/>
        <v>0</v>
      </c>
      <c r="T585" s="11">
        <f t="shared" si="139"/>
        <v>1666.6666666666667</v>
      </c>
      <c r="U585" s="11">
        <f t="shared" si="140"/>
        <v>0</v>
      </c>
      <c r="V585" s="24">
        <f t="shared" si="141"/>
        <v>0</v>
      </c>
      <c r="W585" s="11">
        <f>IF(V585&lt;=40000,0,
IF(V585&lt;=55000,(V585-40000)*10%,
IF(V585&lt;=70000,(V585-55000)*15%+1500,
IF(V585&lt;=200000,(V585-70000)*20%+1500+2250,
IF(V585&lt;=400000,(V585-200000)*22.5%+1500+2250+26000,
IF(V585&lt;=600000,(V585-400000)*25%+1500+2250+26000+45000,
IF(AND(V585&gt;600000,V585&lt;=1200000),(V585-400000)*25%+1500+2250+26000+45000
+IFERROR(LOOKUP(V585,{600001;700001;800001;900001},{4000;6750;10250;15250}),0),IF(V585&gt;1200000,((V585-1200000)*27.5%)+300000,0)
)))))))</f>
        <v>0</v>
      </c>
      <c r="X585" s="12">
        <f t="shared" si="142"/>
        <v>0</v>
      </c>
      <c r="Y585" s="12">
        <f t="shared" si="143"/>
        <v>0</v>
      </c>
      <c r="Z585" s="11"/>
      <c r="AA585" s="13">
        <f t="shared" si="144"/>
        <v>0</v>
      </c>
      <c r="AB585" s="12">
        <f t="shared" si="145"/>
        <v>0</v>
      </c>
      <c r="AC585" s="14">
        <f t="shared" si="148"/>
        <v>0</v>
      </c>
      <c r="AE585" s="19">
        <f t="shared" si="146"/>
        <v>0</v>
      </c>
      <c r="AF585" s="19"/>
      <c r="AG585" s="17"/>
      <c r="AK585" s="7"/>
      <c r="AL585" s="108">
        <f t="shared" si="149"/>
        <v>0</v>
      </c>
      <c r="AM585" s="108">
        <f t="shared" si="150"/>
        <v>0</v>
      </c>
      <c r="AN585" s="113"/>
    </row>
    <row r="586" spans="2:40" x14ac:dyDescent="0.2">
      <c r="B586" s="7"/>
      <c r="C586" s="8"/>
      <c r="D586" s="8"/>
      <c r="E586" s="9"/>
      <c r="F586" s="6"/>
      <c r="G586" s="8"/>
      <c r="H586" s="32"/>
      <c r="I586" s="10" t="str">
        <f t="shared" si="147"/>
        <v>21</v>
      </c>
      <c r="J586" s="11">
        <v>1</v>
      </c>
      <c r="K586" s="11"/>
      <c r="L586" s="11"/>
      <c r="M586" s="11">
        <f t="shared" si="136"/>
        <v>0</v>
      </c>
      <c r="N586" s="11"/>
      <c r="O586" s="11">
        <f t="shared" si="137"/>
        <v>0</v>
      </c>
      <c r="P586" s="11"/>
      <c r="Q586" s="11"/>
      <c r="R586" s="11"/>
      <c r="S586" s="11">
        <f t="shared" si="138"/>
        <v>0</v>
      </c>
      <c r="T586" s="11">
        <f t="shared" si="139"/>
        <v>1666.6666666666667</v>
      </c>
      <c r="U586" s="11">
        <f t="shared" si="140"/>
        <v>0</v>
      </c>
      <c r="V586" s="24">
        <f t="shared" si="141"/>
        <v>0</v>
      </c>
      <c r="W586" s="11">
        <f>IF(V586&lt;=40000,0,
IF(V586&lt;=55000,(V586-40000)*10%,
IF(V586&lt;=70000,(V586-55000)*15%+1500,
IF(V586&lt;=200000,(V586-70000)*20%+1500+2250,
IF(V586&lt;=400000,(V586-200000)*22.5%+1500+2250+26000,
IF(V586&lt;=600000,(V586-400000)*25%+1500+2250+26000+45000,
IF(AND(V586&gt;600000,V586&lt;=1200000),(V586-400000)*25%+1500+2250+26000+45000
+IFERROR(LOOKUP(V586,{600001;700001;800001;900001},{4000;6750;10250;15250}),0),IF(V586&gt;1200000,((V586-1200000)*27.5%)+300000,0)
)))))))</f>
        <v>0</v>
      </c>
      <c r="X586" s="12">
        <f t="shared" si="142"/>
        <v>0</v>
      </c>
      <c r="Y586" s="12">
        <f t="shared" si="143"/>
        <v>0</v>
      </c>
      <c r="Z586" s="11"/>
      <c r="AA586" s="13">
        <f t="shared" si="144"/>
        <v>0</v>
      </c>
      <c r="AB586" s="12">
        <f t="shared" si="145"/>
        <v>0</v>
      </c>
      <c r="AC586" s="14">
        <f t="shared" si="148"/>
        <v>0</v>
      </c>
      <c r="AE586" s="19">
        <f t="shared" si="146"/>
        <v>0</v>
      </c>
      <c r="AF586" s="19"/>
      <c r="AG586" s="17"/>
      <c r="AK586" s="7"/>
      <c r="AL586" s="108">
        <f t="shared" si="149"/>
        <v>0</v>
      </c>
      <c r="AM586" s="108">
        <f t="shared" si="150"/>
        <v>0</v>
      </c>
      <c r="AN586" s="113"/>
    </row>
    <row r="587" spans="2:40" x14ac:dyDescent="0.2">
      <c r="B587" s="7"/>
      <c r="C587" s="8"/>
      <c r="D587" s="8"/>
      <c r="E587" s="9"/>
      <c r="F587" s="6"/>
      <c r="G587" s="8"/>
      <c r="H587" s="32"/>
      <c r="I587" s="10" t="str">
        <f t="shared" si="147"/>
        <v>21</v>
      </c>
      <c r="J587" s="11">
        <v>1</v>
      </c>
      <c r="K587" s="11"/>
      <c r="L587" s="11"/>
      <c r="M587" s="11">
        <f t="shared" si="136"/>
        <v>0</v>
      </c>
      <c r="N587" s="11"/>
      <c r="O587" s="11">
        <f t="shared" si="137"/>
        <v>0</v>
      </c>
      <c r="P587" s="11"/>
      <c r="Q587" s="11"/>
      <c r="R587" s="11"/>
      <c r="S587" s="11">
        <f t="shared" si="138"/>
        <v>0</v>
      </c>
      <c r="T587" s="11">
        <f t="shared" si="139"/>
        <v>1666.6666666666667</v>
      </c>
      <c r="U587" s="11">
        <f t="shared" si="140"/>
        <v>0</v>
      </c>
      <c r="V587" s="24">
        <f t="shared" si="141"/>
        <v>0</v>
      </c>
      <c r="W587" s="11">
        <f>IF(V587&lt;=40000,0,
IF(V587&lt;=55000,(V587-40000)*10%,
IF(V587&lt;=70000,(V587-55000)*15%+1500,
IF(V587&lt;=200000,(V587-70000)*20%+1500+2250,
IF(V587&lt;=400000,(V587-200000)*22.5%+1500+2250+26000,
IF(V587&lt;=600000,(V587-400000)*25%+1500+2250+26000+45000,
IF(AND(V587&gt;600000,V587&lt;=1200000),(V587-400000)*25%+1500+2250+26000+45000
+IFERROR(LOOKUP(V587,{600001;700001;800001;900001},{4000;6750;10250;15250}),0),IF(V587&gt;1200000,((V587-1200000)*27.5%)+300000,0)
)))))))</f>
        <v>0</v>
      </c>
      <c r="X587" s="12">
        <f t="shared" si="142"/>
        <v>0</v>
      </c>
      <c r="Y587" s="12">
        <f t="shared" si="143"/>
        <v>0</v>
      </c>
      <c r="Z587" s="11"/>
      <c r="AA587" s="13">
        <f t="shared" si="144"/>
        <v>0</v>
      </c>
      <c r="AB587" s="12">
        <f t="shared" si="145"/>
        <v>0</v>
      </c>
      <c r="AC587" s="14">
        <f t="shared" si="148"/>
        <v>0</v>
      </c>
      <c r="AE587" s="19">
        <f t="shared" si="146"/>
        <v>0</v>
      </c>
      <c r="AF587" s="19"/>
      <c r="AG587" s="17"/>
      <c r="AK587" s="7"/>
      <c r="AL587" s="108">
        <f t="shared" si="149"/>
        <v>0</v>
      </c>
      <c r="AM587" s="108">
        <f t="shared" si="150"/>
        <v>0</v>
      </c>
      <c r="AN587" s="113"/>
    </row>
    <row r="588" spans="2:40" x14ac:dyDescent="0.2">
      <c r="B588" s="7"/>
      <c r="C588" s="8"/>
      <c r="D588" s="8"/>
      <c r="E588" s="9"/>
      <c r="F588" s="6"/>
      <c r="G588" s="8"/>
      <c r="H588" s="32"/>
      <c r="I588" s="10" t="str">
        <f t="shared" si="147"/>
        <v>21</v>
      </c>
      <c r="J588" s="11">
        <v>1</v>
      </c>
      <c r="K588" s="11"/>
      <c r="L588" s="11"/>
      <c r="M588" s="11">
        <f t="shared" si="136"/>
        <v>0</v>
      </c>
      <c r="N588" s="11"/>
      <c r="O588" s="11">
        <f t="shared" si="137"/>
        <v>0</v>
      </c>
      <c r="P588" s="11"/>
      <c r="Q588" s="11"/>
      <c r="R588" s="11"/>
      <c r="S588" s="11">
        <f t="shared" si="138"/>
        <v>0</v>
      </c>
      <c r="T588" s="11">
        <f t="shared" si="139"/>
        <v>1666.6666666666667</v>
      </c>
      <c r="U588" s="11">
        <f t="shared" si="140"/>
        <v>0</v>
      </c>
      <c r="V588" s="24">
        <f t="shared" si="141"/>
        <v>0</v>
      </c>
      <c r="W588" s="11">
        <f>IF(V588&lt;=40000,0,
IF(V588&lt;=55000,(V588-40000)*10%,
IF(V588&lt;=70000,(V588-55000)*15%+1500,
IF(V588&lt;=200000,(V588-70000)*20%+1500+2250,
IF(V588&lt;=400000,(V588-200000)*22.5%+1500+2250+26000,
IF(V588&lt;=600000,(V588-400000)*25%+1500+2250+26000+45000,
IF(AND(V588&gt;600000,V588&lt;=1200000),(V588-400000)*25%+1500+2250+26000+45000
+IFERROR(LOOKUP(V588,{600001;700001;800001;900001},{4000;6750;10250;15250}),0),IF(V588&gt;1200000,((V588-1200000)*27.5%)+300000,0)
)))))))</f>
        <v>0</v>
      </c>
      <c r="X588" s="12">
        <f t="shared" si="142"/>
        <v>0</v>
      </c>
      <c r="Y588" s="12">
        <f t="shared" si="143"/>
        <v>0</v>
      </c>
      <c r="Z588" s="11"/>
      <c r="AA588" s="13">
        <f t="shared" si="144"/>
        <v>0</v>
      </c>
      <c r="AB588" s="12">
        <f t="shared" si="145"/>
        <v>0</v>
      </c>
      <c r="AC588" s="14">
        <f t="shared" si="148"/>
        <v>0</v>
      </c>
      <c r="AE588" s="19">
        <f t="shared" si="146"/>
        <v>0</v>
      </c>
      <c r="AF588" s="19"/>
      <c r="AG588" s="17"/>
      <c r="AK588" s="7"/>
      <c r="AL588" s="108">
        <f t="shared" si="149"/>
        <v>0</v>
      </c>
      <c r="AM588" s="108">
        <f t="shared" si="150"/>
        <v>0</v>
      </c>
      <c r="AN588" s="113"/>
    </row>
    <row r="589" spans="2:40" x14ac:dyDescent="0.2">
      <c r="B589" s="7"/>
      <c r="C589" s="8"/>
      <c r="D589" s="8"/>
      <c r="E589" s="9"/>
      <c r="F589" s="6"/>
      <c r="G589" s="8"/>
      <c r="H589" s="32"/>
      <c r="I589" s="10" t="str">
        <f t="shared" si="147"/>
        <v>21</v>
      </c>
      <c r="J589" s="11">
        <v>1</v>
      </c>
      <c r="K589" s="11"/>
      <c r="L589" s="11"/>
      <c r="M589" s="11">
        <f t="shared" si="136"/>
        <v>0</v>
      </c>
      <c r="N589" s="11"/>
      <c r="O589" s="11">
        <f t="shared" si="137"/>
        <v>0</v>
      </c>
      <c r="P589" s="11"/>
      <c r="Q589" s="11"/>
      <c r="R589" s="11"/>
      <c r="S589" s="11">
        <f t="shared" si="138"/>
        <v>0</v>
      </c>
      <c r="T589" s="11">
        <f t="shared" si="139"/>
        <v>1666.6666666666667</v>
      </c>
      <c r="U589" s="11">
        <f t="shared" si="140"/>
        <v>0</v>
      </c>
      <c r="V589" s="24">
        <f t="shared" si="141"/>
        <v>0</v>
      </c>
      <c r="W589" s="11">
        <f>IF(V589&lt;=40000,0,
IF(V589&lt;=55000,(V589-40000)*10%,
IF(V589&lt;=70000,(V589-55000)*15%+1500,
IF(V589&lt;=200000,(V589-70000)*20%+1500+2250,
IF(V589&lt;=400000,(V589-200000)*22.5%+1500+2250+26000,
IF(V589&lt;=600000,(V589-400000)*25%+1500+2250+26000+45000,
IF(AND(V589&gt;600000,V589&lt;=1200000),(V589-400000)*25%+1500+2250+26000+45000
+IFERROR(LOOKUP(V589,{600001;700001;800001;900001},{4000;6750;10250;15250}),0),IF(V589&gt;1200000,((V589-1200000)*27.5%)+300000,0)
)))))))</f>
        <v>0</v>
      </c>
      <c r="X589" s="12">
        <f t="shared" si="142"/>
        <v>0</v>
      </c>
      <c r="Y589" s="12">
        <f t="shared" si="143"/>
        <v>0</v>
      </c>
      <c r="Z589" s="11"/>
      <c r="AA589" s="13">
        <f t="shared" si="144"/>
        <v>0</v>
      </c>
      <c r="AB589" s="12">
        <f t="shared" si="145"/>
        <v>0</v>
      </c>
      <c r="AC589" s="14">
        <f t="shared" si="148"/>
        <v>0</v>
      </c>
      <c r="AE589" s="19">
        <f t="shared" si="146"/>
        <v>0</v>
      </c>
      <c r="AF589" s="19"/>
      <c r="AG589" s="17"/>
      <c r="AK589" s="7"/>
      <c r="AL589" s="108">
        <f t="shared" si="149"/>
        <v>0</v>
      </c>
      <c r="AM589" s="108">
        <f t="shared" si="150"/>
        <v>0</v>
      </c>
      <c r="AN589" s="113"/>
    </row>
    <row r="590" spans="2:40" x14ac:dyDescent="0.2">
      <c r="B590" s="7"/>
      <c r="C590" s="8"/>
      <c r="D590" s="8"/>
      <c r="E590" s="9"/>
      <c r="F590" s="6"/>
      <c r="G590" s="8"/>
      <c r="H590" s="32"/>
      <c r="I590" s="10" t="str">
        <f t="shared" si="147"/>
        <v>21</v>
      </c>
      <c r="J590" s="11">
        <v>1</v>
      </c>
      <c r="K590" s="11"/>
      <c r="L590" s="11"/>
      <c r="M590" s="11">
        <f t="shared" si="136"/>
        <v>0</v>
      </c>
      <c r="N590" s="11"/>
      <c r="O590" s="11">
        <f t="shared" si="137"/>
        <v>0</v>
      </c>
      <c r="P590" s="11"/>
      <c r="Q590" s="11"/>
      <c r="R590" s="11"/>
      <c r="S590" s="11">
        <f t="shared" si="138"/>
        <v>0</v>
      </c>
      <c r="T590" s="11">
        <f t="shared" si="139"/>
        <v>1666.6666666666667</v>
      </c>
      <c r="U590" s="11">
        <f t="shared" si="140"/>
        <v>0</v>
      </c>
      <c r="V590" s="24">
        <f t="shared" si="141"/>
        <v>0</v>
      </c>
      <c r="W590" s="11">
        <f>IF(V590&lt;=40000,0,
IF(V590&lt;=55000,(V590-40000)*10%,
IF(V590&lt;=70000,(V590-55000)*15%+1500,
IF(V590&lt;=200000,(V590-70000)*20%+1500+2250,
IF(V590&lt;=400000,(V590-200000)*22.5%+1500+2250+26000,
IF(V590&lt;=600000,(V590-400000)*25%+1500+2250+26000+45000,
IF(AND(V590&gt;600000,V590&lt;=1200000),(V590-400000)*25%+1500+2250+26000+45000
+IFERROR(LOOKUP(V590,{600001;700001;800001;900001},{4000;6750;10250;15250}),0),IF(V590&gt;1200000,((V590-1200000)*27.5%)+300000,0)
)))))))</f>
        <v>0</v>
      </c>
      <c r="X590" s="12">
        <f t="shared" si="142"/>
        <v>0</v>
      </c>
      <c r="Y590" s="12">
        <f t="shared" si="143"/>
        <v>0</v>
      </c>
      <c r="Z590" s="11"/>
      <c r="AA590" s="13">
        <f t="shared" si="144"/>
        <v>0</v>
      </c>
      <c r="AB590" s="12">
        <f t="shared" si="145"/>
        <v>0</v>
      </c>
      <c r="AC590" s="14">
        <f t="shared" si="148"/>
        <v>0</v>
      </c>
      <c r="AE590" s="19">
        <f t="shared" si="146"/>
        <v>0</v>
      </c>
      <c r="AF590" s="19"/>
      <c r="AG590" s="17"/>
      <c r="AK590" s="7"/>
      <c r="AL590" s="108">
        <f t="shared" si="149"/>
        <v>0</v>
      </c>
      <c r="AM590" s="108">
        <f t="shared" si="150"/>
        <v>0</v>
      </c>
      <c r="AN590" s="113"/>
    </row>
    <row r="591" spans="2:40" x14ac:dyDescent="0.2">
      <c r="B591" s="7"/>
      <c r="C591" s="8"/>
      <c r="D591" s="8"/>
      <c r="E591" s="9"/>
      <c r="F591" s="6"/>
      <c r="G591" s="8"/>
      <c r="H591" s="32"/>
      <c r="I591" s="10" t="str">
        <f t="shared" si="147"/>
        <v>21</v>
      </c>
      <c r="J591" s="11">
        <v>1</v>
      </c>
      <c r="K591" s="11"/>
      <c r="L591" s="11"/>
      <c r="M591" s="11">
        <f t="shared" si="136"/>
        <v>0</v>
      </c>
      <c r="N591" s="11"/>
      <c r="O591" s="11">
        <f t="shared" si="137"/>
        <v>0</v>
      </c>
      <c r="P591" s="11"/>
      <c r="Q591" s="11"/>
      <c r="R591" s="11"/>
      <c r="S591" s="11">
        <f t="shared" si="138"/>
        <v>0</v>
      </c>
      <c r="T591" s="11">
        <f t="shared" si="139"/>
        <v>1666.6666666666667</v>
      </c>
      <c r="U591" s="11">
        <f t="shared" si="140"/>
        <v>0</v>
      </c>
      <c r="V591" s="24">
        <f t="shared" si="141"/>
        <v>0</v>
      </c>
      <c r="W591" s="11">
        <f>IF(V591&lt;=40000,0,
IF(V591&lt;=55000,(V591-40000)*10%,
IF(V591&lt;=70000,(V591-55000)*15%+1500,
IF(V591&lt;=200000,(V591-70000)*20%+1500+2250,
IF(V591&lt;=400000,(V591-200000)*22.5%+1500+2250+26000,
IF(V591&lt;=600000,(V591-400000)*25%+1500+2250+26000+45000,
IF(AND(V591&gt;600000,V591&lt;=1200000),(V591-400000)*25%+1500+2250+26000+45000
+IFERROR(LOOKUP(V591,{600001;700001;800001;900001},{4000;6750;10250;15250}),0),IF(V591&gt;1200000,((V591-1200000)*27.5%)+300000,0)
)))))))</f>
        <v>0</v>
      </c>
      <c r="X591" s="12">
        <f t="shared" si="142"/>
        <v>0</v>
      </c>
      <c r="Y591" s="12">
        <f t="shared" si="143"/>
        <v>0</v>
      </c>
      <c r="Z591" s="11"/>
      <c r="AA591" s="13">
        <f t="shared" si="144"/>
        <v>0</v>
      </c>
      <c r="AB591" s="12">
        <f t="shared" si="145"/>
        <v>0</v>
      </c>
      <c r="AC591" s="14">
        <f t="shared" si="148"/>
        <v>0</v>
      </c>
      <c r="AE591" s="19">
        <f t="shared" si="146"/>
        <v>0</v>
      </c>
      <c r="AF591" s="19"/>
      <c r="AG591" s="17"/>
      <c r="AK591" s="7"/>
      <c r="AL591" s="108">
        <f t="shared" si="149"/>
        <v>0</v>
      </c>
      <c r="AM591" s="108">
        <f t="shared" si="150"/>
        <v>0</v>
      </c>
      <c r="AN591" s="113"/>
    </row>
    <row r="592" spans="2:40" x14ac:dyDescent="0.2">
      <c r="B592" s="7"/>
      <c r="C592" s="8"/>
      <c r="D592" s="8"/>
      <c r="E592" s="9"/>
      <c r="F592" s="6"/>
      <c r="G592" s="8"/>
      <c r="H592" s="32"/>
      <c r="I592" s="10" t="str">
        <f t="shared" si="147"/>
        <v>21</v>
      </c>
      <c r="J592" s="11">
        <v>1</v>
      </c>
      <c r="K592" s="11"/>
      <c r="L592" s="11"/>
      <c r="M592" s="11">
        <f t="shared" si="136"/>
        <v>0</v>
      </c>
      <c r="N592" s="11"/>
      <c r="O592" s="11">
        <f t="shared" si="137"/>
        <v>0</v>
      </c>
      <c r="P592" s="11"/>
      <c r="Q592" s="11"/>
      <c r="R592" s="11"/>
      <c r="S592" s="11">
        <f t="shared" si="138"/>
        <v>0</v>
      </c>
      <c r="T592" s="11">
        <f t="shared" si="139"/>
        <v>1666.6666666666667</v>
      </c>
      <c r="U592" s="11">
        <f t="shared" si="140"/>
        <v>0</v>
      </c>
      <c r="V592" s="24">
        <f t="shared" si="141"/>
        <v>0</v>
      </c>
      <c r="W592" s="11">
        <f>IF(V592&lt;=40000,0,
IF(V592&lt;=55000,(V592-40000)*10%,
IF(V592&lt;=70000,(V592-55000)*15%+1500,
IF(V592&lt;=200000,(V592-70000)*20%+1500+2250,
IF(V592&lt;=400000,(V592-200000)*22.5%+1500+2250+26000,
IF(V592&lt;=600000,(V592-400000)*25%+1500+2250+26000+45000,
IF(AND(V592&gt;600000,V592&lt;=1200000),(V592-400000)*25%+1500+2250+26000+45000
+IFERROR(LOOKUP(V592,{600001;700001;800001;900001},{4000;6750;10250;15250}),0),IF(V592&gt;1200000,((V592-1200000)*27.5%)+300000,0)
)))))))</f>
        <v>0</v>
      </c>
      <c r="X592" s="12">
        <f t="shared" si="142"/>
        <v>0</v>
      </c>
      <c r="Y592" s="12">
        <f t="shared" si="143"/>
        <v>0</v>
      </c>
      <c r="Z592" s="11"/>
      <c r="AA592" s="13">
        <f t="shared" si="144"/>
        <v>0</v>
      </c>
      <c r="AB592" s="12">
        <f t="shared" si="145"/>
        <v>0</v>
      </c>
      <c r="AC592" s="14">
        <f t="shared" si="148"/>
        <v>0</v>
      </c>
      <c r="AE592" s="19">
        <f t="shared" si="146"/>
        <v>0</v>
      </c>
      <c r="AF592" s="19"/>
      <c r="AG592" s="17"/>
      <c r="AK592" s="7"/>
      <c r="AL592" s="108">
        <f t="shared" si="149"/>
        <v>0</v>
      </c>
      <c r="AM592" s="108">
        <f t="shared" si="150"/>
        <v>0</v>
      </c>
      <c r="AN592" s="113"/>
    </row>
    <row r="593" spans="2:40" x14ac:dyDescent="0.2">
      <c r="B593" s="7"/>
      <c r="C593" s="8"/>
      <c r="D593" s="8"/>
      <c r="E593" s="9"/>
      <c r="F593" s="6"/>
      <c r="G593" s="8"/>
      <c r="H593" s="32"/>
      <c r="I593" s="10" t="str">
        <f t="shared" si="147"/>
        <v>21</v>
      </c>
      <c r="J593" s="11">
        <v>1</v>
      </c>
      <c r="K593" s="11"/>
      <c r="L593" s="11"/>
      <c r="M593" s="11">
        <f t="shared" si="136"/>
        <v>0</v>
      </c>
      <c r="N593" s="11"/>
      <c r="O593" s="11">
        <f t="shared" si="137"/>
        <v>0</v>
      </c>
      <c r="P593" s="11"/>
      <c r="Q593" s="11"/>
      <c r="R593" s="11"/>
      <c r="S593" s="11">
        <f t="shared" si="138"/>
        <v>0</v>
      </c>
      <c r="T593" s="11">
        <f t="shared" si="139"/>
        <v>1666.6666666666667</v>
      </c>
      <c r="U593" s="11">
        <f t="shared" si="140"/>
        <v>0</v>
      </c>
      <c r="V593" s="24">
        <f t="shared" si="141"/>
        <v>0</v>
      </c>
      <c r="W593" s="11">
        <f>IF(V593&lt;=40000,0,
IF(V593&lt;=55000,(V593-40000)*10%,
IF(V593&lt;=70000,(V593-55000)*15%+1500,
IF(V593&lt;=200000,(V593-70000)*20%+1500+2250,
IF(V593&lt;=400000,(V593-200000)*22.5%+1500+2250+26000,
IF(V593&lt;=600000,(V593-400000)*25%+1500+2250+26000+45000,
IF(AND(V593&gt;600000,V593&lt;=1200000),(V593-400000)*25%+1500+2250+26000+45000
+IFERROR(LOOKUP(V593,{600001;700001;800001;900001},{4000;6750;10250;15250}),0),IF(V593&gt;1200000,((V593-1200000)*27.5%)+300000,0)
)))))))</f>
        <v>0</v>
      </c>
      <c r="X593" s="12">
        <f t="shared" si="142"/>
        <v>0</v>
      </c>
      <c r="Y593" s="12">
        <f t="shared" si="143"/>
        <v>0</v>
      </c>
      <c r="Z593" s="11"/>
      <c r="AA593" s="13">
        <f t="shared" si="144"/>
        <v>0</v>
      </c>
      <c r="AB593" s="12">
        <f t="shared" si="145"/>
        <v>0</v>
      </c>
      <c r="AC593" s="14">
        <f t="shared" si="148"/>
        <v>0</v>
      </c>
      <c r="AE593" s="19">
        <f t="shared" si="146"/>
        <v>0</v>
      </c>
      <c r="AF593" s="19"/>
      <c r="AG593" s="17"/>
      <c r="AK593" s="7"/>
      <c r="AL593" s="108">
        <f t="shared" si="149"/>
        <v>0</v>
      </c>
      <c r="AM593" s="108">
        <f t="shared" si="150"/>
        <v>0</v>
      </c>
      <c r="AN593" s="113"/>
    </row>
    <row r="594" spans="2:40" x14ac:dyDescent="0.2">
      <c r="B594" s="7"/>
      <c r="C594" s="8"/>
      <c r="D594" s="8"/>
      <c r="E594" s="9"/>
      <c r="F594" s="6"/>
      <c r="G594" s="8"/>
      <c r="H594" s="32"/>
      <c r="I594" s="10" t="str">
        <f t="shared" si="147"/>
        <v>21</v>
      </c>
      <c r="J594" s="11">
        <v>1</v>
      </c>
      <c r="K594" s="11"/>
      <c r="L594" s="11"/>
      <c r="M594" s="11">
        <f t="shared" si="136"/>
        <v>0</v>
      </c>
      <c r="N594" s="11"/>
      <c r="O594" s="11">
        <f t="shared" si="137"/>
        <v>0</v>
      </c>
      <c r="P594" s="11"/>
      <c r="Q594" s="11"/>
      <c r="R594" s="11"/>
      <c r="S594" s="11">
        <f t="shared" si="138"/>
        <v>0</v>
      </c>
      <c r="T594" s="11">
        <f t="shared" si="139"/>
        <v>1666.6666666666667</v>
      </c>
      <c r="U594" s="11">
        <f t="shared" si="140"/>
        <v>0</v>
      </c>
      <c r="V594" s="24">
        <f t="shared" si="141"/>
        <v>0</v>
      </c>
      <c r="W594" s="11">
        <f>IF(V594&lt;=40000,0,
IF(V594&lt;=55000,(V594-40000)*10%,
IF(V594&lt;=70000,(V594-55000)*15%+1500,
IF(V594&lt;=200000,(V594-70000)*20%+1500+2250,
IF(V594&lt;=400000,(V594-200000)*22.5%+1500+2250+26000,
IF(V594&lt;=600000,(V594-400000)*25%+1500+2250+26000+45000,
IF(AND(V594&gt;600000,V594&lt;=1200000),(V594-400000)*25%+1500+2250+26000+45000
+IFERROR(LOOKUP(V594,{600001;700001;800001;900001},{4000;6750;10250;15250}),0),IF(V594&gt;1200000,((V594-1200000)*27.5%)+300000,0)
)))))))</f>
        <v>0</v>
      </c>
      <c r="X594" s="12">
        <f t="shared" si="142"/>
        <v>0</v>
      </c>
      <c r="Y594" s="12">
        <f t="shared" si="143"/>
        <v>0</v>
      </c>
      <c r="Z594" s="11"/>
      <c r="AA594" s="13">
        <f t="shared" si="144"/>
        <v>0</v>
      </c>
      <c r="AB594" s="12">
        <f t="shared" si="145"/>
        <v>0</v>
      </c>
      <c r="AC594" s="14">
        <f t="shared" si="148"/>
        <v>0</v>
      </c>
      <c r="AE594" s="19">
        <f t="shared" si="146"/>
        <v>0</v>
      </c>
      <c r="AF594" s="19"/>
      <c r="AG594" s="17"/>
      <c r="AK594" s="7"/>
      <c r="AL594" s="108">
        <f t="shared" si="149"/>
        <v>0</v>
      </c>
      <c r="AM594" s="108">
        <f t="shared" si="150"/>
        <v>0</v>
      </c>
      <c r="AN594" s="113"/>
    </row>
    <row r="595" spans="2:40" x14ac:dyDescent="0.2">
      <c r="B595" s="7"/>
      <c r="C595" s="8"/>
      <c r="D595" s="8"/>
      <c r="E595" s="9"/>
      <c r="F595" s="6"/>
      <c r="G595" s="8"/>
      <c r="H595" s="32"/>
      <c r="I595" s="10" t="str">
        <f t="shared" si="147"/>
        <v>21</v>
      </c>
      <c r="J595" s="11">
        <v>1</v>
      </c>
      <c r="K595" s="11"/>
      <c r="L595" s="11"/>
      <c r="M595" s="11">
        <f t="shared" si="136"/>
        <v>0</v>
      </c>
      <c r="N595" s="11"/>
      <c r="O595" s="11">
        <f t="shared" si="137"/>
        <v>0</v>
      </c>
      <c r="P595" s="11"/>
      <c r="Q595" s="11"/>
      <c r="R595" s="11"/>
      <c r="S595" s="11">
        <f t="shared" si="138"/>
        <v>0</v>
      </c>
      <c r="T595" s="11">
        <f t="shared" si="139"/>
        <v>1666.6666666666667</v>
      </c>
      <c r="U595" s="11">
        <f t="shared" si="140"/>
        <v>0</v>
      </c>
      <c r="V595" s="24">
        <f t="shared" si="141"/>
        <v>0</v>
      </c>
      <c r="W595" s="11">
        <f>IF(V595&lt;=40000,0,
IF(V595&lt;=55000,(V595-40000)*10%,
IF(V595&lt;=70000,(V595-55000)*15%+1500,
IF(V595&lt;=200000,(V595-70000)*20%+1500+2250,
IF(V595&lt;=400000,(V595-200000)*22.5%+1500+2250+26000,
IF(V595&lt;=600000,(V595-400000)*25%+1500+2250+26000+45000,
IF(AND(V595&gt;600000,V595&lt;=1200000),(V595-400000)*25%+1500+2250+26000+45000
+IFERROR(LOOKUP(V595,{600001;700001;800001;900001},{4000;6750;10250;15250}),0),IF(V595&gt;1200000,((V595-1200000)*27.5%)+300000,0)
)))))))</f>
        <v>0</v>
      </c>
      <c r="X595" s="12">
        <f t="shared" si="142"/>
        <v>0</v>
      </c>
      <c r="Y595" s="12">
        <f t="shared" si="143"/>
        <v>0</v>
      </c>
      <c r="Z595" s="11"/>
      <c r="AA595" s="13">
        <f t="shared" si="144"/>
        <v>0</v>
      </c>
      <c r="AB595" s="12">
        <f t="shared" si="145"/>
        <v>0</v>
      </c>
      <c r="AC595" s="14">
        <f t="shared" si="148"/>
        <v>0</v>
      </c>
      <c r="AE595" s="19">
        <f t="shared" si="146"/>
        <v>0</v>
      </c>
      <c r="AF595" s="19"/>
      <c r="AG595" s="17"/>
      <c r="AK595" s="7"/>
      <c r="AL595" s="108">
        <f t="shared" si="149"/>
        <v>0</v>
      </c>
      <c r="AM595" s="108">
        <f t="shared" si="150"/>
        <v>0</v>
      </c>
      <c r="AN595" s="113"/>
    </row>
    <row r="596" spans="2:40" x14ac:dyDescent="0.2">
      <c r="B596" s="7"/>
      <c r="C596" s="8"/>
      <c r="D596" s="8"/>
      <c r="E596" s="9"/>
      <c r="F596" s="6"/>
      <c r="G596" s="8"/>
      <c r="H596" s="32"/>
      <c r="I596" s="10" t="str">
        <f t="shared" si="147"/>
        <v>21</v>
      </c>
      <c r="J596" s="11">
        <v>1</v>
      </c>
      <c r="K596" s="11"/>
      <c r="L596" s="11"/>
      <c r="M596" s="11">
        <f t="shared" si="136"/>
        <v>0</v>
      </c>
      <c r="N596" s="11"/>
      <c r="O596" s="11">
        <f t="shared" si="137"/>
        <v>0</v>
      </c>
      <c r="P596" s="11"/>
      <c r="Q596" s="11"/>
      <c r="R596" s="11"/>
      <c r="S596" s="11">
        <f t="shared" si="138"/>
        <v>0</v>
      </c>
      <c r="T596" s="11">
        <f t="shared" si="139"/>
        <v>1666.6666666666667</v>
      </c>
      <c r="U596" s="11">
        <f t="shared" si="140"/>
        <v>0</v>
      </c>
      <c r="V596" s="24">
        <f t="shared" si="141"/>
        <v>0</v>
      </c>
      <c r="W596" s="11">
        <f>IF(V596&lt;=40000,0,
IF(V596&lt;=55000,(V596-40000)*10%,
IF(V596&lt;=70000,(V596-55000)*15%+1500,
IF(V596&lt;=200000,(V596-70000)*20%+1500+2250,
IF(V596&lt;=400000,(V596-200000)*22.5%+1500+2250+26000,
IF(V596&lt;=600000,(V596-400000)*25%+1500+2250+26000+45000,
IF(AND(V596&gt;600000,V596&lt;=1200000),(V596-400000)*25%+1500+2250+26000+45000
+IFERROR(LOOKUP(V596,{600001;700001;800001;900001},{4000;6750;10250;15250}),0),IF(V596&gt;1200000,((V596-1200000)*27.5%)+300000,0)
)))))))</f>
        <v>0</v>
      </c>
      <c r="X596" s="12">
        <f t="shared" si="142"/>
        <v>0</v>
      </c>
      <c r="Y596" s="12">
        <f t="shared" si="143"/>
        <v>0</v>
      </c>
      <c r="Z596" s="11"/>
      <c r="AA596" s="13">
        <f t="shared" si="144"/>
        <v>0</v>
      </c>
      <c r="AB596" s="12">
        <f t="shared" si="145"/>
        <v>0</v>
      </c>
      <c r="AC596" s="14">
        <f t="shared" si="148"/>
        <v>0</v>
      </c>
      <c r="AE596" s="19">
        <f t="shared" si="146"/>
        <v>0</v>
      </c>
      <c r="AF596" s="19"/>
      <c r="AG596" s="17"/>
      <c r="AK596" s="7"/>
      <c r="AL596" s="108">
        <f t="shared" si="149"/>
        <v>0</v>
      </c>
      <c r="AM596" s="108">
        <f t="shared" si="150"/>
        <v>0</v>
      </c>
      <c r="AN596" s="113"/>
    </row>
    <row r="597" spans="2:40" x14ac:dyDescent="0.2">
      <c r="B597" s="7"/>
      <c r="C597" s="8"/>
      <c r="D597" s="8"/>
      <c r="E597" s="9"/>
      <c r="F597" s="6"/>
      <c r="G597" s="8"/>
      <c r="H597" s="32"/>
      <c r="I597" s="10" t="str">
        <f t="shared" si="147"/>
        <v>21</v>
      </c>
      <c r="J597" s="11">
        <v>1</v>
      </c>
      <c r="K597" s="11"/>
      <c r="L597" s="11"/>
      <c r="M597" s="11">
        <f t="shared" si="136"/>
        <v>0</v>
      </c>
      <c r="N597" s="11"/>
      <c r="O597" s="11">
        <f t="shared" si="137"/>
        <v>0</v>
      </c>
      <c r="P597" s="11"/>
      <c r="Q597" s="11"/>
      <c r="R597" s="11"/>
      <c r="S597" s="11">
        <f t="shared" si="138"/>
        <v>0</v>
      </c>
      <c r="T597" s="11">
        <f t="shared" si="139"/>
        <v>1666.6666666666667</v>
      </c>
      <c r="U597" s="11">
        <f t="shared" si="140"/>
        <v>0</v>
      </c>
      <c r="V597" s="24">
        <f t="shared" si="141"/>
        <v>0</v>
      </c>
      <c r="W597" s="11">
        <f>IF(V597&lt;=40000,0,
IF(V597&lt;=55000,(V597-40000)*10%,
IF(V597&lt;=70000,(V597-55000)*15%+1500,
IF(V597&lt;=200000,(V597-70000)*20%+1500+2250,
IF(V597&lt;=400000,(V597-200000)*22.5%+1500+2250+26000,
IF(V597&lt;=600000,(V597-400000)*25%+1500+2250+26000+45000,
IF(AND(V597&gt;600000,V597&lt;=1200000),(V597-400000)*25%+1500+2250+26000+45000
+IFERROR(LOOKUP(V597,{600001;700001;800001;900001},{4000;6750;10250;15250}),0),IF(V597&gt;1200000,((V597-1200000)*27.5%)+300000,0)
)))))))</f>
        <v>0</v>
      </c>
      <c r="X597" s="12">
        <f t="shared" si="142"/>
        <v>0</v>
      </c>
      <c r="Y597" s="12">
        <f t="shared" si="143"/>
        <v>0</v>
      </c>
      <c r="Z597" s="11"/>
      <c r="AA597" s="13">
        <f t="shared" si="144"/>
        <v>0</v>
      </c>
      <c r="AB597" s="12">
        <f t="shared" si="145"/>
        <v>0</v>
      </c>
      <c r="AC597" s="14">
        <f t="shared" si="148"/>
        <v>0</v>
      </c>
      <c r="AE597" s="19">
        <f t="shared" si="146"/>
        <v>0</v>
      </c>
      <c r="AF597" s="19"/>
      <c r="AG597" s="17"/>
      <c r="AK597" s="7"/>
      <c r="AL597" s="108">
        <f t="shared" si="149"/>
        <v>0</v>
      </c>
      <c r="AM597" s="108">
        <f t="shared" si="150"/>
        <v>0</v>
      </c>
      <c r="AN597" s="113"/>
    </row>
    <row r="598" spans="2:40" x14ac:dyDescent="0.2">
      <c r="B598" s="7"/>
      <c r="C598" s="8"/>
      <c r="D598" s="8"/>
      <c r="E598" s="9"/>
      <c r="F598" s="6"/>
      <c r="G598" s="8"/>
      <c r="H598" s="32"/>
      <c r="I598" s="10" t="str">
        <f t="shared" si="147"/>
        <v>21</v>
      </c>
      <c r="J598" s="11">
        <v>1</v>
      </c>
      <c r="K598" s="11"/>
      <c r="L598" s="11"/>
      <c r="M598" s="11">
        <f t="shared" si="136"/>
        <v>0</v>
      </c>
      <c r="N598" s="11"/>
      <c r="O598" s="11">
        <f t="shared" si="137"/>
        <v>0</v>
      </c>
      <c r="P598" s="11"/>
      <c r="Q598" s="11"/>
      <c r="R598" s="11"/>
      <c r="S598" s="11">
        <f t="shared" si="138"/>
        <v>0</v>
      </c>
      <c r="T598" s="11">
        <f t="shared" si="139"/>
        <v>1666.6666666666667</v>
      </c>
      <c r="U598" s="11">
        <f t="shared" si="140"/>
        <v>0</v>
      </c>
      <c r="V598" s="24">
        <f t="shared" si="141"/>
        <v>0</v>
      </c>
      <c r="W598" s="11">
        <f>IF(V598&lt;=40000,0,
IF(V598&lt;=55000,(V598-40000)*10%,
IF(V598&lt;=70000,(V598-55000)*15%+1500,
IF(V598&lt;=200000,(V598-70000)*20%+1500+2250,
IF(V598&lt;=400000,(V598-200000)*22.5%+1500+2250+26000,
IF(V598&lt;=600000,(V598-400000)*25%+1500+2250+26000+45000,
IF(AND(V598&gt;600000,V598&lt;=1200000),(V598-400000)*25%+1500+2250+26000+45000
+IFERROR(LOOKUP(V598,{600001;700001;800001;900001},{4000;6750;10250;15250}),0),IF(V598&gt;1200000,((V598-1200000)*27.5%)+300000,0)
)))))))</f>
        <v>0</v>
      </c>
      <c r="X598" s="12">
        <f t="shared" si="142"/>
        <v>0</v>
      </c>
      <c r="Y598" s="12">
        <f t="shared" si="143"/>
        <v>0</v>
      </c>
      <c r="Z598" s="11"/>
      <c r="AA598" s="13">
        <f t="shared" si="144"/>
        <v>0</v>
      </c>
      <c r="AB598" s="12">
        <f t="shared" si="145"/>
        <v>0</v>
      </c>
      <c r="AC598" s="14">
        <f t="shared" si="148"/>
        <v>0</v>
      </c>
      <c r="AE598" s="19">
        <f t="shared" si="146"/>
        <v>0</v>
      </c>
      <c r="AF598" s="19"/>
      <c r="AG598" s="17"/>
      <c r="AK598" s="7"/>
      <c r="AL598" s="108">
        <f t="shared" si="149"/>
        <v>0</v>
      </c>
      <c r="AM598" s="108">
        <f t="shared" si="150"/>
        <v>0</v>
      </c>
      <c r="AN598" s="113"/>
    </row>
    <row r="599" spans="2:40" x14ac:dyDescent="0.2">
      <c r="B599" s="7"/>
      <c r="C599" s="8"/>
      <c r="D599" s="8"/>
      <c r="E599" s="9"/>
      <c r="F599" s="6"/>
      <c r="G599" s="8"/>
      <c r="H599" s="32"/>
      <c r="I599" s="10" t="str">
        <f t="shared" si="147"/>
        <v>21</v>
      </c>
      <c r="J599" s="11">
        <v>1</v>
      </c>
      <c r="K599" s="11"/>
      <c r="L599" s="11"/>
      <c r="M599" s="11">
        <f t="shared" si="136"/>
        <v>0</v>
      </c>
      <c r="N599" s="11"/>
      <c r="O599" s="11">
        <f t="shared" si="137"/>
        <v>0</v>
      </c>
      <c r="P599" s="11"/>
      <c r="Q599" s="11"/>
      <c r="R599" s="11"/>
      <c r="S599" s="11">
        <f t="shared" si="138"/>
        <v>0</v>
      </c>
      <c r="T599" s="11">
        <f t="shared" si="139"/>
        <v>1666.6666666666667</v>
      </c>
      <c r="U599" s="11">
        <f t="shared" si="140"/>
        <v>0</v>
      </c>
      <c r="V599" s="24">
        <f t="shared" si="141"/>
        <v>0</v>
      </c>
      <c r="W599" s="11">
        <f>IF(V599&lt;=40000,0,
IF(V599&lt;=55000,(V599-40000)*10%,
IF(V599&lt;=70000,(V599-55000)*15%+1500,
IF(V599&lt;=200000,(V599-70000)*20%+1500+2250,
IF(V599&lt;=400000,(V599-200000)*22.5%+1500+2250+26000,
IF(V599&lt;=600000,(V599-400000)*25%+1500+2250+26000+45000,
IF(AND(V599&gt;600000,V599&lt;=1200000),(V599-400000)*25%+1500+2250+26000+45000
+IFERROR(LOOKUP(V599,{600001;700001;800001;900001},{4000;6750;10250;15250}),0),IF(V599&gt;1200000,((V599-1200000)*27.5%)+300000,0)
)))))))</f>
        <v>0</v>
      </c>
      <c r="X599" s="12">
        <f t="shared" si="142"/>
        <v>0</v>
      </c>
      <c r="Y599" s="12">
        <f t="shared" si="143"/>
        <v>0</v>
      </c>
      <c r="Z599" s="11"/>
      <c r="AA599" s="13">
        <f t="shared" si="144"/>
        <v>0</v>
      </c>
      <c r="AB599" s="12">
        <f t="shared" si="145"/>
        <v>0</v>
      </c>
      <c r="AC599" s="14">
        <f t="shared" si="148"/>
        <v>0</v>
      </c>
      <c r="AE599" s="19">
        <f t="shared" si="146"/>
        <v>0</v>
      </c>
      <c r="AF599" s="19"/>
      <c r="AG599" s="17"/>
      <c r="AK599" s="7"/>
      <c r="AL599" s="108">
        <f t="shared" si="149"/>
        <v>0</v>
      </c>
      <c r="AM599" s="108">
        <f t="shared" si="150"/>
        <v>0</v>
      </c>
      <c r="AN599" s="113"/>
    </row>
    <row r="600" spans="2:40" x14ac:dyDescent="0.2">
      <c r="B600" s="7"/>
      <c r="C600" s="8"/>
      <c r="D600" s="8"/>
      <c r="E600" s="9"/>
      <c r="F600" s="6"/>
      <c r="G600" s="8"/>
      <c r="H600" s="32"/>
      <c r="I600" s="10" t="str">
        <f t="shared" si="147"/>
        <v>21</v>
      </c>
      <c r="J600" s="11">
        <v>1</v>
      </c>
      <c r="K600" s="11"/>
      <c r="L600" s="11"/>
      <c r="M600" s="11">
        <f t="shared" si="136"/>
        <v>0</v>
      </c>
      <c r="N600" s="11"/>
      <c r="O600" s="11">
        <f t="shared" si="137"/>
        <v>0</v>
      </c>
      <c r="P600" s="11"/>
      <c r="Q600" s="11"/>
      <c r="R600" s="11"/>
      <c r="S600" s="11">
        <f t="shared" si="138"/>
        <v>0</v>
      </c>
      <c r="T600" s="11">
        <f t="shared" si="139"/>
        <v>1666.6666666666667</v>
      </c>
      <c r="U600" s="11">
        <f t="shared" si="140"/>
        <v>0</v>
      </c>
      <c r="V600" s="24">
        <f t="shared" si="141"/>
        <v>0</v>
      </c>
      <c r="W600" s="11">
        <f>IF(V600&lt;=40000,0,
IF(V600&lt;=55000,(V600-40000)*10%,
IF(V600&lt;=70000,(V600-55000)*15%+1500,
IF(V600&lt;=200000,(V600-70000)*20%+1500+2250,
IF(V600&lt;=400000,(V600-200000)*22.5%+1500+2250+26000,
IF(V600&lt;=600000,(V600-400000)*25%+1500+2250+26000+45000,
IF(AND(V600&gt;600000,V600&lt;=1200000),(V600-400000)*25%+1500+2250+26000+45000
+IFERROR(LOOKUP(V600,{600001;700001;800001;900001},{4000;6750;10250;15250}),0),IF(V600&gt;1200000,((V600-1200000)*27.5%)+300000,0)
)))))))</f>
        <v>0</v>
      </c>
      <c r="X600" s="12">
        <f t="shared" si="142"/>
        <v>0</v>
      </c>
      <c r="Y600" s="12">
        <f t="shared" si="143"/>
        <v>0</v>
      </c>
      <c r="Z600" s="11"/>
      <c r="AA600" s="13">
        <f t="shared" si="144"/>
        <v>0</v>
      </c>
      <c r="AB600" s="12">
        <f t="shared" si="145"/>
        <v>0</v>
      </c>
      <c r="AC600" s="14">
        <f t="shared" si="148"/>
        <v>0</v>
      </c>
      <c r="AE600" s="19">
        <f t="shared" si="146"/>
        <v>0</v>
      </c>
      <c r="AF600" s="19"/>
      <c r="AG600" s="17"/>
      <c r="AK600" s="7"/>
      <c r="AL600" s="108">
        <f t="shared" si="149"/>
        <v>0</v>
      </c>
      <c r="AM600" s="108">
        <f t="shared" si="150"/>
        <v>0</v>
      </c>
      <c r="AN600" s="113"/>
    </row>
    <row r="601" spans="2:40" x14ac:dyDescent="0.2">
      <c r="B601" s="7"/>
      <c r="C601" s="8"/>
      <c r="D601" s="8"/>
      <c r="E601" s="9"/>
      <c r="F601" s="6"/>
      <c r="G601" s="8"/>
      <c r="H601" s="32"/>
      <c r="I601" s="10" t="str">
        <f t="shared" si="147"/>
        <v>21</v>
      </c>
      <c r="J601" s="11">
        <v>1</v>
      </c>
      <c r="K601" s="11"/>
      <c r="L601" s="11"/>
      <c r="M601" s="11">
        <f t="shared" si="136"/>
        <v>0</v>
      </c>
      <c r="N601" s="11"/>
      <c r="O601" s="11">
        <f t="shared" si="137"/>
        <v>0</v>
      </c>
      <c r="P601" s="11"/>
      <c r="Q601" s="11"/>
      <c r="R601" s="11"/>
      <c r="S601" s="11">
        <f t="shared" si="138"/>
        <v>0</v>
      </c>
      <c r="T601" s="11">
        <f t="shared" si="139"/>
        <v>1666.6666666666667</v>
      </c>
      <c r="U601" s="11">
        <f t="shared" si="140"/>
        <v>0</v>
      </c>
      <c r="V601" s="24">
        <f t="shared" si="141"/>
        <v>0</v>
      </c>
      <c r="W601" s="11">
        <f>IF(V601&lt;=40000,0,
IF(V601&lt;=55000,(V601-40000)*10%,
IF(V601&lt;=70000,(V601-55000)*15%+1500,
IF(V601&lt;=200000,(V601-70000)*20%+1500+2250,
IF(V601&lt;=400000,(V601-200000)*22.5%+1500+2250+26000,
IF(V601&lt;=600000,(V601-400000)*25%+1500+2250+26000+45000,
IF(AND(V601&gt;600000,V601&lt;=1200000),(V601-400000)*25%+1500+2250+26000+45000
+IFERROR(LOOKUP(V601,{600001;700001;800001;900001},{4000;6750;10250;15250}),0),IF(V601&gt;1200000,((V601-1200000)*27.5%)+300000,0)
)))))))</f>
        <v>0</v>
      </c>
      <c r="X601" s="12">
        <f t="shared" si="142"/>
        <v>0</v>
      </c>
      <c r="Y601" s="12">
        <f t="shared" si="143"/>
        <v>0</v>
      </c>
      <c r="Z601" s="11"/>
      <c r="AA601" s="13">
        <f t="shared" si="144"/>
        <v>0</v>
      </c>
      <c r="AB601" s="12">
        <f t="shared" si="145"/>
        <v>0</v>
      </c>
      <c r="AC601" s="14">
        <f t="shared" si="148"/>
        <v>0</v>
      </c>
      <c r="AE601" s="19">
        <f t="shared" si="146"/>
        <v>0</v>
      </c>
      <c r="AF601" s="19"/>
      <c r="AG601" s="17"/>
      <c r="AK601" s="7"/>
      <c r="AL601" s="108">
        <f t="shared" si="149"/>
        <v>0</v>
      </c>
      <c r="AM601" s="108">
        <f t="shared" si="150"/>
        <v>0</v>
      </c>
      <c r="AN601" s="113"/>
    </row>
    <row r="602" spans="2:40" x14ac:dyDescent="0.2">
      <c r="B602" s="7"/>
      <c r="C602" s="8"/>
      <c r="D602" s="8"/>
      <c r="E602" s="9"/>
      <c r="F602" s="6"/>
      <c r="G602" s="8"/>
      <c r="H602" s="32"/>
      <c r="I602" s="10" t="str">
        <f t="shared" si="147"/>
        <v>21</v>
      </c>
      <c r="J602" s="11">
        <v>1</v>
      </c>
      <c r="K602" s="11"/>
      <c r="L602" s="11"/>
      <c r="M602" s="11">
        <f t="shared" si="136"/>
        <v>0</v>
      </c>
      <c r="N602" s="11"/>
      <c r="O602" s="11">
        <f t="shared" si="137"/>
        <v>0</v>
      </c>
      <c r="P602" s="11"/>
      <c r="Q602" s="11"/>
      <c r="R602" s="11"/>
      <c r="S602" s="11">
        <f t="shared" si="138"/>
        <v>0</v>
      </c>
      <c r="T602" s="11">
        <f t="shared" si="139"/>
        <v>1666.6666666666667</v>
      </c>
      <c r="U602" s="11">
        <f t="shared" si="140"/>
        <v>0</v>
      </c>
      <c r="V602" s="24">
        <f t="shared" si="141"/>
        <v>0</v>
      </c>
      <c r="W602" s="11">
        <f>IF(V602&lt;=40000,0,
IF(V602&lt;=55000,(V602-40000)*10%,
IF(V602&lt;=70000,(V602-55000)*15%+1500,
IF(V602&lt;=200000,(V602-70000)*20%+1500+2250,
IF(V602&lt;=400000,(V602-200000)*22.5%+1500+2250+26000,
IF(V602&lt;=600000,(V602-400000)*25%+1500+2250+26000+45000,
IF(AND(V602&gt;600000,V602&lt;=1200000),(V602-400000)*25%+1500+2250+26000+45000
+IFERROR(LOOKUP(V602,{600001;700001;800001;900001},{4000;6750;10250;15250}),0),IF(V602&gt;1200000,((V602-1200000)*27.5%)+300000,0)
)))))))</f>
        <v>0</v>
      </c>
      <c r="X602" s="12">
        <f t="shared" si="142"/>
        <v>0</v>
      </c>
      <c r="Y602" s="12">
        <f t="shared" si="143"/>
        <v>0</v>
      </c>
      <c r="Z602" s="11"/>
      <c r="AA602" s="13">
        <f t="shared" si="144"/>
        <v>0</v>
      </c>
      <c r="AB602" s="12">
        <f t="shared" si="145"/>
        <v>0</v>
      </c>
      <c r="AC602" s="14">
        <f t="shared" si="148"/>
        <v>0</v>
      </c>
      <c r="AE602" s="19">
        <f t="shared" si="146"/>
        <v>0</v>
      </c>
      <c r="AF602" s="19"/>
      <c r="AG602" s="17"/>
      <c r="AK602" s="7"/>
      <c r="AL602" s="108">
        <f t="shared" si="149"/>
        <v>0</v>
      </c>
      <c r="AM602" s="108">
        <f t="shared" si="150"/>
        <v>0</v>
      </c>
      <c r="AN602" s="113"/>
    </row>
    <row r="603" spans="2:40" x14ac:dyDescent="0.2">
      <c r="B603" s="7"/>
      <c r="C603" s="8"/>
      <c r="D603" s="8"/>
      <c r="E603" s="9"/>
      <c r="F603" s="6"/>
      <c r="G603" s="8"/>
      <c r="H603" s="32"/>
      <c r="I603" s="10" t="str">
        <f t="shared" si="147"/>
        <v>21</v>
      </c>
      <c r="J603" s="11">
        <v>1</v>
      </c>
      <c r="K603" s="11"/>
      <c r="L603" s="11"/>
      <c r="M603" s="11">
        <f t="shared" si="136"/>
        <v>0</v>
      </c>
      <c r="N603" s="11"/>
      <c r="O603" s="11">
        <f t="shared" si="137"/>
        <v>0</v>
      </c>
      <c r="P603" s="11"/>
      <c r="Q603" s="11"/>
      <c r="R603" s="11"/>
      <c r="S603" s="11">
        <f t="shared" si="138"/>
        <v>0</v>
      </c>
      <c r="T603" s="11">
        <f t="shared" si="139"/>
        <v>1666.6666666666667</v>
      </c>
      <c r="U603" s="11">
        <f t="shared" si="140"/>
        <v>0</v>
      </c>
      <c r="V603" s="24">
        <f t="shared" si="141"/>
        <v>0</v>
      </c>
      <c r="W603" s="11">
        <f>IF(V603&lt;=40000,0,
IF(V603&lt;=55000,(V603-40000)*10%,
IF(V603&lt;=70000,(V603-55000)*15%+1500,
IF(V603&lt;=200000,(V603-70000)*20%+1500+2250,
IF(V603&lt;=400000,(V603-200000)*22.5%+1500+2250+26000,
IF(V603&lt;=600000,(V603-400000)*25%+1500+2250+26000+45000,
IF(AND(V603&gt;600000,V603&lt;=1200000),(V603-400000)*25%+1500+2250+26000+45000
+IFERROR(LOOKUP(V603,{600001;700001;800001;900001},{4000;6750;10250;15250}),0),IF(V603&gt;1200000,((V603-1200000)*27.5%)+300000,0)
)))))))</f>
        <v>0</v>
      </c>
      <c r="X603" s="12">
        <f t="shared" si="142"/>
        <v>0</v>
      </c>
      <c r="Y603" s="12">
        <f t="shared" si="143"/>
        <v>0</v>
      </c>
      <c r="Z603" s="11"/>
      <c r="AA603" s="13">
        <f t="shared" si="144"/>
        <v>0</v>
      </c>
      <c r="AB603" s="12">
        <f t="shared" si="145"/>
        <v>0</v>
      </c>
      <c r="AC603" s="14">
        <f t="shared" si="148"/>
        <v>0</v>
      </c>
      <c r="AE603" s="19">
        <f t="shared" si="146"/>
        <v>0</v>
      </c>
      <c r="AF603" s="19"/>
      <c r="AG603" s="17"/>
      <c r="AK603" s="7"/>
      <c r="AL603" s="108">
        <f t="shared" si="149"/>
        <v>0</v>
      </c>
      <c r="AM603" s="108">
        <f t="shared" si="150"/>
        <v>0</v>
      </c>
      <c r="AN603" s="113"/>
    </row>
    <row r="604" spans="2:40" x14ac:dyDescent="0.2">
      <c r="B604" s="7"/>
      <c r="C604" s="8"/>
      <c r="D604" s="8"/>
      <c r="E604" s="9"/>
      <c r="F604" s="6"/>
      <c r="G604" s="8"/>
      <c r="H604" s="32"/>
      <c r="I604" s="10" t="str">
        <f t="shared" si="147"/>
        <v>21</v>
      </c>
      <c r="J604" s="11">
        <v>1</v>
      </c>
      <c r="K604" s="11"/>
      <c r="L604" s="11"/>
      <c r="M604" s="11">
        <f t="shared" si="136"/>
        <v>0</v>
      </c>
      <c r="N604" s="11"/>
      <c r="O604" s="11">
        <f t="shared" si="137"/>
        <v>0</v>
      </c>
      <c r="P604" s="11"/>
      <c r="Q604" s="11"/>
      <c r="R604" s="11"/>
      <c r="S604" s="11">
        <f t="shared" si="138"/>
        <v>0</v>
      </c>
      <c r="T604" s="11">
        <f t="shared" si="139"/>
        <v>1666.6666666666667</v>
      </c>
      <c r="U604" s="11">
        <f t="shared" si="140"/>
        <v>0</v>
      </c>
      <c r="V604" s="24">
        <f t="shared" si="141"/>
        <v>0</v>
      </c>
      <c r="W604" s="11">
        <f>IF(V604&lt;=40000,0,
IF(V604&lt;=55000,(V604-40000)*10%,
IF(V604&lt;=70000,(V604-55000)*15%+1500,
IF(V604&lt;=200000,(V604-70000)*20%+1500+2250,
IF(V604&lt;=400000,(V604-200000)*22.5%+1500+2250+26000,
IF(V604&lt;=600000,(V604-400000)*25%+1500+2250+26000+45000,
IF(AND(V604&gt;600000,V604&lt;=1200000),(V604-400000)*25%+1500+2250+26000+45000
+IFERROR(LOOKUP(V604,{600001;700001;800001;900001},{4000;6750;10250;15250}),0),IF(V604&gt;1200000,((V604-1200000)*27.5%)+300000,0)
)))))))</f>
        <v>0</v>
      </c>
      <c r="X604" s="12">
        <f t="shared" si="142"/>
        <v>0</v>
      </c>
      <c r="Y604" s="12">
        <f t="shared" si="143"/>
        <v>0</v>
      </c>
      <c r="Z604" s="11"/>
      <c r="AA604" s="13">
        <f t="shared" si="144"/>
        <v>0</v>
      </c>
      <c r="AB604" s="12">
        <f t="shared" si="145"/>
        <v>0</v>
      </c>
      <c r="AC604" s="14">
        <f t="shared" si="148"/>
        <v>0</v>
      </c>
      <c r="AE604" s="19">
        <f t="shared" si="146"/>
        <v>0</v>
      </c>
      <c r="AF604" s="19"/>
      <c r="AG604" s="17"/>
      <c r="AK604" s="7"/>
      <c r="AL604" s="108">
        <f t="shared" si="149"/>
        <v>0</v>
      </c>
      <c r="AM604" s="108">
        <f t="shared" si="150"/>
        <v>0</v>
      </c>
      <c r="AN604" s="113"/>
    </row>
    <row r="605" spans="2:40" x14ac:dyDescent="0.2">
      <c r="B605" s="7"/>
      <c r="C605" s="8"/>
      <c r="D605" s="8"/>
      <c r="E605" s="9"/>
      <c r="F605" s="6"/>
      <c r="G605" s="8"/>
      <c r="H605" s="32"/>
      <c r="I605" s="10" t="str">
        <f t="shared" si="147"/>
        <v>21</v>
      </c>
      <c r="J605" s="11">
        <v>1</v>
      </c>
      <c r="K605" s="11"/>
      <c r="L605" s="11"/>
      <c r="M605" s="11">
        <f t="shared" ref="M605:M668" si="151">SUM(K605:L605)</f>
        <v>0</v>
      </c>
      <c r="N605" s="11"/>
      <c r="O605" s="11">
        <f t="shared" ref="O605:O668" si="152">+N605+M605</f>
        <v>0</v>
      </c>
      <c r="P605" s="11"/>
      <c r="Q605" s="11"/>
      <c r="R605" s="11"/>
      <c r="S605" s="11">
        <f t="shared" ref="S605:S668" si="153">O605-P605-Q605-R605</f>
        <v>0</v>
      </c>
      <c r="T605" s="11">
        <f t="shared" ref="T605:T668" si="154">IF(J605&gt;0,(20000/12*J605),0)</f>
        <v>1666.6666666666667</v>
      </c>
      <c r="U605" s="11">
        <f t="shared" ref="U605:U668" si="155">IF(AND(J605&gt;0,S605-T605&gt;0),S605-T605,0)</f>
        <v>0</v>
      </c>
      <c r="V605" s="24">
        <f t="shared" ref="V605:V668" si="156">IF(J605=0,0,(U605/J605*12))</f>
        <v>0</v>
      </c>
      <c r="W605" s="11">
        <f>IF(V605&lt;=40000,0,
IF(V605&lt;=55000,(V605-40000)*10%,
IF(V605&lt;=70000,(V605-55000)*15%+1500,
IF(V605&lt;=200000,(V605-70000)*20%+1500+2250,
IF(V605&lt;=400000,(V605-200000)*22.5%+1500+2250+26000,
IF(V605&lt;=600000,(V605-400000)*25%+1500+2250+26000+45000,
IF(AND(V605&gt;600000,V605&lt;=1200000),(V605-400000)*25%+1500+2250+26000+45000
+IFERROR(LOOKUP(V605,{600001;700001;800001;900001},{4000;6750;10250;15250}),0),IF(V605&gt;1200000,((V605-1200000)*27.5%)+300000,0)
)))))))</f>
        <v>0</v>
      </c>
      <c r="X605" s="12">
        <f t="shared" ref="X605:X668" si="157">N605*0.1</f>
        <v>0</v>
      </c>
      <c r="Y605" s="12">
        <f t="shared" ref="Y605:Y668" si="158">(W605/12*J605)-X605</f>
        <v>0</v>
      </c>
      <c r="Z605" s="11"/>
      <c r="AA605" s="13">
        <f t="shared" ref="AA605:AA668" si="159">+O605-P605-Y605-Z605</f>
        <v>0</v>
      </c>
      <c r="AB605" s="12">
        <f t="shared" ref="AB605:AB668" si="160">(P605/0.11)*18.75%</f>
        <v>0</v>
      </c>
      <c r="AC605" s="14">
        <f t="shared" si="148"/>
        <v>0</v>
      </c>
      <c r="AE605" s="19">
        <f t="shared" ref="AE605:AE668" si="161">+AD605-AC605</f>
        <v>0</v>
      </c>
      <c r="AF605" s="19"/>
      <c r="AG605" s="17"/>
      <c r="AK605" s="7"/>
      <c r="AL605" s="108">
        <f t="shared" si="149"/>
        <v>0</v>
      </c>
      <c r="AM605" s="108">
        <f t="shared" si="150"/>
        <v>0</v>
      </c>
      <c r="AN605" s="113"/>
    </row>
    <row r="606" spans="2:40" x14ac:dyDescent="0.2">
      <c r="B606" s="7"/>
      <c r="C606" s="8"/>
      <c r="D606" s="8"/>
      <c r="E606" s="9"/>
      <c r="F606" s="6"/>
      <c r="G606" s="8"/>
      <c r="H606" s="32"/>
      <c r="I606" s="10" t="str">
        <f t="shared" si="147"/>
        <v>21</v>
      </c>
      <c r="J606" s="11">
        <v>1</v>
      </c>
      <c r="K606" s="11"/>
      <c r="L606" s="11"/>
      <c r="M606" s="11">
        <f t="shared" si="151"/>
        <v>0</v>
      </c>
      <c r="N606" s="11"/>
      <c r="O606" s="11">
        <f t="shared" si="152"/>
        <v>0</v>
      </c>
      <c r="P606" s="11"/>
      <c r="Q606" s="11"/>
      <c r="R606" s="11"/>
      <c r="S606" s="11">
        <f t="shared" si="153"/>
        <v>0</v>
      </c>
      <c r="T606" s="11">
        <f t="shared" si="154"/>
        <v>1666.6666666666667</v>
      </c>
      <c r="U606" s="11">
        <f t="shared" si="155"/>
        <v>0</v>
      </c>
      <c r="V606" s="24">
        <f t="shared" si="156"/>
        <v>0</v>
      </c>
      <c r="W606" s="11">
        <f>IF(V606&lt;=40000,0,
IF(V606&lt;=55000,(V606-40000)*10%,
IF(V606&lt;=70000,(V606-55000)*15%+1500,
IF(V606&lt;=200000,(V606-70000)*20%+1500+2250,
IF(V606&lt;=400000,(V606-200000)*22.5%+1500+2250+26000,
IF(V606&lt;=600000,(V606-400000)*25%+1500+2250+26000+45000,
IF(AND(V606&gt;600000,V606&lt;=1200000),(V606-400000)*25%+1500+2250+26000+45000
+IFERROR(LOOKUP(V606,{600001;700001;800001;900001},{4000;6750;10250;15250}),0),IF(V606&gt;1200000,((V606-1200000)*27.5%)+300000,0)
)))))))</f>
        <v>0</v>
      </c>
      <c r="X606" s="12">
        <f t="shared" si="157"/>
        <v>0</v>
      </c>
      <c r="Y606" s="12">
        <f t="shared" si="158"/>
        <v>0</v>
      </c>
      <c r="Z606" s="11"/>
      <c r="AA606" s="13">
        <f t="shared" si="159"/>
        <v>0</v>
      </c>
      <c r="AB606" s="12">
        <f t="shared" si="160"/>
        <v>0</v>
      </c>
      <c r="AC606" s="14">
        <f t="shared" si="148"/>
        <v>0</v>
      </c>
      <c r="AE606" s="19">
        <f t="shared" si="161"/>
        <v>0</v>
      </c>
      <c r="AF606" s="19"/>
      <c r="AG606" s="17"/>
      <c r="AK606" s="7"/>
      <c r="AL606" s="108">
        <f t="shared" si="149"/>
        <v>0</v>
      </c>
      <c r="AM606" s="108">
        <f t="shared" si="150"/>
        <v>0</v>
      </c>
      <c r="AN606" s="113"/>
    </row>
    <row r="607" spans="2:40" x14ac:dyDescent="0.2">
      <c r="B607" s="7"/>
      <c r="C607" s="8"/>
      <c r="D607" s="8"/>
      <c r="E607" s="9"/>
      <c r="F607" s="6"/>
      <c r="G607" s="8"/>
      <c r="H607" s="32"/>
      <c r="I607" s="10" t="str">
        <f t="shared" si="147"/>
        <v>21</v>
      </c>
      <c r="J607" s="11">
        <v>1</v>
      </c>
      <c r="K607" s="11"/>
      <c r="L607" s="11"/>
      <c r="M607" s="11">
        <f t="shared" si="151"/>
        <v>0</v>
      </c>
      <c r="N607" s="11"/>
      <c r="O607" s="11">
        <f t="shared" si="152"/>
        <v>0</v>
      </c>
      <c r="P607" s="11"/>
      <c r="Q607" s="11"/>
      <c r="R607" s="11"/>
      <c r="S607" s="11">
        <f t="shared" si="153"/>
        <v>0</v>
      </c>
      <c r="T607" s="11">
        <f t="shared" si="154"/>
        <v>1666.6666666666667</v>
      </c>
      <c r="U607" s="11">
        <f t="shared" si="155"/>
        <v>0</v>
      </c>
      <c r="V607" s="24">
        <f t="shared" si="156"/>
        <v>0</v>
      </c>
      <c r="W607" s="11">
        <f>IF(V607&lt;=40000,0,
IF(V607&lt;=55000,(V607-40000)*10%,
IF(V607&lt;=70000,(V607-55000)*15%+1500,
IF(V607&lt;=200000,(V607-70000)*20%+1500+2250,
IF(V607&lt;=400000,(V607-200000)*22.5%+1500+2250+26000,
IF(V607&lt;=600000,(V607-400000)*25%+1500+2250+26000+45000,
IF(AND(V607&gt;600000,V607&lt;=1200000),(V607-400000)*25%+1500+2250+26000+45000
+IFERROR(LOOKUP(V607,{600001;700001;800001;900001},{4000;6750;10250;15250}),0),IF(V607&gt;1200000,((V607-1200000)*27.5%)+300000,0)
)))))))</f>
        <v>0</v>
      </c>
      <c r="X607" s="12">
        <f t="shared" si="157"/>
        <v>0</v>
      </c>
      <c r="Y607" s="12">
        <f t="shared" si="158"/>
        <v>0</v>
      </c>
      <c r="Z607" s="11"/>
      <c r="AA607" s="13">
        <f t="shared" si="159"/>
        <v>0</v>
      </c>
      <c r="AB607" s="12">
        <f t="shared" si="160"/>
        <v>0</v>
      </c>
      <c r="AC607" s="14">
        <f t="shared" si="148"/>
        <v>0</v>
      </c>
      <c r="AE607" s="19">
        <f t="shared" si="161"/>
        <v>0</v>
      </c>
      <c r="AF607" s="19"/>
      <c r="AG607" s="17"/>
      <c r="AK607" s="7"/>
      <c r="AL607" s="108">
        <f t="shared" si="149"/>
        <v>0</v>
      </c>
      <c r="AM607" s="108">
        <f t="shared" si="150"/>
        <v>0</v>
      </c>
      <c r="AN607" s="113"/>
    </row>
    <row r="608" spans="2:40" x14ac:dyDescent="0.2">
      <c r="B608" s="7"/>
      <c r="C608" s="8"/>
      <c r="D608" s="8"/>
      <c r="E608" s="9"/>
      <c r="F608" s="6"/>
      <c r="G608" s="8"/>
      <c r="H608" s="32"/>
      <c r="I608" s="10" t="str">
        <f t="shared" si="147"/>
        <v>21</v>
      </c>
      <c r="J608" s="11">
        <v>1</v>
      </c>
      <c r="K608" s="11"/>
      <c r="L608" s="11"/>
      <c r="M608" s="11">
        <f t="shared" si="151"/>
        <v>0</v>
      </c>
      <c r="N608" s="11"/>
      <c r="O608" s="11">
        <f t="shared" si="152"/>
        <v>0</v>
      </c>
      <c r="P608" s="11"/>
      <c r="Q608" s="11"/>
      <c r="R608" s="11"/>
      <c r="S608" s="11">
        <f t="shared" si="153"/>
        <v>0</v>
      </c>
      <c r="T608" s="11">
        <f t="shared" si="154"/>
        <v>1666.6666666666667</v>
      </c>
      <c r="U608" s="11">
        <f t="shared" si="155"/>
        <v>0</v>
      </c>
      <c r="V608" s="24">
        <f t="shared" si="156"/>
        <v>0</v>
      </c>
      <c r="W608" s="11">
        <f>IF(V608&lt;=40000,0,
IF(V608&lt;=55000,(V608-40000)*10%,
IF(V608&lt;=70000,(V608-55000)*15%+1500,
IF(V608&lt;=200000,(V608-70000)*20%+1500+2250,
IF(V608&lt;=400000,(V608-200000)*22.5%+1500+2250+26000,
IF(V608&lt;=600000,(V608-400000)*25%+1500+2250+26000+45000,
IF(AND(V608&gt;600000,V608&lt;=1200000),(V608-400000)*25%+1500+2250+26000+45000
+IFERROR(LOOKUP(V608,{600001;700001;800001;900001},{4000;6750;10250;15250}),0),IF(V608&gt;1200000,((V608-1200000)*27.5%)+300000,0)
)))))))</f>
        <v>0</v>
      </c>
      <c r="X608" s="12">
        <f t="shared" si="157"/>
        <v>0</v>
      </c>
      <c r="Y608" s="12">
        <f t="shared" si="158"/>
        <v>0</v>
      </c>
      <c r="Z608" s="11"/>
      <c r="AA608" s="13">
        <f t="shared" si="159"/>
        <v>0</v>
      </c>
      <c r="AB608" s="12">
        <f t="shared" si="160"/>
        <v>0</v>
      </c>
      <c r="AC608" s="14">
        <f t="shared" si="148"/>
        <v>0</v>
      </c>
      <c r="AE608" s="19">
        <f t="shared" si="161"/>
        <v>0</v>
      </c>
      <c r="AF608" s="19"/>
      <c r="AG608" s="17"/>
      <c r="AK608" s="7"/>
      <c r="AL608" s="108">
        <f t="shared" si="149"/>
        <v>0</v>
      </c>
      <c r="AM608" s="108">
        <f t="shared" si="150"/>
        <v>0</v>
      </c>
      <c r="AN608" s="113"/>
    </row>
    <row r="609" spans="2:40" x14ac:dyDescent="0.2">
      <c r="B609" s="7"/>
      <c r="C609" s="8"/>
      <c r="D609" s="8"/>
      <c r="E609" s="9"/>
      <c r="F609" s="6"/>
      <c r="G609" s="8"/>
      <c r="H609" s="32"/>
      <c r="I609" s="10" t="str">
        <f t="shared" si="147"/>
        <v>21</v>
      </c>
      <c r="J609" s="11">
        <v>1</v>
      </c>
      <c r="K609" s="11"/>
      <c r="L609" s="11"/>
      <c r="M609" s="11">
        <f t="shared" si="151"/>
        <v>0</v>
      </c>
      <c r="N609" s="11"/>
      <c r="O609" s="11">
        <f t="shared" si="152"/>
        <v>0</v>
      </c>
      <c r="P609" s="11"/>
      <c r="Q609" s="11"/>
      <c r="R609" s="11"/>
      <c r="S609" s="11">
        <f t="shared" si="153"/>
        <v>0</v>
      </c>
      <c r="T609" s="11">
        <f t="shared" si="154"/>
        <v>1666.6666666666667</v>
      </c>
      <c r="U609" s="11">
        <f t="shared" si="155"/>
        <v>0</v>
      </c>
      <c r="V609" s="24">
        <f t="shared" si="156"/>
        <v>0</v>
      </c>
      <c r="W609" s="11">
        <f>IF(V609&lt;=40000,0,
IF(V609&lt;=55000,(V609-40000)*10%,
IF(V609&lt;=70000,(V609-55000)*15%+1500,
IF(V609&lt;=200000,(V609-70000)*20%+1500+2250,
IF(V609&lt;=400000,(V609-200000)*22.5%+1500+2250+26000,
IF(V609&lt;=600000,(V609-400000)*25%+1500+2250+26000+45000,
IF(AND(V609&gt;600000,V609&lt;=1200000),(V609-400000)*25%+1500+2250+26000+45000
+IFERROR(LOOKUP(V609,{600001;700001;800001;900001},{4000;6750;10250;15250}),0),IF(V609&gt;1200000,((V609-1200000)*27.5%)+300000,0)
)))))))</f>
        <v>0</v>
      </c>
      <c r="X609" s="12">
        <f t="shared" si="157"/>
        <v>0</v>
      </c>
      <c r="Y609" s="12">
        <f t="shared" si="158"/>
        <v>0</v>
      </c>
      <c r="Z609" s="11"/>
      <c r="AA609" s="13">
        <f t="shared" si="159"/>
        <v>0</v>
      </c>
      <c r="AB609" s="12">
        <f t="shared" si="160"/>
        <v>0</v>
      </c>
      <c r="AC609" s="14">
        <f t="shared" si="148"/>
        <v>0</v>
      </c>
      <c r="AE609" s="19">
        <f t="shared" si="161"/>
        <v>0</v>
      </c>
      <c r="AF609" s="19"/>
      <c r="AG609" s="17"/>
      <c r="AK609" s="7"/>
      <c r="AL609" s="108">
        <f t="shared" si="149"/>
        <v>0</v>
      </c>
      <c r="AM609" s="108">
        <f t="shared" si="150"/>
        <v>0</v>
      </c>
      <c r="AN609" s="113"/>
    </row>
    <row r="610" spans="2:40" x14ac:dyDescent="0.2">
      <c r="B610" s="7"/>
      <c r="C610" s="8"/>
      <c r="D610" s="8"/>
      <c r="E610" s="9"/>
      <c r="F610" s="6"/>
      <c r="G610" s="8"/>
      <c r="H610" s="32"/>
      <c r="I610" s="10" t="str">
        <f t="shared" si="147"/>
        <v>21</v>
      </c>
      <c r="J610" s="11">
        <v>1</v>
      </c>
      <c r="K610" s="11"/>
      <c r="L610" s="11"/>
      <c r="M610" s="11">
        <f t="shared" si="151"/>
        <v>0</v>
      </c>
      <c r="N610" s="11"/>
      <c r="O610" s="11">
        <f t="shared" si="152"/>
        <v>0</v>
      </c>
      <c r="P610" s="11"/>
      <c r="Q610" s="11"/>
      <c r="R610" s="11"/>
      <c r="S610" s="11">
        <f t="shared" si="153"/>
        <v>0</v>
      </c>
      <c r="T610" s="11">
        <f t="shared" si="154"/>
        <v>1666.6666666666667</v>
      </c>
      <c r="U610" s="11">
        <f t="shared" si="155"/>
        <v>0</v>
      </c>
      <c r="V610" s="24">
        <f t="shared" si="156"/>
        <v>0</v>
      </c>
      <c r="W610" s="11">
        <f>IF(V610&lt;=40000,0,
IF(V610&lt;=55000,(V610-40000)*10%,
IF(V610&lt;=70000,(V610-55000)*15%+1500,
IF(V610&lt;=200000,(V610-70000)*20%+1500+2250,
IF(V610&lt;=400000,(V610-200000)*22.5%+1500+2250+26000,
IF(V610&lt;=600000,(V610-400000)*25%+1500+2250+26000+45000,
IF(AND(V610&gt;600000,V610&lt;=1200000),(V610-400000)*25%+1500+2250+26000+45000
+IFERROR(LOOKUP(V610,{600001;700001;800001;900001},{4000;6750;10250;15250}),0),IF(V610&gt;1200000,((V610-1200000)*27.5%)+300000,0)
)))))))</f>
        <v>0</v>
      </c>
      <c r="X610" s="12">
        <f t="shared" si="157"/>
        <v>0</v>
      </c>
      <c r="Y610" s="12">
        <f t="shared" si="158"/>
        <v>0</v>
      </c>
      <c r="Z610" s="11"/>
      <c r="AA610" s="13">
        <f t="shared" si="159"/>
        <v>0</v>
      </c>
      <c r="AB610" s="12">
        <f t="shared" si="160"/>
        <v>0</v>
      </c>
      <c r="AC610" s="14">
        <f t="shared" si="148"/>
        <v>0</v>
      </c>
      <c r="AE610" s="19">
        <f t="shared" si="161"/>
        <v>0</v>
      </c>
      <c r="AF610" s="19"/>
      <c r="AG610" s="17"/>
      <c r="AK610" s="7"/>
      <c r="AL610" s="108">
        <f t="shared" si="149"/>
        <v>0</v>
      </c>
      <c r="AM610" s="108">
        <f t="shared" si="150"/>
        <v>0</v>
      </c>
      <c r="AN610" s="113"/>
    </row>
    <row r="611" spans="2:40" x14ac:dyDescent="0.2">
      <c r="B611" s="7"/>
      <c r="C611" s="8"/>
      <c r="D611" s="8"/>
      <c r="E611" s="9"/>
      <c r="F611" s="6"/>
      <c r="G611" s="8"/>
      <c r="H611" s="32"/>
      <c r="I611" s="10" t="str">
        <f t="shared" si="147"/>
        <v>21</v>
      </c>
      <c r="J611" s="11">
        <v>1</v>
      </c>
      <c r="K611" s="11"/>
      <c r="L611" s="11"/>
      <c r="M611" s="11">
        <f t="shared" si="151"/>
        <v>0</v>
      </c>
      <c r="N611" s="11"/>
      <c r="O611" s="11">
        <f t="shared" si="152"/>
        <v>0</v>
      </c>
      <c r="P611" s="11"/>
      <c r="Q611" s="11"/>
      <c r="R611" s="11"/>
      <c r="S611" s="11">
        <f t="shared" si="153"/>
        <v>0</v>
      </c>
      <c r="T611" s="11">
        <f t="shared" si="154"/>
        <v>1666.6666666666667</v>
      </c>
      <c r="U611" s="11">
        <f t="shared" si="155"/>
        <v>0</v>
      </c>
      <c r="V611" s="24">
        <f t="shared" si="156"/>
        <v>0</v>
      </c>
      <c r="W611" s="11">
        <f>IF(V611&lt;=40000,0,
IF(V611&lt;=55000,(V611-40000)*10%,
IF(V611&lt;=70000,(V611-55000)*15%+1500,
IF(V611&lt;=200000,(V611-70000)*20%+1500+2250,
IF(V611&lt;=400000,(V611-200000)*22.5%+1500+2250+26000,
IF(V611&lt;=600000,(V611-400000)*25%+1500+2250+26000+45000,
IF(AND(V611&gt;600000,V611&lt;=1200000),(V611-400000)*25%+1500+2250+26000+45000
+IFERROR(LOOKUP(V611,{600001;700001;800001;900001},{4000;6750;10250;15250}),0),IF(V611&gt;1200000,((V611-1200000)*27.5%)+300000,0)
)))))))</f>
        <v>0</v>
      </c>
      <c r="X611" s="12">
        <f t="shared" si="157"/>
        <v>0</v>
      </c>
      <c r="Y611" s="12">
        <f t="shared" si="158"/>
        <v>0</v>
      </c>
      <c r="Z611" s="11"/>
      <c r="AA611" s="13">
        <f t="shared" si="159"/>
        <v>0</v>
      </c>
      <c r="AB611" s="12">
        <f t="shared" si="160"/>
        <v>0</v>
      </c>
      <c r="AC611" s="14">
        <f t="shared" si="148"/>
        <v>0</v>
      </c>
      <c r="AE611" s="19">
        <f t="shared" si="161"/>
        <v>0</v>
      </c>
      <c r="AF611" s="19"/>
      <c r="AG611" s="17"/>
      <c r="AK611" s="7"/>
      <c r="AL611" s="108">
        <f t="shared" si="149"/>
        <v>0</v>
      </c>
      <c r="AM611" s="108">
        <f t="shared" si="150"/>
        <v>0</v>
      </c>
      <c r="AN611" s="113"/>
    </row>
    <row r="612" spans="2:40" x14ac:dyDescent="0.2">
      <c r="B612" s="7"/>
      <c r="C612" s="8"/>
      <c r="D612" s="8"/>
      <c r="E612" s="9"/>
      <c r="F612" s="6"/>
      <c r="G612" s="8"/>
      <c r="H612" s="32"/>
      <c r="I612" s="10" t="str">
        <f t="shared" si="147"/>
        <v>21</v>
      </c>
      <c r="J612" s="11">
        <v>1</v>
      </c>
      <c r="K612" s="11"/>
      <c r="L612" s="11"/>
      <c r="M612" s="11">
        <f t="shared" si="151"/>
        <v>0</v>
      </c>
      <c r="N612" s="11"/>
      <c r="O612" s="11">
        <f t="shared" si="152"/>
        <v>0</v>
      </c>
      <c r="P612" s="11"/>
      <c r="Q612" s="11"/>
      <c r="R612" s="11"/>
      <c r="S612" s="11">
        <f t="shared" si="153"/>
        <v>0</v>
      </c>
      <c r="T612" s="11">
        <f t="shared" si="154"/>
        <v>1666.6666666666667</v>
      </c>
      <c r="U612" s="11">
        <f t="shared" si="155"/>
        <v>0</v>
      </c>
      <c r="V612" s="24">
        <f t="shared" si="156"/>
        <v>0</v>
      </c>
      <c r="W612" s="11">
        <f>IF(V612&lt;=40000,0,
IF(V612&lt;=55000,(V612-40000)*10%,
IF(V612&lt;=70000,(V612-55000)*15%+1500,
IF(V612&lt;=200000,(V612-70000)*20%+1500+2250,
IF(V612&lt;=400000,(V612-200000)*22.5%+1500+2250+26000,
IF(V612&lt;=600000,(V612-400000)*25%+1500+2250+26000+45000,
IF(AND(V612&gt;600000,V612&lt;=1200000),(V612-400000)*25%+1500+2250+26000+45000
+IFERROR(LOOKUP(V612,{600001;700001;800001;900001},{4000;6750;10250;15250}),0),IF(V612&gt;1200000,((V612-1200000)*27.5%)+300000,0)
)))))))</f>
        <v>0</v>
      </c>
      <c r="X612" s="12">
        <f t="shared" si="157"/>
        <v>0</v>
      </c>
      <c r="Y612" s="12">
        <f t="shared" si="158"/>
        <v>0</v>
      </c>
      <c r="Z612" s="11"/>
      <c r="AA612" s="13">
        <f t="shared" si="159"/>
        <v>0</v>
      </c>
      <c r="AB612" s="12">
        <f t="shared" si="160"/>
        <v>0</v>
      </c>
      <c r="AC612" s="14">
        <f t="shared" si="148"/>
        <v>0</v>
      </c>
      <c r="AE612" s="19">
        <f t="shared" si="161"/>
        <v>0</v>
      </c>
      <c r="AF612" s="19"/>
      <c r="AG612" s="17"/>
      <c r="AK612" s="7"/>
      <c r="AL612" s="108">
        <f t="shared" si="149"/>
        <v>0</v>
      </c>
      <c r="AM612" s="108">
        <f t="shared" si="150"/>
        <v>0</v>
      </c>
      <c r="AN612" s="113"/>
    </row>
    <row r="613" spans="2:40" x14ac:dyDescent="0.2">
      <c r="B613" s="7"/>
      <c r="C613" s="8"/>
      <c r="D613" s="8"/>
      <c r="E613" s="9"/>
      <c r="F613" s="6"/>
      <c r="G613" s="8"/>
      <c r="H613" s="32"/>
      <c r="I613" s="10" t="str">
        <f t="shared" si="147"/>
        <v>21</v>
      </c>
      <c r="J613" s="11">
        <v>1</v>
      </c>
      <c r="K613" s="11"/>
      <c r="L613" s="11"/>
      <c r="M613" s="11">
        <f t="shared" si="151"/>
        <v>0</v>
      </c>
      <c r="N613" s="11"/>
      <c r="O613" s="11">
        <f t="shared" si="152"/>
        <v>0</v>
      </c>
      <c r="P613" s="11"/>
      <c r="Q613" s="11"/>
      <c r="R613" s="11"/>
      <c r="S613" s="11">
        <f t="shared" si="153"/>
        <v>0</v>
      </c>
      <c r="T613" s="11">
        <f t="shared" si="154"/>
        <v>1666.6666666666667</v>
      </c>
      <c r="U613" s="11">
        <f t="shared" si="155"/>
        <v>0</v>
      </c>
      <c r="V613" s="24">
        <f t="shared" si="156"/>
        <v>0</v>
      </c>
      <c r="W613" s="11">
        <f>IF(V613&lt;=40000,0,
IF(V613&lt;=55000,(V613-40000)*10%,
IF(V613&lt;=70000,(V613-55000)*15%+1500,
IF(V613&lt;=200000,(V613-70000)*20%+1500+2250,
IF(V613&lt;=400000,(V613-200000)*22.5%+1500+2250+26000,
IF(V613&lt;=600000,(V613-400000)*25%+1500+2250+26000+45000,
IF(AND(V613&gt;600000,V613&lt;=1200000),(V613-400000)*25%+1500+2250+26000+45000
+IFERROR(LOOKUP(V613,{600001;700001;800001;900001},{4000;6750;10250;15250}),0),IF(V613&gt;1200000,((V613-1200000)*27.5%)+300000,0)
)))))))</f>
        <v>0</v>
      </c>
      <c r="X613" s="12">
        <f t="shared" si="157"/>
        <v>0</v>
      </c>
      <c r="Y613" s="12">
        <f t="shared" si="158"/>
        <v>0</v>
      </c>
      <c r="Z613" s="11"/>
      <c r="AA613" s="13">
        <f t="shared" si="159"/>
        <v>0</v>
      </c>
      <c r="AB613" s="12">
        <f t="shared" si="160"/>
        <v>0</v>
      </c>
      <c r="AC613" s="14">
        <f t="shared" si="148"/>
        <v>0</v>
      </c>
      <c r="AE613" s="19">
        <f t="shared" si="161"/>
        <v>0</v>
      </c>
      <c r="AF613" s="19"/>
      <c r="AG613" s="17"/>
      <c r="AK613" s="7"/>
      <c r="AL613" s="108">
        <f t="shared" si="149"/>
        <v>0</v>
      </c>
      <c r="AM613" s="108">
        <f t="shared" si="150"/>
        <v>0</v>
      </c>
      <c r="AN613" s="113"/>
    </row>
    <row r="614" spans="2:40" x14ac:dyDescent="0.2">
      <c r="B614" s="7"/>
      <c r="C614" s="8"/>
      <c r="D614" s="8"/>
      <c r="E614" s="9"/>
      <c r="F614" s="6"/>
      <c r="G614" s="8"/>
      <c r="H614" s="32"/>
      <c r="I614" s="10" t="str">
        <f t="shared" si="147"/>
        <v>21</v>
      </c>
      <c r="J614" s="11">
        <v>1</v>
      </c>
      <c r="K614" s="11"/>
      <c r="L614" s="11"/>
      <c r="M614" s="11">
        <f t="shared" si="151"/>
        <v>0</v>
      </c>
      <c r="N614" s="11"/>
      <c r="O614" s="11">
        <f t="shared" si="152"/>
        <v>0</v>
      </c>
      <c r="P614" s="11"/>
      <c r="Q614" s="11"/>
      <c r="R614" s="11"/>
      <c r="S614" s="11">
        <f t="shared" si="153"/>
        <v>0</v>
      </c>
      <c r="T614" s="11">
        <f t="shared" si="154"/>
        <v>1666.6666666666667</v>
      </c>
      <c r="U614" s="11">
        <f t="shared" si="155"/>
        <v>0</v>
      </c>
      <c r="V614" s="24">
        <f t="shared" si="156"/>
        <v>0</v>
      </c>
      <c r="W614" s="11">
        <f>IF(V614&lt;=40000,0,
IF(V614&lt;=55000,(V614-40000)*10%,
IF(V614&lt;=70000,(V614-55000)*15%+1500,
IF(V614&lt;=200000,(V614-70000)*20%+1500+2250,
IF(V614&lt;=400000,(V614-200000)*22.5%+1500+2250+26000,
IF(V614&lt;=600000,(V614-400000)*25%+1500+2250+26000+45000,
IF(AND(V614&gt;600000,V614&lt;=1200000),(V614-400000)*25%+1500+2250+26000+45000
+IFERROR(LOOKUP(V614,{600001;700001;800001;900001},{4000;6750;10250;15250}),0),IF(V614&gt;1200000,((V614-1200000)*27.5%)+300000,0)
)))))))</f>
        <v>0</v>
      </c>
      <c r="X614" s="12">
        <f t="shared" si="157"/>
        <v>0</v>
      </c>
      <c r="Y614" s="12">
        <f t="shared" si="158"/>
        <v>0</v>
      </c>
      <c r="Z614" s="11"/>
      <c r="AA614" s="13">
        <f t="shared" si="159"/>
        <v>0</v>
      </c>
      <c r="AB614" s="12">
        <f t="shared" si="160"/>
        <v>0</v>
      </c>
      <c r="AC614" s="14">
        <f t="shared" si="148"/>
        <v>0</v>
      </c>
      <c r="AE614" s="19">
        <f t="shared" si="161"/>
        <v>0</v>
      </c>
      <c r="AF614" s="19"/>
      <c r="AG614" s="17"/>
      <c r="AK614" s="7"/>
      <c r="AL614" s="108">
        <f t="shared" si="149"/>
        <v>0</v>
      </c>
      <c r="AM614" s="108">
        <f t="shared" si="150"/>
        <v>0</v>
      </c>
      <c r="AN614" s="113"/>
    </row>
    <row r="615" spans="2:40" x14ac:dyDescent="0.2">
      <c r="B615" s="7"/>
      <c r="C615" s="8"/>
      <c r="D615" s="8"/>
      <c r="E615" s="9"/>
      <c r="F615" s="6"/>
      <c r="G615" s="8"/>
      <c r="H615" s="32"/>
      <c r="I615" s="10" t="str">
        <f t="shared" si="147"/>
        <v>21</v>
      </c>
      <c r="J615" s="11">
        <v>1</v>
      </c>
      <c r="K615" s="11"/>
      <c r="L615" s="11"/>
      <c r="M615" s="11">
        <f t="shared" si="151"/>
        <v>0</v>
      </c>
      <c r="N615" s="11"/>
      <c r="O615" s="11">
        <f t="shared" si="152"/>
        <v>0</v>
      </c>
      <c r="P615" s="11"/>
      <c r="Q615" s="11"/>
      <c r="R615" s="11"/>
      <c r="S615" s="11">
        <f t="shared" si="153"/>
        <v>0</v>
      </c>
      <c r="T615" s="11">
        <f t="shared" si="154"/>
        <v>1666.6666666666667</v>
      </c>
      <c r="U615" s="11">
        <f t="shared" si="155"/>
        <v>0</v>
      </c>
      <c r="V615" s="24">
        <f t="shared" si="156"/>
        <v>0</v>
      </c>
      <c r="W615" s="11">
        <f>IF(V615&lt;=40000,0,
IF(V615&lt;=55000,(V615-40000)*10%,
IF(V615&lt;=70000,(V615-55000)*15%+1500,
IF(V615&lt;=200000,(V615-70000)*20%+1500+2250,
IF(V615&lt;=400000,(V615-200000)*22.5%+1500+2250+26000,
IF(V615&lt;=600000,(V615-400000)*25%+1500+2250+26000+45000,
IF(AND(V615&gt;600000,V615&lt;=1200000),(V615-400000)*25%+1500+2250+26000+45000
+IFERROR(LOOKUP(V615,{600001;700001;800001;900001},{4000;6750;10250;15250}),0),IF(V615&gt;1200000,((V615-1200000)*27.5%)+300000,0)
)))))))</f>
        <v>0</v>
      </c>
      <c r="X615" s="12">
        <f t="shared" si="157"/>
        <v>0</v>
      </c>
      <c r="Y615" s="12">
        <f t="shared" si="158"/>
        <v>0</v>
      </c>
      <c r="Z615" s="11"/>
      <c r="AA615" s="13">
        <f t="shared" si="159"/>
        <v>0</v>
      </c>
      <c r="AB615" s="12">
        <f t="shared" si="160"/>
        <v>0</v>
      </c>
      <c r="AC615" s="14">
        <f t="shared" si="148"/>
        <v>0</v>
      </c>
      <c r="AE615" s="19">
        <f t="shared" si="161"/>
        <v>0</v>
      </c>
      <c r="AF615" s="19"/>
      <c r="AG615" s="17"/>
      <c r="AK615" s="7"/>
      <c r="AL615" s="108">
        <f t="shared" si="149"/>
        <v>0</v>
      </c>
      <c r="AM615" s="108">
        <f t="shared" si="150"/>
        <v>0</v>
      </c>
      <c r="AN615" s="113"/>
    </row>
    <row r="616" spans="2:40" x14ac:dyDescent="0.2">
      <c r="B616" s="7"/>
      <c r="C616" s="8"/>
      <c r="D616" s="8"/>
      <c r="E616" s="9"/>
      <c r="F616" s="6"/>
      <c r="G616" s="8"/>
      <c r="H616" s="32"/>
      <c r="I616" s="10" t="str">
        <f t="shared" si="147"/>
        <v>21</v>
      </c>
      <c r="J616" s="11">
        <v>1</v>
      </c>
      <c r="K616" s="11"/>
      <c r="L616" s="11"/>
      <c r="M616" s="11">
        <f t="shared" si="151"/>
        <v>0</v>
      </c>
      <c r="N616" s="11"/>
      <c r="O616" s="11">
        <f t="shared" si="152"/>
        <v>0</v>
      </c>
      <c r="P616" s="11"/>
      <c r="Q616" s="11"/>
      <c r="R616" s="11"/>
      <c r="S616" s="11">
        <f t="shared" si="153"/>
        <v>0</v>
      </c>
      <c r="T616" s="11">
        <f t="shared" si="154"/>
        <v>1666.6666666666667</v>
      </c>
      <c r="U616" s="11">
        <f t="shared" si="155"/>
        <v>0</v>
      </c>
      <c r="V616" s="24">
        <f t="shared" si="156"/>
        <v>0</v>
      </c>
      <c r="W616" s="11">
        <f>IF(V616&lt;=40000,0,
IF(V616&lt;=55000,(V616-40000)*10%,
IF(V616&lt;=70000,(V616-55000)*15%+1500,
IF(V616&lt;=200000,(V616-70000)*20%+1500+2250,
IF(V616&lt;=400000,(V616-200000)*22.5%+1500+2250+26000,
IF(V616&lt;=600000,(V616-400000)*25%+1500+2250+26000+45000,
IF(AND(V616&gt;600000,V616&lt;=1200000),(V616-400000)*25%+1500+2250+26000+45000
+IFERROR(LOOKUP(V616,{600001;700001;800001;900001},{4000;6750;10250;15250}),0),IF(V616&gt;1200000,((V616-1200000)*27.5%)+300000,0)
)))))))</f>
        <v>0</v>
      </c>
      <c r="X616" s="12">
        <f t="shared" si="157"/>
        <v>0</v>
      </c>
      <c r="Y616" s="12">
        <f t="shared" si="158"/>
        <v>0</v>
      </c>
      <c r="Z616" s="11"/>
      <c r="AA616" s="13">
        <f t="shared" si="159"/>
        <v>0</v>
      </c>
      <c r="AB616" s="12">
        <f t="shared" si="160"/>
        <v>0</v>
      </c>
      <c r="AC616" s="14">
        <f t="shared" si="148"/>
        <v>0</v>
      </c>
      <c r="AE616" s="19">
        <f t="shared" si="161"/>
        <v>0</v>
      </c>
      <c r="AF616" s="19"/>
      <c r="AG616" s="17"/>
      <c r="AK616" s="7"/>
      <c r="AL616" s="108">
        <f t="shared" si="149"/>
        <v>0</v>
      </c>
      <c r="AM616" s="108">
        <f t="shared" si="150"/>
        <v>0</v>
      </c>
      <c r="AN616" s="113"/>
    </row>
    <row r="617" spans="2:40" x14ac:dyDescent="0.2">
      <c r="B617" s="7"/>
      <c r="C617" s="8"/>
      <c r="D617" s="8"/>
      <c r="E617" s="9"/>
      <c r="F617" s="6"/>
      <c r="G617" s="8"/>
      <c r="H617" s="32"/>
      <c r="I617" s="10" t="str">
        <f t="shared" si="147"/>
        <v>21</v>
      </c>
      <c r="J617" s="11">
        <v>1</v>
      </c>
      <c r="K617" s="11"/>
      <c r="L617" s="11"/>
      <c r="M617" s="11">
        <f t="shared" si="151"/>
        <v>0</v>
      </c>
      <c r="N617" s="11"/>
      <c r="O617" s="11">
        <f t="shared" si="152"/>
        <v>0</v>
      </c>
      <c r="P617" s="11"/>
      <c r="Q617" s="11"/>
      <c r="R617" s="11"/>
      <c r="S617" s="11">
        <f t="shared" si="153"/>
        <v>0</v>
      </c>
      <c r="T617" s="11">
        <f t="shared" si="154"/>
        <v>1666.6666666666667</v>
      </c>
      <c r="U617" s="11">
        <f t="shared" si="155"/>
        <v>0</v>
      </c>
      <c r="V617" s="24">
        <f t="shared" si="156"/>
        <v>0</v>
      </c>
      <c r="W617" s="11">
        <f>IF(V617&lt;=40000,0,
IF(V617&lt;=55000,(V617-40000)*10%,
IF(V617&lt;=70000,(V617-55000)*15%+1500,
IF(V617&lt;=200000,(V617-70000)*20%+1500+2250,
IF(V617&lt;=400000,(V617-200000)*22.5%+1500+2250+26000,
IF(V617&lt;=600000,(V617-400000)*25%+1500+2250+26000+45000,
IF(AND(V617&gt;600000,V617&lt;=1200000),(V617-400000)*25%+1500+2250+26000+45000
+IFERROR(LOOKUP(V617,{600001;700001;800001;900001},{4000;6750;10250;15250}),0),IF(V617&gt;1200000,((V617-1200000)*27.5%)+300000,0)
)))))))</f>
        <v>0</v>
      </c>
      <c r="X617" s="12">
        <f t="shared" si="157"/>
        <v>0</v>
      </c>
      <c r="Y617" s="12">
        <f t="shared" si="158"/>
        <v>0</v>
      </c>
      <c r="Z617" s="11"/>
      <c r="AA617" s="13">
        <f t="shared" si="159"/>
        <v>0</v>
      </c>
      <c r="AB617" s="12">
        <f t="shared" si="160"/>
        <v>0</v>
      </c>
      <c r="AC617" s="14">
        <f t="shared" si="148"/>
        <v>0</v>
      </c>
      <c r="AE617" s="19">
        <f t="shared" si="161"/>
        <v>0</v>
      </c>
      <c r="AF617" s="19"/>
      <c r="AG617" s="17"/>
      <c r="AK617" s="7"/>
      <c r="AL617" s="108">
        <f t="shared" si="149"/>
        <v>0</v>
      </c>
      <c r="AM617" s="108">
        <f t="shared" si="150"/>
        <v>0</v>
      </c>
      <c r="AN617" s="113"/>
    </row>
    <row r="618" spans="2:40" x14ac:dyDescent="0.2">
      <c r="B618" s="7"/>
      <c r="C618" s="8"/>
      <c r="D618" s="8"/>
      <c r="E618" s="9"/>
      <c r="F618" s="6"/>
      <c r="G618" s="8"/>
      <c r="H618" s="32"/>
      <c r="I618" s="10" t="str">
        <f t="shared" si="147"/>
        <v>21</v>
      </c>
      <c r="J618" s="11">
        <v>1</v>
      </c>
      <c r="K618" s="11"/>
      <c r="L618" s="11"/>
      <c r="M618" s="11">
        <f t="shared" si="151"/>
        <v>0</v>
      </c>
      <c r="N618" s="11"/>
      <c r="O618" s="11">
        <f t="shared" si="152"/>
        <v>0</v>
      </c>
      <c r="P618" s="11"/>
      <c r="Q618" s="11"/>
      <c r="R618" s="11"/>
      <c r="S618" s="11">
        <f t="shared" si="153"/>
        <v>0</v>
      </c>
      <c r="T618" s="11">
        <f t="shared" si="154"/>
        <v>1666.6666666666667</v>
      </c>
      <c r="U618" s="11">
        <f t="shared" si="155"/>
        <v>0</v>
      </c>
      <c r="V618" s="24">
        <f t="shared" si="156"/>
        <v>0</v>
      </c>
      <c r="W618" s="11">
        <f>IF(V618&lt;=40000,0,
IF(V618&lt;=55000,(V618-40000)*10%,
IF(V618&lt;=70000,(V618-55000)*15%+1500,
IF(V618&lt;=200000,(V618-70000)*20%+1500+2250,
IF(V618&lt;=400000,(V618-200000)*22.5%+1500+2250+26000,
IF(V618&lt;=600000,(V618-400000)*25%+1500+2250+26000+45000,
IF(AND(V618&gt;600000,V618&lt;=1200000),(V618-400000)*25%+1500+2250+26000+45000
+IFERROR(LOOKUP(V618,{600001;700001;800001;900001},{4000;6750;10250;15250}),0),IF(V618&gt;1200000,((V618-1200000)*27.5%)+300000,0)
)))))))</f>
        <v>0</v>
      </c>
      <c r="X618" s="12">
        <f t="shared" si="157"/>
        <v>0</v>
      </c>
      <c r="Y618" s="12">
        <f t="shared" si="158"/>
        <v>0</v>
      </c>
      <c r="Z618" s="11"/>
      <c r="AA618" s="13">
        <f t="shared" si="159"/>
        <v>0</v>
      </c>
      <c r="AB618" s="12">
        <f t="shared" si="160"/>
        <v>0</v>
      </c>
      <c r="AC618" s="14">
        <f t="shared" si="148"/>
        <v>0</v>
      </c>
      <c r="AE618" s="19">
        <f t="shared" si="161"/>
        <v>0</v>
      </c>
      <c r="AF618" s="19"/>
      <c r="AG618" s="17"/>
      <c r="AK618" s="7"/>
      <c r="AL618" s="108">
        <f t="shared" si="149"/>
        <v>0</v>
      </c>
      <c r="AM618" s="108">
        <f t="shared" si="150"/>
        <v>0</v>
      </c>
      <c r="AN618" s="113"/>
    </row>
    <row r="619" spans="2:40" x14ac:dyDescent="0.2">
      <c r="B619" s="7"/>
      <c r="C619" s="8"/>
      <c r="D619" s="8"/>
      <c r="E619" s="9"/>
      <c r="F619" s="6"/>
      <c r="G619" s="8"/>
      <c r="H619" s="32"/>
      <c r="I619" s="10" t="str">
        <f t="shared" si="147"/>
        <v>21</v>
      </c>
      <c r="J619" s="11">
        <v>1</v>
      </c>
      <c r="K619" s="11"/>
      <c r="L619" s="11"/>
      <c r="M619" s="11">
        <f t="shared" si="151"/>
        <v>0</v>
      </c>
      <c r="N619" s="11"/>
      <c r="O619" s="11">
        <f t="shared" si="152"/>
        <v>0</v>
      </c>
      <c r="P619" s="11"/>
      <c r="Q619" s="11"/>
      <c r="R619" s="11"/>
      <c r="S619" s="11">
        <f t="shared" si="153"/>
        <v>0</v>
      </c>
      <c r="T619" s="11">
        <f t="shared" si="154"/>
        <v>1666.6666666666667</v>
      </c>
      <c r="U619" s="11">
        <f t="shared" si="155"/>
        <v>0</v>
      </c>
      <c r="V619" s="24">
        <f t="shared" si="156"/>
        <v>0</v>
      </c>
      <c r="W619" s="11">
        <f>IF(V619&lt;=40000,0,
IF(V619&lt;=55000,(V619-40000)*10%,
IF(V619&lt;=70000,(V619-55000)*15%+1500,
IF(V619&lt;=200000,(V619-70000)*20%+1500+2250,
IF(V619&lt;=400000,(V619-200000)*22.5%+1500+2250+26000,
IF(V619&lt;=600000,(V619-400000)*25%+1500+2250+26000+45000,
IF(AND(V619&gt;600000,V619&lt;=1200000),(V619-400000)*25%+1500+2250+26000+45000
+IFERROR(LOOKUP(V619,{600001;700001;800001;900001},{4000;6750;10250;15250}),0),IF(V619&gt;1200000,((V619-1200000)*27.5%)+300000,0)
)))))))</f>
        <v>0</v>
      </c>
      <c r="X619" s="12">
        <f t="shared" si="157"/>
        <v>0</v>
      </c>
      <c r="Y619" s="12">
        <f t="shared" si="158"/>
        <v>0</v>
      </c>
      <c r="Z619" s="11"/>
      <c r="AA619" s="13">
        <f t="shared" si="159"/>
        <v>0</v>
      </c>
      <c r="AB619" s="12">
        <f t="shared" si="160"/>
        <v>0</v>
      </c>
      <c r="AC619" s="14">
        <f t="shared" si="148"/>
        <v>0</v>
      </c>
      <c r="AE619" s="19">
        <f t="shared" si="161"/>
        <v>0</v>
      </c>
      <c r="AF619" s="19"/>
      <c r="AG619" s="17"/>
      <c r="AK619" s="7"/>
      <c r="AL619" s="108">
        <f t="shared" si="149"/>
        <v>0</v>
      </c>
      <c r="AM619" s="108">
        <f t="shared" si="150"/>
        <v>0</v>
      </c>
      <c r="AN619" s="113"/>
    </row>
    <row r="620" spans="2:40" x14ac:dyDescent="0.2">
      <c r="B620" s="7"/>
      <c r="C620" s="8"/>
      <c r="D620" s="8"/>
      <c r="E620" s="9"/>
      <c r="F620" s="6"/>
      <c r="G620" s="8"/>
      <c r="H620" s="32"/>
      <c r="I620" s="10" t="str">
        <f t="shared" si="147"/>
        <v>21</v>
      </c>
      <c r="J620" s="11">
        <v>1</v>
      </c>
      <c r="K620" s="11"/>
      <c r="L620" s="11"/>
      <c r="M620" s="11">
        <f t="shared" si="151"/>
        <v>0</v>
      </c>
      <c r="N620" s="11"/>
      <c r="O620" s="11">
        <f t="shared" si="152"/>
        <v>0</v>
      </c>
      <c r="P620" s="11"/>
      <c r="Q620" s="11"/>
      <c r="R620" s="11"/>
      <c r="S620" s="11">
        <f t="shared" si="153"/>
        <v>0</v>
      </c>
      <c r="T620" s="11">
        <f t="shared" si="154"/>
        <v>1666.6666666666667</v>
      </c>
      <c r="U620" s="11">
        <f t="shared" si="155"/>
        <v>0</v>
      </c>
      <c r="V620" s="24">
        <f t="shared" si="156"/>
        <v>0</v>
      </c>
      <c r="W620" s="11">
        <f>IF(V620&lt;=40000,0,
IF(V620&lt;=55000,(V620-40000)*10%,
IF(V620&lt;=70000,(V620-55000)*15%+1500,
IF(V620&lt;=200000,(V620-70000)*20%+1500+2250,
IF(V620&lt;=400000,(V620-200000)*22.5%+1500+2250+26000,
IF(V620&lt;=600000,(V620-400000)*25%+1500+2250+26000+45000,
IF(AND(V620&gt;600000,V620&lt;=1200000),(V620-400000)*25%+1500+2250+26000+45000
+IFERROR(LOOKUP(V620,{600001;700001;800001;900001},{4000;6750;10250;15250}),0),IF(V620&gt;1200000,((V620-1200000)*27.5%)+300000,0)
)))))))</f>
        <v>0</v>
      </c>
      <c r="X620" s="12">
        <f t="shared" si="157"/>
        <v>0</v>
      </c>
      <c r="Y620" s="12">
        <f t="shared" si="158"/>
        <v>0</v>
      </c>
      <c r="Z620" s="11"/>
      <c r="AA620" s="13">
        <f t="shared" si="159"/>
        <v>0</v>
      </c>
      <c r="AB620" s="12">
        <f t="shared" si="160"/>
        <v>0</v>
      </c>
      <c r="AC620" s="14">
        <f t="shared" si="148"/>
        <v>0</v>
      </c>
      <c r="AE620" s="19">
        <f t="shared" si="161"/>
        <v>0</v>
      </c>
      <c r="AF620" s="19"/>
      <c r="AG620" s="17"/>
      <c r="AK620" s="7"/>
      <c r="AL620" s="108">
        <f t="shared" si="149"/>
        <v>0</v>
      </c>
      <c r="AM620" s="108">
        <f t="shared" si="150"/>
        <v>0</v>
      </c>
      <c r="AN620" s="113"/>
    </row>
    <row r="621" spans="2:40" x14ac:dyDescent="0.2">
      <c r="B621" s="7"/>
      <c r="C621" s="8"/>
      <c r="D621" s="8"/>
      <c r="E621" s="9"/>
      <c r="F621" s="6"/>
      <c r="G621" s="8"/>
      <c r="H621" s="32"/>
      <c r="I621" s="10" t="str">
        <f t="shared" si="147"/>
        <v>21</v>
      </c>
      <c r="J621" s="11">
        <v>1</v>
      </c>
      <c r="K621" s="11"/>
      <c r="L621" s="11"/>
      <c r="M621" s="11">
        <f t="shared" si="151"/>
        <v>0</v>
      </c>
      <c r="N621" s="11"/>
      <c r="O621" s="11">
        <f t="shared" si="152"/>
        <v>0</v>
      </c>
      <c r="P621" s="11"/>
      <c r="Q621" s="11"/>
      <c r="R621" s="11"/>
      <c r="S621" s="11">
        <f t="shared" si="153"/>
        <v>0</v>
      </c>
      <c r="T621" s="11">
        <f t="shared" si="154"/>
        <v>1666.6666666666667</v>
      </c>
      <c r="U621" s="11">
        <f t="shared" si="155"/>
        <v>0</v>
      </c>
      <c r="V621" s="24">
        <f t="shared" si="156"/>
        <v>0</v>
      </c>
      <c r="W621" s="11">
        <f>IF(V621&lt;=40000,0,
IF(V621&lt;=55000,(V621-40000)*10%,
IF(V621&lt;=70000,(V621-55000)*15%+1500,
IF(V621&lt;=200000,(V621-70000)*20%+1500+2250,
IF(V621&lt;=400000,(V621-200000)*22.5%+1500+2250+26000,
IF(V621&lt;=600000,(V621-400000)*25%+1500+2250+26000+45000,
IF(AND(V621&gt;600000,V621&lt;=1200000),(V621-400000)*25%+1500+2250+26000+45000
+IFERROR(LOOKUP(V621,{600001;700001;800001;900001},{4000;6750;10250;15250}),0),IF(V621&gt;1200000,((V621-1200000)*27.5%)+300000,0)
)))))))</f>
        <v>0</v>
      </c>
      <c r="X621" s="12">
        <f t="shared" si="157"/>
        <v>0</v>
      </c>
      <c r="Y621" s="12">
        <f t="shared" si="158"/>
        <v>0</v>
      </c>
      <c r="Z621" s="11"/>
      <c r="AA621" s="13">
        <f t="shared" si="159"/>
        <v>0</v>
      </c>
      <c r="AB621" s="12">
        <f t="shared" si="160"/>
        <v>0</v>
      </c>
      <c r="AC621" s="14">
        <f t="shared" si="148"/>
        <v>0</v>
      </c>
      <c r="AE621" s="19">
        <f t="shared" si="161"/>
        <v>0</v>
      </c>
      <c r="AF621" s="19"/>
      <c r="AG621" s="17"/>
      <c r="AK621" s="7"/>
      <c r="AL621" s="108">
        <f t="shared" si="149"/>
        <v>0</v>
      </c>
      <c r="AM621" s="108">
        <f t="shared" si="150"/>
        <v>0</v>
      </c>
      <c r="AN621" s="113"/>
    </row>
    <row r="622" spans="2:40" x14ac:dyDescent="0.2">
      <c r="B622" s="7"/>
      <c r="C622" s="8"/>
      <c r="D622" s="8"/>
      <c r="E622" s="9"/>
      <c r="F622" s="6"/>
      <c r="G622" s="8"/>
      <c r="H622" s="32"/>
      <c r="I622" s="10" t="str">
        <f t="shared" si="147"/>
        <v>21</v>
      </c>
      <c r="J622" s="11">
        <v>1</v>
      </c>
      <c r="K622" s="11"/>
      <c r="L622" s="11"/>
      <c r="M622" s="11">
        <f t="shared" si="151"/>
        <v>0</v>
      </c>
      <c r="N622" s="11"/>
      <c r="O622" s="11">
        <f t="shared" si="152"/>
        <v>0</v>
      </c>
      <c r="P622" s="11"/>
      <c r="Q622" s="11"/>
      <c r="R622" s="11"/>
      <c r="S622" s="11">
        <f t="shared" si="153"/>
        <v>0</v>
      </c>
      <c r="T622" s="11">
        <f t="shared" si="154"/>
        <v>1666.6666666666667</v>
      </c>
      <c r="U622" s="11">
        <f t="shared" si="155"/>
        <v>0</v>
      </c>
      <c r="V622" s="24">
        <f t="shared" si="156"/>
        <v>0</v>
      </c>
      <c r="W622" s="11">
        <f>IF(V622&lt;=40000,0,
IF(V622&lt;=55000,(V622-40000)*10%,
IF(V622&lt;=70000,(V622-55000)*15%+1500,
IF(V622&lt;=200000,(V622-70000)*20%+1500+2250,
IF(V622&lt;=400000,(V622-200000)*22.5%+1500+2250+26000,
IF(V622&lt;=600000,(V622-400000)*25%+1500+2250+26000+45000,
IF(AND(V622&gt;600000,V622&lt;=1200000),(V622-400000)*25%+1500+2250+26000+45000
+IFERROR(LOOKUP(V622,{600001;700001;800001;900001},{4000;6750;10250;15250}),0),IF(V622&gt;1200000,((V622-1200000)*27.5%)+300000,0)
)))))))</f>
        <v>0</v>
      </c>
      <c r="X622" s="12">
        <f t="shared" si="157"/>
        <v>0</v>
      </c>
      <c r="Y622" s="12">
        <f t="shared" si="158"/>
        <v>0</v>
      </c>
      <c r="Z622" s="11"/>
      <c r="AA622" s="13">
        <f t="shared" si="159"/>
        <v>0</v>
      </c>
      <c r="AB622" s="12">
        <f t="shared" si="160"/>
        <v>0</v>
      </c>
      <c r="AC622" s="14">
        <f t="shared" si="148"/>
        <v>0</v>
      </c>
      <c r="AE622" s="19">
        <f t="shared" si="161"/>
        <v>0</v>
      </c>
      <c r="AF622" s="19"/>
      <c r="AG622" s="17"/>
      <c r="AK622" s="7"/>
      <c r="AL622" s="108">
        <f t="shared" si="149"/>
        <v>0</v>
      </c>
      <c r="AM622" s="108">
        <f t="shared" si="150"/>
        <v>0</v>
      </c>
      <c r="AN622" s="113"/>
    </row>
    <row r="623" spans="2:40" x14ac:dyDescent="0.2">
      <c r="B623" s="7"/>
      <c r="C623" s="8"/>
      <c r="D623" s="8"/>
      <c r="E623" s="9"/>
      <c r="F623" s="6"/>
      <c r="G623" s="8"/>
      <c r="H623" s="32"/>
      <c r="I623" s="10" t="str">
        <f t="shared" si="147"/>
        <v>21</v>
      </c>
      <c r="J623" s="11">
        <v>1</v>
      </c>
      <c r="K623" s="11"/>
      <c r="L623" s="11"/>
      <c r="M623" s="11">
        <f t="shared" si="151"/>
        <v>0</v>
      </c>
      <c r="N623" s="11"/>
      <c r="O623" s="11">
        <f t="shared" si="152"/>
        <v>0</v>
      </c>
      <c r="P623" s="11"/>
      <c r="Q623" s="11"/>
      <c r="R623" s="11"/>
      <c r="S623" s="11">
        <f t="shared" si="153"/>
        <v>0</v>
      </c>
      <c r="T623" s="11">
        <f t="shared" si="154"/>
        <v>1666.6666666666667</v>
      </c>
      <c r="U623" s="11">
        <f t="shared" si="155"/>
        <v>0</v>
      </c>
      <c r="V623" s="24">
        <f t="shared" si="156"/>
        <v>0</v>
      </c>
      <c r="W623" s="11">
        <f>IF(V623&lt;=40000,0,
IF(V623&lt;=55000,(V623-40000)*10%,
IF(V623&lt;=70000,(V623-55000)*15%+1500,
IF(V623&lt;=200000,(V623-70000)*20%+1500+2250,
IF(V623&lt;=400000,(V623-200000)*22.5%+1500+2250+26000,
IF(V623&lt;=600000,(V623-400000)*25%+1500+2250+26000+45000,
IF(AND(V623&gt;600000,V623&lt;=1200000),(V623-400000)*25%+1500+2250+26000+45000
+IFERROR(LOOKUP(V623,{600001;700001;800001;900001},{4000;6750;10250;15250}),0),IF(V623&gt;1200000,((V623-1200000)*27.5%)+300000,0)
)))))))</f>
        <v>0</v>
      </c>
      <c r="X623" s="12">
        <f t="shared" si="157"/>
        <v>0</v>
      </c>
      <c r="Y623" s="12">
        <f t="shared" si="158"/>
        <v>0</v>
      </c>
      <c r="Z623" s="11"/>
      <c r="AA623" s="13">
        <f t="shared" si="159"/>
        <v>0</v>
      </c>
      <c r="AB623" s="12">
        <f t="shared" si="160"/>
        <v>0</v>
      </c>
      <c r="AC623" s="14">
        <f t="shared" si="148"/>
        <v>0</v>
      </c>
      <c r="AE623" s="19">
        <f t="shared" si="161"/>
        <v>0</v>
      </c>
      <c r="AF623" s="19"/>
      <c r="AG623" s="17"/>
      <c r="AK623" s="7"/>
      <c r="AL623" s="108">
        <f t="shared" si="149"/>
        <v>0</v>
      </c>
      <c r="AM623" s="108">
        <f t="shared" si="150"/>
        <v>0</v>
      </c>
      <c r="AN623" s="113"/>
    </row>
    <row r="624" spans="2:40" x14ac:dyDescent="0.2">
      <c r="B624" s="7"/>
      <c r="C624" s="8"/>
      <c r="D624" s="8"/>
      <c r="E624" s="9"/>
      <c r="F624" s="6"/>
      <c r="G624" s="8"/>
      <c r="H624" s="32"/>
      <c r="I624" s="10" t="str">
        <f t="shared" si="147"/>
        <v>21</v>
      </c>
      <c r="J624" s="11">
        <v>1</v>
      </c>
      <c r="K624" s="11"/>
      <c r="L624" s="11"/>
      <c r="M624" s="11">
        <f t="shared" si="151"/>
        <v>0</v>
      </c>
      <c r="N624" s="11"/>
      <c r="O624" s="11">
        <f t="shared" si="152"/>
        <v>0</v>
      </c>
      <c r="P624" s="11"/>
      <c r="Q624" s="11"/>
      <c r="R624" s="11"/>
      <c r="S624" s="11">
        <f t="shared" si="153"/>
        <v>0</v>
      </c>
      <c r="T624" s="11">
        <f t="shared" si="154"/>
        <v>1666.6666666666667</v>
      </c>
      <c r="U624" s="11">
        <f t="shared" si="155"/>
        <v>0</v>
      </c>
      <c r="V624" s="24">
        <f t="shared" si="156"/>
        <v>0</v>
      </c>
      <c r="W624" s="11">
        <f>IF(V624&lt;=40000,0,
IF(V624&lt;=55000,(V624-40000)*10%,
IF(V624&lt;=70000,(V624-55000)*15%+1500,
IF(V624&lt;=200000,(V624-70000)*20%+1500+2250,
IF(V624&lt;=400000,(V624-200000)*22.5%+1500+2250+26000,
IF(V624&lt;=600000,(V624-400000)*25%+1500+2250+26000+45000,
IF(AND(V624&gt;600000,V624&lt;=1200000),(V624-400000)*25%+1500+2250+26000+45000
+IFERROR(LOOKUP(V624,{600001;700001;800001;900001},{4000;6750;10250;15250}),0),IF(V624&gt;1200000,((V624-1200000)*27.5%)+300000,0)
)))))))</f>
        <v>0</v>
      </c>
      <c r="X624" s="12">
        <f t="shared" si="157"/>
        <v>0</v>
      </c>
      <c r="Y624" s="12">
        <f t="shared" si="158"/>
        <v>0</v>
      </c>
      <c r="Z624" s="11"/>
      <c r="AA624" s="13">
        <f t="shared" si="159"/>
        <v>0</v>
      </c>
      <c r="AB624" s="12">
        <f t="shared" si="160"/>
        <v>0</v>
      </c>
      <c r="AC624" s="14">
        <f t="shared" si="148"/>
        <v>0</v>
      </c>
      <c r="AE624" s="19">
        <f t="shared" si="161"/>
        <v>0</v>
      </c>
      <c r="AF624" s="19"/>
      <c r="AG624" s="17"/>
      <c r="AK624" s="7"/>
      <c r="AL624" s="108">
        <f t="shared" si="149"/>
        <v>0</v>
      </c>
      <c r="AM624" s="108">
        <f t="shared" si="150"/>
        <v>0</v>
      </c>
      <c r="AN624" s="113"/>
    </row>
    <row r="625" spans="2:40" x14ac:dyDescent="0.2">
      <c r="B625" s="7"/>
      <c r="C625" s="8"/>
      <c r="D625" s="8"/>
      <c r="E625" s="9"/>
      <c r="F625" s="6"/>
      <c r="G625" s="8"/>
      <c r="H625" s="32"/>
      <c r="I625" s="10" t="str">
        <f t="shared" si="147"/>
        <v>21</v>
      </c>
      <c r="J625" s="11">
        <v>1</v>
      </c>
      <c r="K625" s="11"/>
      <c r="L625" s="11"/>
      <c r="M625" s="11">
        <f t="shared" si="151"/>
        <v>0</v>
      </c>
      <c r="N625" s="11"/>
      <c r="O625" s="11">
        <f t="shared" si="152"/>
        <v>0</v>
      </c>
      <c r="P625" s="11"/>
      <c r="Q625" s="11"/>
      <c r="R625" s="11"/>
      <c r="S625" s="11">
        <f t="shared" si="153"/>
        <v>0</v>
      </c>
      <c r="T625" s="11">
        <f t="shared" si="154"/>
        <v>1666.6666666666667</v>
      </c>
      <c r="U625" s="11">
        <f t="shared" si="155"/>
        <v>0</v>
      </c>
      <c r="V625" s="24">
        <f t="shared" si="156"/>
        <v>0</v>
      </c>
      <c r="W625" s="11">
        <f>IF(V625&lt;=40000,0,
IF(V625&lt;=55000,(V625-40000)*10%,
IF(V625&lt;=70000,(V625-55000)*15%+1500,
IF(V625&lt;=200000,(V625-70000)*20%+1500+2250,
IF(V625&lt;=400000,(V625-200000)*22.5%+1500+2250+26000,
IF(V625&lt;=600000,(V625-400000)*25%+1500+2250+26000+45000,
IF(AND(V625&gt;600000,V625&lt;=1200000),(V625-400000)*25%+1500+2250+26000+45000
+IFERROR(LOOKUP(V625,{600001;700001;800001;900001},{4000;6750;10250;15250}),0),IF(V625&gt;1200000,((V625-1200000)*27.5%)+300000,0)
)))))))</f>
        <v>0</v>
      </c>
      <c r="X625" s="12">
        <f t="shared" si="157"/>
        <v>0</v>
      </c>
      <c r="Y625" s="12">
        <f t="shared" si="158"/>
        <v>0</v>
      </c>
      <c r="Z625" s="11"/>
      <c r="AA625" s="13">
        <f t="shared" si="159"/>
        <v>0</v>
      </c>
      <c r="AB625" s="12">
        <f t="shared" si="160"/>
        <v>0</v>
      </c>
      <c r="AC625" s="14">
        <f t="shared" si="148"/>
        <v>0</v>
      </c>
      <c r="AE625" s="19">
        <f t="shared" si="161"/>
        <v>0</v>
      </c>
      <c r="AF625" s="19"/>
      <c r="AG625" s="17"/>
      <c r="AK625" s="7"/>
      <c r="AL625" s="108">
        <f t="shared" si="149"/>
        <v>0</v>
      </c>
      <c r="AM625" s="108">
        <f t="shared" si="150"/>
        <v>0</v>
      </c>
      <c r="AN625" s="113"/>
    </row>
    <row r="626" spans="2:40" x14ac:dyDescent="0.2">
      <c r="B626" s="7"/>
      <c r="C626" s="8"/>
      <c r="D626" s="8"/>
      <c r="E626" s="9"/>
      <c r="F626" s="6"/>
      <c r="G626" s="8"/>
      <c r="H626" s="32"/>
      <c r="I626" s="10" t="str">
        <f t="shared" si="147"/>
        <v>21</v>
      </c>
      <c r="J626" s="11">
        <v>1</v>
      </c>
      <c r="K626" s="11"/>
      <c r="L626" s="11"/>
      <c r="M626" s="11">
        <f t="shared" si="151"/>
        <v>0</v>
      </c>
      <c r="N626" s="11"/>
      <c r="O626" s="11">
        <f t="shared" si="152"/>
        <v>0</v>
      </c>
      <c r="P626" s="11"/>
      <c r="Q626" s="11"/>
      <c r="R626" s="11"/>
      <c r="S626" s="11">
        <f t="shared" si="153"/>
        <v>0</v>
      </c>
      <c r="T626" s="11">
        <f t="shared" si="154"/>
        <v>1666.6666666666667</v>
      </c>
      <c r="U626" s="11">
        <f t="shared" si="155"/>
        <v>0</v>
      </c>
      <c r="V626" s="24">
        <f t="shared" si="156"/>
        <v>0</v>
      </c>
      <c r="W626" s="11">
        <f>IF(V626&lt;=40000,0,
IF(V626&lt;=55000,(V626-40000)*10%,
IF(V626&lt;=70000,(V626-55000)*15%+1500,
IF(V626&lt;=200000,(V626-70000)*20%+1500+2250,
IF(V626&lt;=400000,(V626-200000)*22.5%+1500+2250+26000,
IF(V626&lt;=600000,(V626-400000)*25%+1500+2250+26000+45000,
IF(AND(V626&gt;600000,V626&lt;=1200000),(V626-400000)*25%+1500+2250+26000+45000
+IFERROR(LOOKUP(V626,{600001;700001;800001;900001},{4000;6750;10250;15250}),0),IF(V626&gt;1200000,((V626-1200000)*27.5%)+300000,0)
)))))))</f>
        <v>0</v>
      </c>
      <c r="X626" s="12">
        <f t="shared" si="157"/>
        <v>0</v>
      </c>
      <c r="Y626" s="12">
        <f t="shared" si="158"/>
        <v>0</v>
      </c>
      <c r="Z626" s="11"/>
      <c r="AA626" s="13">
        <f t="shared" si="159"/>
        <v>0</v>
      </c>
      <c r="AB626" s="12">
        <f t="shared" si="160"/>
        <v>0</v>
      </c>
      <c r="AC626" s="14">
        <f t="shared" si="148"/>
        <v>0</v>
      </c>
      <c r="AE626" s="19">
        <f t="shared" si="161"/>
        <v>0</v>
      </c>
      <c r="AF626" s="19"/>
      <c r="AG626" s="17"/>
      <c r="AK626" s="7"/>
      <c r="AL626" s="108">
        <f t="shared" si="149"/>
        <v>0</v>
      </c>
      <c r="AM626" s="108">
        <f t="shared" si="150"/>
        <v>0</v>
      </c>
      <c r="AN626" s="113"/>
    </row>
    <row r="627" spans="2:40" x14ac:dyDescent="0.2">
      <c r="B627" s="7"/>
      <c r="C627" s="8"/>
      <c r="D627" s="8"/>
      <c r="E627" s="9"/>
      <c r="F627" s="6"/>
      <c r="G627" s="8"/>
      <c r="H627" s="32"/>
      <c r="I627" s="10" t="str">
        <f t="shared" si="147"/>
        <v>21</v>
      </c>
      <c r="J627" s="11">
        <v>1</v>
      </c>
      <c r="K627" s="11"/>
      <c r="L627" s="11"/>
      <c r="M627" s="11">
        <f t="shared" si="151"/>
        <v>0</v>
      </c>
      <c r="N627" s="11"/>
      <c r="O627" s="11">
        <f t="shared" si="152"/>
        <v>0</v>
      </c>
      <c r="P627" s="11"/>
      <c r="Q627" s="11"/>
      <c r="R627" s="11"/>
      <c r="S627" s="11">
        <f t="shared" si="153"/>
        <v>0</v>
      </c>
      <c r="T627" s="11">
        <f t="shared" si="154"/>
        <v>1666.6666666666667</v>
      </c>
      <c r="U627" s="11">
        <f t="shared" si="155"/>
        <v>0</v>
      </c>
      <c r="V627" s="24">
        <f t="shared" si="156"/>
        <v>0</v>
      </c>
      <c r="W627" s="11">
        <f>IF(V627&lt;=40000,0,
IF(V627&lt;=55000,(V627-40000)*10%,
IF(V627&lt;=70000,(V627-55000)*15%+1500,
IF(V627&lt;=200000,(V627-70000)*20%+1500+2250,
IF(V627&lt;=400000,(V627-200000)*22.5%+1500+2250+26000,
IF(V627&lt;=600000,(V627-400000)*25%+1500+2250+26000+45000,
IF(AND(V627&gt;600000,V627&lt;=1200000),(V627-400000)*25%+1500+2250+26000+45000
+IFERROR(LOOKUP(V627,{600001;700001;800001;900001},{4000;6750;10250;15250}),0),IF(V627&gt;1200000,((V627-1200000)*27.5%)+300000,0)
)))))))</f>
        <v>0</v>
      </c>
      <c r="X627" s="12">
        <f t="shared" si="157"/>
        <v>0</v>
      </c>
      <c r="Y627" s="12">
        <f t="shared" si="158"/>
        <v>0</v>
      </c>
      <c r="Z627" s="11"/>
      <c r="AA627" s="13">
        <f t="shared" si="159"/>
        <v>0</v>
      </c>
      <c r="AB627" s="12">
        <f t="shared" si="160"/>
        <v>0</v>
      </c>
      <c r="AC627" s="14">
        <f t="shared" si="148"/>
        <v>0</v>
      </c>
      <c r="AE627" s="19">
        <f t="shared" si="161"/>
        <v>0</v>
      </c>
      <c r="AF627" s="19"/>
      <c r="AG627" s="17"/>
      <c r="AK627" s="7"/>
      <c r="AL627" s="108">
        <f t="shared" si="149"/>
        <v>0</v>
      </c>
      <c r="AM627" s="108">
        <f t="shared" si="150"/>
        <v>0</v>
      </c>
      <c r="AN627" s="113"/>
    </row>
    <row r="628" spans="2:40" x14ac:dyDescent="0.2">
      <c r="B628" s="7"/>
      <c r="C628" s="8"/>
      <c r="D628" s="8"/>
      <c r="E628" s="9"/>
      <c r="F628" s="6"/>
      <c r="G628" s="8"/>
      <c r="H628" s="32"/>
      <c r="I628" s="10" t="str">
        <f t="shared" si="147"/>
        <v>21</v>
      </c>
      <c r="J628" s="11">
        <v>1</v>
      </c>
      <c r="K628" s="11"/>
      <c r="L628" s="11"/>
      <c r="M628" s="11">
        <f t="shared" si="151"/>
        <v>0</v>
      </c>
      <c r="N628" s="11"/>
      <c r="O628" s="11">
        <f t="shared" si="152"/>
        <v>0</v>
      </c>
      <c r="P628" s="11"/>
      <c r="Q628" s="11"/>
      <c r="R628" s="11"/>
      <c r="S628" s="11">
        <f t="shared" si="153"/>
        <v>0</v>
      </c>
      <c r="T628" s="11">
        <f t="shared" si="154"/>
        <v>1666.6666666666667</v>
      </c>
      <c r="U628" s="11">
        <f t="shared" si="155"/>
        <v>0</v>
      </c>
      <c r="V628" s="24">
        <f t="shared" si="156"/>
        <v>0</v>
      </c>
      <c r="W628" s="11">
        <f>IF(V628&lt;=40000,0,
IF(V628&lt;=55000,(V628-40000)*10%,
IF(V628&lt;=70000,(V628-55000)*15%+1500,
IF(V628&lt;=200000,(V628-70000)*20%+1500+2250,
IF(V628&lt;=400000,(V628-200000)*22.5%+1500+2250+26000,
IF(V628&lt;=600000,(V628-400000)*25%+1500+2250+26000+45000,
IF(AND(V628&gt;600000,V628&lt;=1200000),(V628-400000)*25%+1500+2250+26000+45000
+IFERROR(LOOKUP(V628,{600001;700001;800001;900001},{4000;6750;10250;15250}),0),IF(V628&gt;1200000,((V628-1200000)*27.5%)+300000,0)
)))))))</f>
        <v>0</v>
      </c>
      <c r="X628" s="12">
        <f t="shared" si="157"/>
        <v>0</v>
      </c>
      <c r="Y628" s="12">
        <f t="shared" si="158"/>
        <v>0</v>
      </c>
      <c r="Z628" s="11"/>
      <c r="AA628" s="13">
        <f t="shared" si="159"/>
        <v>0</v>
      </c>
      <c r="AB628" s="12">
        <f t="shared" si="160"/>
        <v>0</v>
      </c>
      <c r="AC628" s="14">
        <f t="shared" si="148"/>
        <v>0</v>
      </c>
      <c r="AE628" s="19">
        <f t="shared" si="161"/>
        <v>0</v>
      </c>
      <c r="AF628" s="19"/>
      <c r="AG628" s="17"/>
      <c r="AK628" s="7"/>
      <c r="AL628" s="108">
        <f t="shared" si="149"/>
        <v>0</v>
      </c>
      <c r="AM628" s="108">
        <f t="shared" si="150"/>
        <v>0</v>
      </c>
      <c r="AN628" s="113"/>
    </row>
    <row r="629" spans="2:40" x14ac:dyDescent="0.2">
      <c r="B629" s="7"/>
      <c r="C629" s="8"/>
      <c r="D629" s="8"/>
      <c r="E629" s="9"/>
      <c r="F629" s="6"/>
      <c r="G629" s="8"/>
      <c r="H629" s="32"/>
      <c r="I629" s="10" t="str">
        <f t="shared" si="147"/>
        <v>21</v>
      </c>
      <c r="J629" s="11">
        <v>1</v>
      </c>
      <c r="K629" s="11"/>
      <c r="L629" s="11"/>
      <c r="M629" s="11">
        <f t="shared" si="151"/>
        <v>0</v>
      </c>
      <c r="N629" s="11"/>
      <c r="O629" s="11">
        <f t="shared" si="152"/>
        <v>0</v>
      </c>
      <c r="P629" s="11"/>
      <c r="Q629" s="11"/>
      <c r="R629" s="11"/>
      <c r="S629" s="11">
        <f t="shared" si="153"/>
        <v>0</v>
      </c>
      <c r="T629" s="11">
        <f t="shared" si="154"/>
        <v>1666.6666666666667</v>
      </c>
      <c r="U629" s="11">
        <f t="shared" si="155"/>
        <v>0</v>
      </c>
      <c r="V629" s="24">
        <f t="shared" si="156"/>
        <v>0</v>
      </c>
      <c r="W629" s="11">
        <f>IF(V629&lt;=40000,0,
IF(V629&lt;=55000,(V629-40000)*10%,
IF(V629&lt;=70000,(V629-55000)*15%+1500,
IF(V629&lt;=200000,(V629-70000)*20%+1500+2250,
IF(V629&lt;=400000,(V629-200000)*22.5%+1500+2250+26000,
IF(V629&lt;=600000,(V629-400000)*25%+1500+2250+26000+45000,
IF(AND(V629&gt;600000,V629&lt;=1200000),(V629-400000)*25%+1500+2250+26000+45000
+IFERROR(LOOKUP(V629,{600001;700001;800001;900001},{4000;6750;10250;15250}),0),IF(V629&gt;1200000,((V629-1200000)*27.5%)+300000,0)
)))))))</f>
        <v>0</v>
      </c>
      <c r="X629" s="12">
        <f t="shared" si="157"/>
        <v>0</v>
      </c>
      <c r="Y629" s="12">
        <f t="shared" si="158"/>
        <v>0</v>
      </c>
      <c r="Z629" s="11"/>
      <c r="AA629" s="13">
        <f t="shared" si="159"/>
        <v>0</v>
      </c>
      <c r="AB629" s="12">
        <f t="shared" si="160"/>
        <v>0</v>
      </c>
      <c r="AC629" s="14">
        <f t="shared" si="148"/>
        <v>0</v>
      </c>
      <c r="AE629" s="19">
        <f t="shared" si="161"/>
        <v>0</v>
      </c>
      <c r="AF629" s="19"/>
      <c r="AG629" s="17"/>
      <c r="AK629" s="7"/>
      <c r="AL629" s="108">
        <f t="shared" si="149"/>
        <v>0</v>
      </c>
      <c r="AM629" s="108">
        <f t="shared" si="150"/>
        <v>0</v>
      </c>
      <c r="AN629" s="113"/>
    </row>
    <row r="630" spans="2:40" x14ac:dyDescent="0.2">
      <c r="B630" s="7"/>
      <c r="C630" s="8"/>
      <c r="D630" s="8"/>
      <c r="E630" s="9"/>
      <c r="F630" s="6"/>
      <c r="G630" s="8"/>
      <c r="H630" s="32"/>
      <c r="I630" s="10" t="str">
        <f t="shared" si="147"/>
        <v>21</v>
      </c>
      <c r="J630" s="11">
        <v>1</v>
      </c>
      <c r="K630" s="11"/>
      <c r="L630" s="11"/>
      <c r="M630" s="11">
        <f t="shared" si="151"/>
        <v>0</v>
      </c>
      <c r="N630" s="11"/>
      <c r="O630" s="11">
        <f t="shared" si="152"/>
        <v>0</v>
      </c>
      <c r="P630" s="11"/>
      <c r="Q630" s="11"/>
      <c r="R630" s="11"/>
      <c r="S630" s="11">
        <f t="shared" si="153"/>
        <v>0</v>
      </c>
      <c r="T630" s="11">
        <f t="shared" si="154"/>
        <v>1666.6666666666667</v>
      </c>
      <c r="U630" s="11">
        <f t="shared" si="155"/>
        <v>0</v>
      </c>
      <c r="V630" s="24">
        <f t="shared" si="156"/>
        <v>0</v>
      </c>
      <c r="W630" s="11">
        <f>IF(V630&lt;=40000,0,
IF(V630&lt;=55000,(V630-40000)*10%,
IF(V630&lt;=70000,(V630-55000)*15%+1500,
IF(V630&lt;=200000,(V630-70000)*20%+1500+2250,
IF(V630&lt;=400000,(V630-200000)*22.5%+1500+2250+26000,
IF(V630&lt;=600000,(V630-400000)*25%+1500+2250+26000+45000,
IF(AND(V630&gt;600000,V630&lt;=1200000),(V630-400000)*25%+1500+2250+26000+45000
+IFERROR(LOOKUP(V630,{600001;700001;800001;900001},{4000;6750;10250;15250}),0),IF(V630&gt;1200000,((V630-1200000)*27.5%)+300000,0)
)))))))</f>
        <v>0</v>
      </c>
      <c r="X630" s="12">
        <f t="shared" si="157"/>
        <v>0</v>
      </c>
      <c r="Y630" s="12">
        <f t="shared" si="158"/>
        <v>0</v>
      </c>
      <c r="Z630" s="11"/>
      <c r="AA630" s="13">
        <f t="shared" si="159"/>
        <v>0</v>
      </c>
      <c r="AB630" s="12">
        <f t="shared" si="160"/>
        <v>0</v>
      </c>
      <c r="AC630" s="14">
        <f t="shared" si="148"/>
        <v>0</v>
      </c>
      <c r="AE630" s="19">
        <f t="shared" si="161"/>
        <v>0</v>
      </c>
      <c r="AF630" s="19"/>
      <c r="AG630" s="17"/>
      <c r="AK630" s="7"/>
      <c r="AL630" s="108">
        <f t="shared" si="149"/>
        <v>0</v>
      </c>
      <c r="AM630" s="108">
        <f t="shared" si="150"/>
        <v>0</v>
      </c>
      <c r="AN630" s="113"/>
    </row>
    <row r="631" spans="2:40" x14ac:dyDescent="0.2">
      <c r="B631" s="7"/>
      <c r="C631" s="8"/>
      <c r="D631" s="8"/>
      <c r="E631" s="9"/>
      <c r="F631" s="6"/>
      <c r="G631" s="8"/>
      <c r="H631" s="32"/>
      <c r="I631" s="10" t="str">
        <f t="shared" si="147"/>
        <v>21</v>
      </c>
      <c r="J631" s="11">
        <v>1</v>
      </c>
      <c r="K631" s="11"/>
      <c r="L631" s="11"/>
      <c r="M631" s="11">
        <f t="shared" si="151"/>
        <v>0</v>
      </c>
      <c r="N631" s="11"/>
      <c r="O631" s="11">
        <f t="shared" si="152"/>
        <v>0</v>
      </c>
      <c r="P631" s="11"/>
      <c r="Q631" s="11"/>
      <c r="R631" s="11"/>
      <c r="S631" s="11">
        <f t="shared" si="153"/>
        <v>0</v>
      </c>
      <c r="T631" s="11">
        <f t="shared" si="154"/>
        <v>1666.6666666666667</v>
      </c>
      <c r="U631" s="11">
        <f t="shared" si="155"/>
        <v>0</v>
      </c>
      <c r="V631" s="24">
        <f t="shared" si="156"/>
        <v>0</v>
      </c>
      <c r="W631" s="11">
        <f>IF(V631&lt;=40000,0,
IF(V631&lt;=55000,(V631-40000)*10%,
IF(V631&lt;=70000,(V631-55000)*15%+1500,
IF(V631&lt;=200000,(V631-70000)*20%+1500+2250,
IF(V631&lt;=400000,(V631-200000)*22.5%+1500+2250+26000,
IF(V631&lt;=600000,(V631-400000)*25%+1500+2250+26000+45000,
IF(AND(V631&gt;600000,V631&lt;=1200000),(V631-400000)*25%+1500+2250+26000+45000
+IFERROR(LOOKUP(V631,{600001;700001;800001;900001},{4000;6750;10250;15250}),0),IF(V631&gt;1200000,((V631-1200000)*27.5%)+300000,0)
)))))))</f>
        <v>0</v>
      </c>
      <c r="X631" s="12">
        <f t="shared" si="157"/>
        <v>0</v>
      </c>
      <c r="Y631" s="12">
        <f t="shared" si="158"/>
        <v>0</v>
      </c>
      <c r="Z631" s="11"/>
      <c r="AA631" s="13">
        <f t="shared" si="159"/>
        <v>0</v>
      </c>
      <c r="AB631" s="12">
        <f t="shared" si="160"/>
        <v>0</v>
      </c>
      <c r="AC631" s="14">
        <f t="shared" si="148"/>
        <v>0</v>
      </c>
      <c r="AE631" s="19">
        <f t="shared" si="161"/>
        <v>0</v>
      </c>
      <c r="AF631" s="19"/>
      <c r="AG631" s="17"/>
      <c r="AK631" s="7"/>
      <c r="AL631" s="108">
        <f t="shared" si="149"/>
        <v>0</v>
      </c>
      <c r="AM631" s="108">
        <f t="shared" si="150"/>
        <v>0</v>
      </c>
      <c r="AN631" s="113"/>
    </row>
    <row r="632" spans="2:40" x14ac:dyDescent="0.2">
      <c r="B632" s="7"/>
      <c r="C632" s="8"/>
      <c r="D632" s="8"/>
      <c r="E632" s="9"/>
      <c r="F632" s="6"/>
      <c r="G632" s="8"/>
      <c r="H632" s="32"/>
      <c r="I632" s="10" t="str">
        <f t="shared" si="147"/>
        <v>21</v>
      </c>
      <c r="J632" s="11">
        <v>1</v>
      </c>
      <c r="K632" s="11"/>
      <c r="L632" s="11"/>
      <c r="M632" s="11">
        <f t="shared" si="151"/>
        <v>0</v>
      </c>
      <c r="N632" s="11"/>
      <c r="O632" s="11">
        <f t="shared" si="152"/>
        <v>0</v>
      </c>
      <c r="P632" s="11"/>
      <c r="Q632" s="11"/>
      <c r="R632" s="11"/>
      <c r="S632" s="11">
        <f t="shared" si="153"/>
        <v>0</v>
      </c>
      <c r="T632" s="11">
        <f t="shared" si="154"/>
        <v>1666.6666666666667</v>
      </c>
      <c r="U632" s="11">
        <f t="shared" si="155"/>
        <v>0</v>
      </c>
      <c r="V632" s="24">
        <f t="shared" si="156"/>
        <v>0</v>
      </c>
      <c r="W632" s="11">
        <f>IF(V632&lt;=40000,0,
IF(V632&lt;=55000,(V632-40000)*10%,
IF(V632&lt;=70000,(V632-55000)*15%+1500,
IF(V632&lt;=200000,(V632-70000)*20%+1500+2250,
IF(V632&lt;=400000,(V632-200000)*22.5%+1500+2250+26000,
IF(V632&lt;=600000,(V632-400000)*25%+1500+2250+26000+45000,
IF(AND(V632&gt;600000,V632&lt;=1200000),(V632-400000)*25%+1500+2250+26000+45000
+IFERROR(LOOKUP(V632,{600001;700001;800001;900001},{4000;6750;10250;15250}),0),IF(V632&gt;1200000,((V632-1200000)*27.5%)+300000,0)
)))))))</f>
        <v>0</v>
      </c>
      <c r="X632" s="12">
        <f t="shared" si="157"/>
        <v>0</v>
      </c>
      <c r="Y632" s="12">
        <f t="shared" si="158"/>
        <v>0</v>
      </c>
      <c r="Z632" s="11"/>
      <c r="AA632" s="13">
        <f t="shared" si="159"/>
        <v>0</v>
      </c>
      <c r="AB632" s="12">
        <f t="shared" si="160"/>
        <v>0</v>
      </c>
      <c r="AC632" s="14">
        <f t="shared" si="148"/>
        <v>0</v>
      </c>
      <c r="AE632" s="19">
        <f t="shared" si="161"/>
        <v>0</v>
      </c>
      <c r="AF632" s="19"/>
      <c r="AG632" s="17"/>
      <c r="AK632" s="7"/>
      <c r="AL632" s="108">
        <f t="shared" si="149"/>
        <v>0</v>
      </c>
      <c r="AM632" s="108">
        <f t="shared" si="150"/>
        <v>0</v>
      </c>
      <c r="AN632" s="113"/>
    </row>
    <row r="633" spans="2:40" x14ac:dyDescent="0.2">
      <c r="B633" s="7"/>
      <c r="C633" s="8"/>
      <c r="D633" s="8"/>
      <c r="E633" s="9"/>
      <c r="F633" s="6"/>
      <c r="G633" s="8"/>
      <c r="H633" s="32"/>
      <c r="I633" s="10" t="str">
        <f t="shared" si="147"/>
        <v>21</v>
      </c>
      <c r="J633" s="11">
        <v>1</v>
      </c>
      <c r="K633" s="11"/>
      <c r="L633" s="11"/>
      <c r="M633" s="11">
        <f t="shared" si="151"/>
        <v>0</v>
      </c>
      <c r="N633" s="11"/>
      <c r="O633" s="11">
        <f t="shared" si="152"/>
        <v>0</v>
      </c>
      <c r="P633" s="11"/>
      <c r="Q633" s="11"/>
      <c r="R633" s="11"/>
      <c r="S633" s="11">
        <f t="shared" si="153"/>
        <v>0</v>
      </c>
      <c r="T633" s="11">
        <f t="shared" si="154"/>
        <v>1666.6666666666667</v>
      </c>
      <c r="U633" s="11">
        <f t="shared" si="155"/>
        <v>0</v>
      </c>
      <c r="V633" s="24">
        <f t="shared" si="156"/>
        <v>0</v>
      </c>
      <c r="W633" s="11">
        <f>IF(V633&lt;=40000,0,
IF(V633&lt;=55000,(V633-40000)*10%,
IF(V633&lt;=70000,(V633-55000)*15%+1500,
IF(V633&lt;=200000,(V633-70000)*20%+1500+2250,
IF(V633&lt;=400000,(V633-200000)*22.5%+1500+2250+26000,
IF(V633&lt;=600000,(V633-400000)*25%+1500+2250+26000+45000,
IF(AND(V633&gt;600000,V633&lt;=1200000),(V633-400000)*25%+1500+2250+26000+45000
+IFERROR(LOOKUP(V633,{600001;700001;800001;900001},{4000;6750;10250;15250}),0),IF(V633&gt;1200000,((V633-1200000)*27.5%)+300000,0)
)))))))</f>
        <v>0</v>
      </c>
      <c r="X633" s="12">
        <f t="shared" si="157"/>
        <v>0</v>
      </c>
      <c r="Y633" s="12">
        <f t="shared" si="158"/>
        <v>0</v>
      </c>
      <c r="Z633" s="11"/>
      <c r="AA633" s="13">
        <f t="shared" si="159"/>
        <v>0</v>
      </c>
      <c r="AB633" s="12">
        <f t="shared" si="160"/>
        <v>0</v>
      </c>
      <c r="AC633" s="14">
        <f t="shared" si="148"/>
        <v>0</v>
      </c>
      <c r="AE633" s="19">
        <f t="shared" si="161"/>
        <v>0</v>
      </c>
      <c r="AF633" s="19"/>
      <c r="AG633" s="17"/>
      <c r="AK633" s="7"/>
      <c r="AL633" s="108">
        <f t="shared" si="149"/>
        <v>0</v>
      </c>
      <c r="AM633" s="108">
        <f t="shared" si="150"/>
        <v>0</v>
      </c>
      <c r="AN633" s="113"/>
    </row>
    <row r="634" spans="2:40" x14ac:dyDescent="0.2">
      <c r="B634" s="7"/>
      <c r="C634" s="8"/>
      <c r="D634" s="8"/>
      <c r="E634" s="9"/>
      <c r="F634" s="6"/>
      <c r="G634" s="8"/>
      <c r="H634" s="32"/>
      <c r="I634" s="10" t="str">
        <f t="shared" si="147"/>
        <v>21</v>
      </c>
      <c r="J634" s="11">
        <v>1</v>
      </c>
      <c r="K634" s="11"/>
      <c r="L634" s="11"/>
      <c r="M634" s="11">
        <f t="shared" si="151"/>
        <v>0</v>
      </c>
      <c r="N634" s="11"/>
      <c r="O634" s="11">
        <f t="shared" si="152"/>
        <v>0</v>
      </c>
      <c r="P634" s="11"/>
      <c r="Q634" s="11"/>
      <c r="R634" s="11"/>
      <c r="S634" s="11">
        <f t="shared" si="153"/>
        <v>0</v>
      </c>
      <c r="T634" s="11">
        <f t="shared" si="154"/>
        <v>1666.6666666666667</v>
      </c>
      <c r="U634" s="11">
        <f t="shared" si="155"/>
        <v>0</v>
      </c>
      <c r="V634" s="24">
        <f t="shared" si="156"/>
        <v>0</v>
      </c>
      <c r="W634" s="11">
        <f>IF(V634&lt;=40000,0,
IF(V634&lt;=55000,(V634-40000)*10%,
IF(V634&lt;=70000,(V634-55000)*15%+1500,
IF(V634&lt;=200000,(V634-70000)*20%+1500+2250,
IF(V634&lt;=400000,(V634-200000)*22.5%+1500+2250+26000,
IF(V634&lt;=600000,(V634-400000)*25%+1500+2250+26000+45000,
IF(AND(V634&gt;600000,V634&lt;=1200000),(V634-400000)*25%+1500+2250+26000+45000
+IFERROR(LOOKUP(V634,{600001;700001;800001;900001},{4000;6750;10250;15250}),0),IF(V634&gt;1200000,((V634-1200000)*27.5%)+300000,0)
)))))))</f>
        <v>0</v>
      </c>
      <c r="X634" s="12">
        <f t="shared" si="157"/>
        <v>0</v>
      </c>
      <c r="Y634" s="12">
        <f t="shared" si="158"/>
        <v>0</v>
      </c>
      <c r="Z634" s="11"/>
      <c r="AA634" s="13">
        <f t="shared" si="159"/>
        <v>0</v>
      </c>
      <c r="AB634" s="12">
        <f t="shared" si="160"/>
        <v>0</v>
      </c>
      <c r="AC634" s="14">
        <f t="shared" si="148"/>
        <v>0</v>
      </c>
      <c r="AE634" s="19">
        <f t="shared" si="161"/>
        <v>0</v>
      </c>
      <c r="AF634" s="19"/>
      <c r="AG634" s="17"/>
      <c r="AK634" s="7"/>
      <c r="AL634" s="108">
        <f t="shared" si="149"/>
        <v>0</v>
      </c>
      <c r="AM634" s="108">
        <f t="shared" si="150"/>
        <v>0</v>
      </c>
      <c r="AN634" s="113"/>
    </row>
    <row r="635" spans="2:40" x14ac:dyDescent="0.2">
      <c r="B635" s="7"/>
      <c r="C635" s="8"/>
      <c r="D635" s="8"/>
      <c r="E635" s="9"/>
      <c r="F635" s="6"/>
      <c r="G635" s="8"/>
      <c r="H635" s="32"/>
      <c r="I635" s="10" t="str">
        <f t="shared" si="147"/>
        <v>21</v>
      </c>
      <c r="J635" s="11">
        <v>1</v>
      </c>
      <c r="K635" s="11"/>
      <c r="L635" s="11"/>
      <c r="M635" s="11">
        <f t="shared" si="151"/>
        <v>0</v>
      </c>
      <c r="N635" s="11"/>
      <c r="O635" s="11">
        <f t="shared" si="152"/>
        <v>0</v>
      </c>
      <c r="P635" s="11"/>
      <c r="Q635" s="11"/>
      <c r="R635" s="11"/>
      <c r="S635" s="11">
        <f t="shared" si="153"/>
        <v>0</v>
      </c>
      <c r="T635" s="11">
        <f t="shared" si="154"/>
        <v>1666.6666666666667</v>
      </c>
      <c r="U635" s="11">
        <f t="shared" si="155"/>
        <v>0</v>
      </c>
      <c r="V635" s="24">
        <f t="shared" si="156"/>
        <v>0</v>
      </c>
      <c r="W635" s="11">
        <f>IF(V635&lt;=40000,0,
IF(V635&lt;=55000,(V635-40000)*10%,
IF(V635&lt;=70000,(V635-55000)*15%+1500,
IF(V635&lt;=200000,(V635-70000)*20%+1500+2250,
IF(V635&lt;=400000,(V635-200000)*22.5%+1500+2250+26000,
IF(V635&lt;=600000,(V635-400000)*25%+1500+2250+26000+45000,
IF(AND(V635&gt;600000,V635&lt;=1200000),(V635-400000)*25%+1500+2250+26000+45000
+IFERROR(LOOKUP(V635,{600001;700001;800001;900001},{4000;6750;10250;15250}),0),IF(V635&gt;1200000,((V635-1200000)*27.5%)+300000,0)
)))))))</f>
        <v>0</v>
      </c>
      <c r="X635" s="12">
        <f t="shared" si="157"/>
        <v>0</v>
      </c>
      <c r="Y635" s="12">
        <f t="shared" si="158"/>
        <v>0</v>
      </c>
      <c r="Z635" s="11"/>
      <c r="AA635" s="13">
        <f t="shared" si="159"/>
        <v>0</v>
      </c>
      <c r="AB635" s="12">
        <f t="shared" si="160"/>
        <v>0</v>
      </c>
      <c r="AC635" s="14">
        <f t="shared" si="148"/>
        <v>0</v>
      </c>
      <c r="AE635" s="19">
        <f t="shared" si="161"/>
        <v>0</v>
      </c>
      <c r="AF635" s="19"/>
      <c r="AG635" s="17"/>
      <c r="AK635" s="7"/>
      <c r="AL635" s="108">
        <f t="shared" si="149"/>
        <v>0</v>
      </c>
      <c r="AM635" s="108">
        <f t="shared" si="150"/>
        <v>0</v>
      </c>
      <c r="AN635" s="113"/>
    </row>
    <row r="636" spans="2:40" x14ac:dyDescent="0.2">
      <c r="B636" s="7"/>
      <c r="C636" s="8"/>
      <c r="D636" s="8"/>
      <c r="E636" s="9"/>
      <c r="F636" s="6"/>
      <c r="G636" s="8"/>
      <c r="H636" s="32"/>
      <c r="I636" s="10" t="str">
        <f t="shared" si="147"/>
        <v>21</v>
      </c>
      <c r="J636" s="11">
        <v>1</v>
      </c>
      <c r="K636" s="11"/>
      <c r="L636" s="11"/>
      <c r="M636" s="11">
        <f t="shared" si="151"/>
        <v>0</v>
      </c>
      <c r="N636" s="11"/>
      <c r="O636" s="11">
        <f t="shared" si="152"/>
        <v>0</v>
      </c>
      <c r="P636" s="11"/>
      <c r="Q636" s="11"/>
      <c r="R636" s="11"/>
      <c r="S636" s="11">
        <f t="shared" si="153"/>
        <v>0</v>
      </c>
      <c r="T636" s="11">
        <f t="shared" si="154"/>
        <v>1666.6666666666667</v>
      </c>
      <c r="U636" s="11">
        <f t="shared" si="155"/>
        <v>0</v>
      </c>
      <c r="V636" s="24">
        <f t="shared" si="156"/>
        <v>0</v>
      </c>
      <c r="W636" s="11">
        <f>IF(V636&lt;=40000,0,
IF(V636&lt;=55000,(V636-40000)*10%,
IF(V636&lt;=70000,(V636-55000)*15%+1500,
IF(V636&lt;=200000,(V636-70000)*20%+1500+2250,
IF(V636&lt;=400000,(V636-200000)*22.5%+1500+2250+26000,
IF(V636&lt;=600000,(V636-400000)*25%+1500+2250+26000+45000,
IF(AND(V636&gt;600000,V636&lt;=1200000),(V636-400000)*25%+1500+2250+26000+45000
+IFERROR(LOOKUP(V636,{600001;700001;800001;900001},{4000;6750;10250;15250}),0),IF(V636&gt;1200000,((V636-1200000)*27.5%)+300000,0)
)))))))</f>
        <v>0</v>
      </c>
      <c r="X636" s="12">
        <f t="shared" si="157"/>
        <v>0</v>
      </c>
      <c r="Y636" s="12">
        <f t="shared" si="158"/>
        <v>0</v>
      </c>
      <c r="Z636" s="11"/>
      <c r="AA636" s="13">
        <f t="shared" si="159"/>
        <v>0</v>
      </c>
      <c r="AB636" s="12">
        <f t="shared" si="160"/>
        <v>0</v>
      </c>
      <c r="AC636" s="14">
        <f t="shared" si="148"/>
        <v>0</v>
      </c>
      <c r="AE636" s="19">
        <f t="shared" si="161"/>
        <v>0</v>
      </c>
      <c r="AF636" s="19"/>
      <c r="AG636" s="17"/>
      <c r="AK636" s="7"/>
      <c r="AL636" s="108">
        <f t="shared" si="149"/>
        <v>0</v>
      </c>
      <c r="AM636" s="108">
        <f t="shared" si="150"/>
        <v>0</v>
      </c>
      <c r="AN636" s="113"/>
    </row>
    <row r="637" spans="2:40" x14ac:dyDescent="0.2">
      <c r="B637" s="7"/>
      <c r="C637" s="8"/>
      <c r="D637" s="8"/>
      <c r="E637" s="9"/>
      <c r="F637" s="6"/>
      <c r="G637" s="8"/>
      <c r="H637" s="32"/>
      <c r="I637" s="10" t="str">
        <f t="shared" si="147"/>
        <v>21</v>
      </c>
      <c r="J637" s="11">
        <v>1</v>
      </c>
      <c r="K637" s="11"/>
      <c r="L637" s="11"/>
      <c r="M637" s="11">
        <f t="shared" si="151"/>
        <v>0</v>
      </c>
      <c r="N637" s="11"/>
      <c r="O637" s="11">
        <f t="shared" si="152"/>
        <v>0</v>
      </c>
      <c r="P637" s="11"/>
      <c r="Q637" s="11"/>
      <c r="R637" s="11"/>
      <c r="S637" s="11">
        <f t="shared" si="153"/>
        <v>0</v>
      </c>
      <c r="T637" s="11">
        <f t="shared" si="154"/>
        <v>1666.6666666666667</v>
      </c>
      <c r="U637" s="11">
        <f t="shared" si="155"/>
        <v>0</v>
      </c>
      <c r="V637" s="24">
        <f t="shared" si="156"/>
        <v>0</v>
      </c>
      <c r="W637" s="11">
        <f>IF(V637&lt;=40000,0,
IF(V637&lt;=55000,(V637-40000)*10%,
IF(V637&lt;=70000,(V637-55000)*15%+1500,
IF(V637&lt;=200000,(V637-70000)*20%+1500+2250,
IF(V637&lt;=400000,(V637-200000)*22.5%+1500+2250+26000,
IF(V637&lt;=600000,(V637-400000)*25%+1500+2250+26000+45000,
IF(AND(V637&gt;600000,V637&lt;=1200000),(V637-400000)*25%+1500+2250+26000+45000
+IFERROR(LOOKUP(V637,{600001;700001;800001;900001},{4000;6750;10250;15250}),0),IF(V637&gt;1200000,((V637-1200000)*27.5%)+300000,0)
)))))))</f>
        <v>0</v>
      </c>
      <c r="X637" s="12">
        <f t="shared" si="157"/>
        <v>0</v>
      </c>
      <c r="Y637" s="12">
        <f t="shared" si="158"/>
        <v>0</v>
      </c>
      <c r="Z637" s="11"/>
      <c r="AA637" s="13">
        <f t="shared" si="159"/>
        <v>0</v>
      </c>
      <c r="AB637" s="12">
        <f t="shared" si="160"/>
        <v>0</v>
      </c>
      <c r="AC637" s="14">
        <f t="shared" si="148"/>
        <v>0</v>
      </c>
      <c r="AE637" s="19">
        <f t="shared" si="161"/>
        <v>0</v>
      </c>
      <c r="AF637" s="19"/>
      <c r="AG637" s="17"/>
      <c r="AK637" s="7"/>
      <c r="AL637" s="108">
        <f t="shared" si="149"/>
        <v>0</v>
      </c>
      <c r="AM637" s="108">
        <f t="shared" si="150"/>
        <v>0</v>
      </c>
      <c r="AN637" s="113"/>
    </row>
    <row r="638" spans="2:40" x14ac:dyDescent="0.2">
      <c r="B638" s="7"/>
      <c r="C638" s="8"/>
      <c r="D638" s="8"/>
      <c r="E638" s="9"/>
      <c r="F638" s="6"/>
      <c r="G638" s="8"/>
      <c r="H638" s="32"/>
      <c r="I638" s="10" t="str">
        <f t="shared" si="147"/>
        <v>21</v>
      </c>
      <c r="J638" s="11">
        <v>1</v>
      </c>
      <c r="K638" s="11"/>
      <c r="L638" s="11"/>
      <c r="M638" s="11">
        <f t="shared" si="151"/>
        <v>0</v>
      </c>
      <c r="N638" s="11"/>
      <c r="O638" s="11">
        <f t="shared" si="152"/>
        <v>0</v>
      </c>
      <c r="P638" s="11"/>
      <c r="Q638" s="11"/>
      <c r="R638" s="11"/>
      <c r="S638" s="11">
        <f t="shared" si="153"/>
        <v>0</v>
      </c>
      <c r="T638" s="11">
        <f t="shared" si="154"/>
        <v>1666.6666666666667</v>
      </c>
      <c r="U638" s="11">
        <f t="shared" si="155"/>
        <v>0</v>
      </c>
      <c r="V638" s="24">
        <f t="shared" si="156"/>
        <v>0</v>
      </c>
      <c r="W638" s="11">
        <f>IF(V638&lt;=40000,0,
IF(V638&lt;=55000,(V638-40000)*10%,
IF(V638&lt;=70000,(V638-55000)*15%+1500,
IF(V638&lt;=200000,(V638-70000)*20%+1500+2250,
IF(V638&lt;=400000,(V638-200000)*22.5%+1500+2250+26000,
IF(V638&lt;=600000,(V638-400000)*25%+1500+2250+26000+45000,
IF(AND(V638&gt;600000,V638&lt;=1200000),(V638-400000)*25%+1500+2250+26000+45000
+IFERROR(LOOKUP(V638,{600001;700001;800001;900001},{4000;6750;10250;15250}),0),IF(V638&gt;1200000,((V638-1200000)*27.5%)+300000,0)
)))))))</f>
        <v>0</v>
      </c>
      <c r="X638" s="12">
        <f t="shared" si="157"/>
        <v>0</v>
      </c>
      <c r="Y638" s="12">
        <f t="shared" si="158"/>
        <v>0</v>
      </c>
      <c r="Z638" s="11"/>
      <c r="AA638" s="13">
        <f t="shared" si="159"/>
        <v>0</v>
      </c>
      <c r="AB638" s="12">
        <f t="shared" si="160"/>
        <v>0</v>
      </c>
      <c r="AC638" s="14">
        <f t="shared" si="148"/>
        <v>0</v>
      </c>
      <c r="AE638" s="19">
        <f t="shared" si="161"/>
        <v>0</v>
      </c>
      <c r="AF638" s="19"/>
      <c r="AG638" s="17"/>
      <c r="AK638" s="7"/>
      <c r="AL638" s="108">
        <f t="shared" si="149"/>
        <v>0</v>
      </c>
      <c r="AM638" s="108">
        <f t="shared" si="150"/>
        <v>0</v>
      </c>
      <c r="AN638" s="113"/>
    </row>
    <row r="639" spans="2:40" x14ac:dyDescent="0.2">
      <c r="B639" s="7"/>
      <c r="C639" s="8"/>
      <c r="D639" s="8"/>
      <c r="E639" s="9"/>
      <c r="F639" s="6"/>
      <c r="G639" s="8"/>
      <c r="H639" s="32"/>
      <c r="I639" s="10" t="str">
        <f t="shared" si="147"/>
        <v>21</v>
      </c>
      <c r="J639" s="11">
        <v>1</v>
      </c>
      <c r="K639" s="11"/>
      <c r="L639" s="11"/>
      <c r="M639" s="11">
        <f t="shared" si="151"/>
        <v>0</v>
      </c>
      <c r="N639" s="11"/>
      <c r="O639" s="11">
        <f t="shared" si="152"/>
        <v>0</v>
      </c>
      <c r="P639" s="11"/>
      <c r="Q639" s="11"/>
      <c r="R639" s="11"/>
      <c r="S639" s="11">
        <f t="shared" si="153"/>
        <v>0</v>
      </c>
      <c r="T639" s="11">
        <f t="shared" si="154"/>
        <v>1666.6666666666667</v>
      </c>
      <c r="U639" s="11">
        <f t="shared" si="155"/>
        <v>0</v>
      </c>
      <c r="V639" s="24">
        <f t="shared" si="156"/>
        <v>0</v>
      </c>
      <c r="W639" s="11">
        <f>IF(V639&lt;=40000,0,
IF(V639&lt;=55000,(V639-40000)*10%,
IF(V639&lt;=70000,(V639-55000)*15%+1500,
IF(V639&lt;=200000,(V639-70000)*20%+1500+2250,
IF(V639&lt;=400000,(V639-200000)*22.5%+1500+2250+26000,
IF(V639&lt;=600000,(V639-400000)*25%+1500+2250+26000+45000,
IF(AND(V639&gt;600000,V639&lt;=1200000),(V639-400000)*25%+1500+2250+26000+45000
+IFERROR(LOOKUP(V639,{600001;700001;800001;900001},{4000;6750;10250;15250}),0),IF(V639&gt;1200000,((V639-1200000)*27.5%)+300000,0)
)))))))</f>
        <v>0</v>
      </c>
      <c r="X639" s="12">
        <f t="shared" si="157"/>
        <v>0</v>
      </c>
      <c r="Y639" s="12">
        <f t="shared" si="158"/>
        <v>0</v>
      </c>
      <c r="Z639" s="11"/>
      <c r="AA639" s="13">
        <f t="shared" si="159"/>
        <v>0</v>
      </c>
      <c r="AB639" s="12">
        <f t="shared" si="160"/>
        <v>0</v>
      </c>
      <c r="AC639" s="14">
        <f t="shared" si="148"/>
        <v>0</v>
      </c>
      <c r="AE639" s="19">
        <f t="shared" si="161"/>
        <v>0</v>
      </c>
      <c r="AF639" s="19"/>
      <c r="AG639" s="17"/>
      <c r="AK639" s="7"/>
      <c r="AL639" s="108">
        <f t="shared" si="149"/>
        <v>0</v>
      </c>
      <c r="AM639" s="108">
        <f t="shared" si="150"/>
        <v>0</v>
      </c>
      <c r="AN639" s="113"/>
    </row>
    <row r="640" spans="2:40" x14ac:dyDescent="0.2">
      <c r="B640" s="7"/>
      <c r="C640" s="8"/>
      <c r="D640" s="8"/>
      <c r="E640" s="9"/>
      <c r="F640" s="6"/>
      <c r="G640" s="8"/>
      <c r="H640" s="32"/>
      <c r="I640" s="10" t="str">
        <f t="shared" si="147"/>
        <v>21</v>
      </c>
      <c r="J640" s="11">
        <v>1</v>
      </c>
      <c r="K640" s="11"/>
      <c r="L640" s="11"/>
      <c r="M640" s="11">
        <f t="shared" si="151"/>
        <v>0</v>
      </c>
      <c r="N640" s="11"/>
      <c r="O640" s="11">
        <f t="shared" si="152"/>
        <v>0</v>
      </c>
      <c r="P640" s="11"/>
      <c r="Q640" s="11"/>
      <c r="R640" s="11"/>
      <c r="S640" s="11">
        <f t="shared" si="153"/>
        <v>0</v>
      </c>
      <c r="T640" s="11">
        <f t="shared" si="154"/>
        <v>1666.6666666666667</v>
      </c>
      <c r="U640" s="11">
        <f t="shared" si="155"/>
        <v>0</v>
      </c>
      <c r="V640" s="24">
        <f t="shared" si="156"/>
        <v>0</v>
      </c>
      <c r="W640" s="11">
        <f>IF(V640&lt;=40000,0,
IF(V640&lt;=55000,(V640-40000)*10%,
IF(V640&lt;=70000,(V640-55000)*15%+1500,
IF(V640&lt;=200000,(V640-70000)*20%+1500+2250,
IF(V640&lt;=400000,(V640-200000)*22.5%+1500+2250+26000,
IF(V640&lt;=600000,(V640-400000)*25%+1500+2250+26000+45000,
IF(AND(V640&gt;600000,V640&lt;=1200000),(V640-400000)*25%+1500+2250+26000+45000
+IFERROR(LOOKUP(V640,{600001;700001;800001;900001},{4000;6750;10250;15250}),0),IF(V640&gt;1200000,((V640-1200000)*27.5%)+300000,0)
)))))))</f>
        <v>0</v>
      </c>
      <c r="X640" s="12">
        <f t="shared" si="157"/>
        <v>0</v>
      </c>
      <c r="Y640" s="12">
        <f t="shared" si="158"/>
        <v>0</v>
      </c>
      <c r="Z640" s="11"/>
      <c r="AA640" s="13">
        <f t="shared" si="159"/>
        <v>0</v>
      </c>
      <c r="AB640" s="12">
        <f t="shared" si="160"/>
        <v>0</v>
      </c>
      <c r="AC640" s="14">
        <f t="shared" si="148"/>
        <v>0</v>
      </c>
      <c r="AE640" s="19">
        <f t="shared" si="161"/>
        <v>0</v>
      </c>
      <c r="AF640" s="19"/>
      <c r="AG640" s="17"/>
      <c r="AK640" s="7"/>
      <c r="AL640" s="108">
        <f t="shared" si="149"/>
        <v>0</v>
      </c>
      <c r="AM640" s="108">
        <f t="shared" si="150"/>
        <v>0</v>
      </c>
      <c r="AN640" s="113"/>
    </row>
    <row r="641" spans="2:40" x14ac:dyDescent="0.2">
      <c r="B641" s="7"/>
      <c r="C641" s="8"/>
      <c r="D641" s="8"/>
      <c r="E641" s="9"/>
      <c r="F641" s="6"/>
      <c r="G641" s="8"/>
      <c r="H641" s="32"/>
      <c r="I641" s="10" t="str">
        <f t="shared" si="147"/>
        <v>21</v>
      </c>
      <c r="J641" s="11">
        <v>1</v>
      </c>
      <c r="K641" s="11"/>
      <c r="L641" s="11"/>
      <c r="M641" s="11">
        <f t="shared" si="151"/>
        <v>0</v>
      </c>
      <c r="N641" s="11"/>
      <c r="O641" s="11">
        <f t="shared" si="152"/>
        <v>0</v>
      </c>
      <c r="P641" s="11"/>
      <c r="Q641" s="11"/>
      <c r="R641" s="11"/>
      <c r="S641" s="11">
        <f t="shared" si="153"/>
        <v>0</v>
      </c>
      <c r="T641" s="11">
        <f t="shared" si="154"/>
        <v>1666.6666666666667</v>
      </c>
      <c r="U641" s="11">
        <f t="shared" si="155"/>
        <v>0</v>
      </c>
      <c r="V641" s="24">
        <f t="shared" si="156"/>
        <v>0</v>
      </c>
      <c r="W641" s="11">
        <f>IF(V641&lt;=40000,0,
IF(V641&lt;=55000,(V641-40000)*10%,
IF(V641&lt;=70000,(V641-55000)*15%+1500,
IF(V641&lt;=200000,(V641-70000)*20%+1500+2250,
IF(V641&lt;=400000,(V641-200000)*22.5%+1500+2250+26000,
IF(V641&lt;=600000,(V641-400000)*25%+1500+2250+26000+45000,
IF(AND(V641&gt;600000,V641&lt;=1200000),(V641-400000)*25%+1500+2250+26000+45000
+IFERROR(LOOKUP(V641,{600001;700001;800001;900001},{4000;6750;10250;15250}),0),IF(V641&gt;1200000,((V641-1200000)*27.5%)+300000,0)
)))))))</f>
        <v>0</v>
      </c>
      <c r="X641" s="12">
        <f t="shared" si="157"/>
        <v>0</v>
      </c>
      <c r="Y641" s="12">
        <f t="shared" si="158"/>
        <v>0</v>
      </c>
      <c r="Z641" s="11"/>
      <c r="AA641" s="13">
        <f t="shared" si="159"/>
        <v>0</v>
      </c>
      <c r="AB641" s="12">
        <f t="shared" si="160"/>
        <v>0</v>
      </c>
      <c r="AC641" s="14">
        <f t="shared" si="148"/>
        <v>0</v>
      </c>
      <c r="AE641" s="19">
        <f t="shared" si="161"/>
        <v>0</v>
      </c>
      <c r="AF641" s="19"/>
      <c r="AG641" s="17"/>
      <c r="AK641" s="7"/>
      <c r="AL641" s="108">
        <f t="shared" si="149"/>
        <v>0</v>
      </c>
      <c r="AM641" s="108">
        <f t="shared" si="150"/>
        <v>0</v>
      </c>
      <c r="AN641" s="113"/>
    </row>
    <row r="642" spans="2:40" x14ac:dyDescent="0.2">
      <c r="B642" s="7"/>
      <c r="C642" s="8"/>
      <c r="D642" s="8"/>
      <c r="E642" s="9"/>
      <c r="F642" s="6"/>
      <c r="G642" s="8"/>
      <c r="H642" s="32"/>
      <c r="I642" s="10" t="str">
        <f t="shared" si="147"/>
        <v>21</v>
      </c>
      <c r="J642" s="11">
        <v>1</v>
      </c>
      <c r="K642" s="11"/>
      <c r="L642" s="11"/>
      <c r="M642" s="11">
        <f t="shared" si="151"/>
        <v>0</v>
      </c>
      <c r="N642" s="11"/>
      <c r="O642" s="11">
        <f t="shared" si="152"/>
        <v>0</v>
      </c>
      <c r="P642" s="11"/>
      <c r="Q642" s="11"/>
      <c r="R642" s="11"/>
      <c r="S642" s="11">
        <f t="shared" si="153"/>
        <v>0</v>
      </c>
      <c r="T642" s="11">
        <f t="shared" si="154"/>
        <v>1666.6666666666667</v>
      </c>
      <c r="U642" s="11">
        <f t="shared" si="155"/>
        <v>0</v>
      </c>
      <c r="V642" s="24">
        <f t="shared" si="156"/>
        <v>0</v>
      </c>
      <c r="W642" s="11">
        <f>IF(V642&lt;=40000,0,
IF(V642&lt;=55000,(V642-40000)*10%,
IF(V642&lt;=70000,(V642-55000)*15%+1500,
IF(V642&lt;=200000,(V642-70000)*20%+1500+2250,
IF(V642&lt;=400000,(V642-200000)*22.5%+1500+2250+26000,
IF(V642&lt;=600000,(V642-400000)*25%+1500+2250+26000+45000,
IF(AND(V642&gt;600000,V642&lt;=1200000),(V642-400000)*25%+1500+2250+26000+45000
+IFERROR(LOOKUP(V642,{600001;700001;800001;900001},{4000;6750;10250;15250}),0),IF(V642&gt;1200000,((V642-1200000)*27.5%)+300000,0)
)))))))</f>
        <v>0</v>
      </c>
      <c r="X642" s="12">
        <f t="shared" si="157"/>
        <v>0</v>
      </c>
      <c r="Y642" s="12">
        <f t="shared" si="158"/>
        <v>0</v>
      </c>
      <c r="Z642" s="11"/>
      <c r="AA642" s="13">
        <f t="shared" si="159"/>
        <v>0</v>
      </c>
      <c r="AB642" s="12">
        <f t="shared" si="160"/>
        <v>0</v>
      </c>
      <c r="AC642" s="14">
        <f t="shared" si="148"/>
        <v>0</v>
      </c>
      <c r="AE642" s="19">
        <f t="shared" si="161"/>
        <v>0</v>
      </c>
      <c r="AF642" s="19"/>
      <c r="AG642" s="17"/>
      <c r="AK642" s="7"/>
      <c r="AL642" s="108">
        <f t="shared" si="149"/>
        <v>0</v>
      </c>
      <c r="AM642" s="108">
        <f t="shared" si="150"/>
        <v>0</v>
      </c>
      <c r="AN642" s="113"/>
    </row>
    <row r="643" spans="2:40" x14ac:dyDescent="0.2">
      <c r="B643" s="7"/>
      <c r="C643" s="8"/>
      <c r="D643" s="8"/>
      <c r="E643" s="9"/>
      <c r="F643" s="6"/>
      <c r="G643" s="8"/>
      <c r="H643" s="32"/>
      <c r="I643" s="10" t="str">
        <f t="shared" si="147"/>
        <v>21</v>
      </c>
      <c r="J643" s="11">
        <v>1</v>
      </c>
      <c r="K643" s="11"/>
      <c r="L643" s="11"/>
      <c r="M643" s="11">
        <f t="shared" si="151"/>
        <v>0</v>
      </c>
      <c r="N643" s="11"/>
      <c r="O643" s="11">
        <f t="shared" si="152"/>
        <v>0</v>
      </c>
      <c r="P643" s="11"/>
      <c r="Q643" s="11"/>
      <c r="R643" s="11"/>
      <c r="S643" s="11">
        <f t="shared" si="153"/>
        <v>0</v>
      </c>
      <c r="T643" s="11">
        <f t="shared" si="154"/>
        <v>1666.6666666666667</v>
      </c>
      <c r="U643" s="11">
        <f t="shared" si="155"/>
        <v>0</v>
      </c>
      <c r="V643" s="24">
        <f t="shared" si="156"/>
        <v>0</v>
      </c>
      <c r="W643" s="11">
        <f>IF(V643&lt;=40000,0,
IF(V643&lt;=55000,(V643-40000)*10%,
IF(V643&lt;=70000,(V643-55000)*15%+1500,
IF(V643&lt;=200000,(V643-70000)*20%+1500+2250,
IF(V643&lt;=400000,(V643-200000)*22.5%+1500+2250+26000,
IF(V643&lt;=600000,(V643-400000)*25%+1500+2250+26000+45000,
IF(AND(V643&gt;600000,V643&lt;=1200000),(V643-400000)*25%+1500+2250+26000+45000
+IFERROR(LOOKUP(V643,{600001;700001;800001;900001},{4000;6750;10250;15250}),0),IF(V643&gt;1200000,((V643-1200000)*27.5%)+300000,0)
)))))))</f>
        <v>0</v>
      </c>
      <c r="X643" s="12">
        <f t="shared" si="157"/>
        <v>0</v>
      </c>
      <c r="Y643" s="12">
        <f t="shared" si="158"/>
        <v>0</v>
      </c>
      <c r="Z643" s="11"/>
      <c r="AA643" s="13">
        <f t="shared" si="159"/>
        <v>0</v>
      </c>
      <c r="AB643" s="12">
        <f t="shared" si="160"/>
        <v>0</v>
      </c>
      <c r="AC643" s="14">
        <f t="shared" si="148"/>
        <v>0</v>
      </c>
      <c r="AE643" s="19">
        <f t="shared" si="161"/>
        <v>0</v>
      </c>
      <c r="AF643" s="19"/>
      <c r="AG643" s="17"/>
      <c r="AK643" s="7"/>
      <c r="AL643" s="108">
        <f t="shared" si="149"/>
        <v>0</v>
      </c>
      <c r="AM643" s="108">
        <f t="shared" si="150"/>
        <v>0</v>
      </c>
      <c r="AN643" s="113"/>
    </row>
    <row r="644" spans="2:40" x14ac:dyDescent="0.2">
      <c r="B644" s="7"/>
      <c r="C644" s="8"/>
      <c r="D644" s="8"/>
      <c r="E644" s="9"/>
      <c r="F644" s="6"/>
      <c r="G644" s="8"/>
      <c r="H644" s="32"/>
      <c r="I644" s="10" t="str">
        <f t="shared" si="147"/>
        <v>21</v>
      </c>
      <c r="J644" s="11">
        <v>1</v>
      </c>
      <c r="K644" s="11"/>
      <c r="L644" s="11"/>
      <c r="M644" s="11">
        <f t="shared" si="151"/>
        <v>0</v>
      </c>
      <c r="N644" s="11"/>
      <c r="O644" s="11">
        <f t="shared" si="152"/>
        <v>0</v>
      </c>
      <c r="P644" s="11"/>
      <c r="Q644" s="11"/>
      <c r="R644" s="11"/>
      <c r="S644" s="11">
        <f t="shared" si="153"/>
        <v>0</v>
      </c>
      <c r="T644" s="11">
        <f t="shared" si="154"/>
        <v>1666.6666666666667</v>
      </c>
      <c r="U644" s="11">
        <f t="shared" si="155"/>
        <v>0</v>
      </c>
      <c r="V644" s="24">
        <f t="shared" si="156"/>
        <v>0</v>
      </c>
      <c r="W644" s="11">
        <f>IF(V644&lt;=40000,0,
IF(V644&lt;=55000,(V644-40000)*10%,
IF(V644&lt;=70000,(V644-55000)*15%+1500,
IF(V644&lt;=200000,(V644-70000)*20%+1500+2250,
IF(V644&lt;=400000,(V644-200000)*22.5%+1500+2250+26000,
IF(V644&lt;=600000,(V644-400000)*25%+1500+2250+26000+45000,
IF(AND(V644&gt;600000,V644&lt;=1200000),(V644-400000)*25%+1500+2250+26000+45000
+IFERROR(LOOKUP(V644,{600001;700001;800001;900001},{4000;6750;10250;15250}),0),IF(V644&gt;1200000,((V644-1200000)*27.5%)+300000,0)
)))))))</f>
        <v>0</v>
      </c>
      <c r="X644" s="12">
        <f t="shared" si="157"/>
        <v>0</v>
      </c>
      <c r="Y644" s="12">
        <f t="shared" si="158"/>
        <v>0</v>
      </c>
      <c r="Z644" s="11"/>
      <c r="AA644" s="13">
        <f t="shared" si="159"/>
        <v>0</v>
      </c>
      <c r="AB644" s="12">
        <f t="shared" si="160"/>
        <v>0</v>
      </c>
      <c r="AC644" s="14">
        <f t="shared" si="148"/>
        <v>0</v>
      </c>
      <c r="AE644" s="19">
        <f t="shared" si="161"/>
        <v>0</v>
      </c>
      <c r="AF644" s="19"/>
      <c r="AG644" s="17"/>
      <c r="AK644" s="7"/>
      <c r="AL644" s="108">
        <f t="shared" si="149"/>
        <v>0</v>
      </c>
      <c r="AM644" s="108">
        <f t="shared" si="150"/>
        <v>0</v>
      </c>
      <c r="AN644" s="113"/>
    </row>
    <row r="645" spans="2:40" x14ac:dyDescent="0.2">
      <c r="B645" s="7"/>
      <c r="C645" s="8"/>
      <c r="D645" s="8"/>
      <c r="E645" s="9"/>
      <c r="F645" s="6"/>
      <c r="G645" s="8"/>
      <c r="H645" s="32"/>
      <c r="I645" s="10" t="str">
        <f t="shared" ref="I645:I708" si="162">IF(G645&gt;0,"1","21")</f>
        <v>21</v>
      </c>
      <c r="J645" s="11">
        <v>1</v>
      </c>
      <c r="K645" s="11"/>
      <c r="L645" s="11"/>
      <c r="M645" s="11">
        <f t="shared" si="151"/>
        <v>0</v>
      </c>
      <c r="N645" s="11"/>
      <c r="O645" s="11">
        <f t="shared" si="152"/>
        <v>0</v>
      </c>
      <c r="P645" s="11"/>
      <c r="Q645" s="11"/>
      <c r="R645" s="11"/>
      <c r="S645" s="11">
        <f t="shared" si="153"/>
        <v>0</v>
      </c>
      <c r="T645" s="11">
        <f t="shared" si="154"/>
        <v>1666.6666666666667</v>
      </c>
      <c r="U645" s="11">
        <f t="shared" si="155"/>
        <v>0</v>
      </c>
      <c r="V645" s="24">
        <f t="shared" si="156"/>
        <v>0</v>
      </c>
      <c r="W645" s="11">
        <f>IF(V645&lt;=40000,0,
IF(V645&lt;=55000,(V645-40000)*10%,
IF(V645&lt;=70000,(V645-55000)*15%+1500,
IF(V645&lt;=200000,(V645-70000)*20%+1500+2250,
IF(V645&lt;=400000,(V645-200000)*22.5%+1500+2250+26000,
IF(V645&lt;=600000,(V645-400000)*25%+1500+2250+26000+45000,
IF(AND(V645&gt;600000,V645&lt;=1200000),(V645-400000)*25%+1500+2250+26000+45000
+IFERROR(LOOKUP(V645,{600001;700001;800001;900001},{4000;6750;10250;15250}),0),IF(V645&gt;1200000,((V645-1200000)*27.5%)+300000,0)
)))))))</f>
        <v>0</v>
      </c>
      <c r="X645" s="12">
        <f t="shared" si="157"/>
        <v>0</v>
      </c>
      <c r="Y645" s="12">
        <f t="shared" si="158"/>
        <v>0</v>
      </c>
      <c r="Z645" s="11"/>
      <c r="AA645" s="13">
        <f t="shared" si="159"/>
        <v>0</v>
      </c>
      <c r="AB645" s="12">
        <f t="shared" si="160"/>
        <v>0</v>
      </c>
      <c r="AC645" s="14">
        <f t="shared" ref="AC645:AC708" si="163">+M645-P645-Y645</f>
        <v>0</v>
      </c>
      <c r="AE645" s="19">
        <f t="shared" si="161"/>
        <v>0</v>
      </c>
      <c r="AF645" s="19"/>
      <c r="AG645" s="17"/>
      <c r="AK645" s="7"/>
      <c r="AL645" s="108">
        <f t="shared" ref="AL645:AL708" si="164">+AK645+AD645</f>
        <v>0</v>
      </c>
      <c r="AM645" s="108">
        <f t="shared" ref="AM645:AM708" si="165">+AL645-AC645</f>
        <v>0</v>
      </c>
      <c r="AN645" s="113"/>
    </row>
    <row r="646" spans="2:40" x14ac:dyDescent="0.2">
      <c r="B646" s="7"/>
      <c r="C646" s="8"/>
      <c r="D646" s="8"/>
      <c r="E646" s="9"/>
      <c r="F646" s="6"/>
      <c r="G646" s="8"/>
      <c r="H646" s="32"/>
      <c r="I646" s="10" t="str">
        <f t="shared" si="162"/>
        <v>21</v>
      </c>
      <c r="J646" s="11">
        <v>1</v>
      </c>
      <c r="K646" s="11"/>
      <c r="L646" s="11"/>
      <c r="M646" s="11">
        <f t="shared" si="151"/>
        <v>0</v>
      </c>
      <c r="N646" s="11"/>
      <c r="O646" s="11">
        <f t="shared" si="152"/>
        <v>0</v>
      </c>
      <c r="P646" s="11"/>
      <c r="Q646" s="11"/>
      <c r="R646" s="11"/>
      <c r="S646" s="11">
        <f t="shared" si="153"/>
        <v>0</v>
      </c>
      <c r="T646" s="11">
        <f t="shared" si="154"/>
        <v>1666.6666666666667</v>
      </c>
      <c r="U646" s="11">
        <f t="shared" si="155"/>
        <v>0</v>
      </c>
      <c r="V646" s="24">
        <f t="shared" si="156"/>
        <v>0</v>
      </c>
      <c r="W646" s="11">
        <f>IF(V646&lt;=40000,0,
IF(V646&lt;=55000,(V646-40000)*10%,
IF(V646&lt;=70000,(V646-55000)*15%+1500,
IF(V646&lt;=200000,(V646-70000)*20%+1500+2250,
IF(V646&lt;=400000,(V646-200000)*22.5%+1500+2250+26000,
IF(V646&lt;=600000,(V646-400000)*25%+1500+2250+26000+45000,
IF(AND(V646&gt;600000,V646&lt;=1200000),(V646-400000)*25%+1500+2250+26000+45000
+IFERROR(LOOKUP(V646,{600001;700001;800001;900001},{4000;6750;10250;15250}),0),IF(V646&gt;1200000,((V646-1200000)*27.5%)+300000,0)
)))))))</f>
        <v>0</v>
      </c>
      <c r="X646" s="12">
        <f t="shared" si="157"/>
        <v>0</v>
      </c>
      <c r="Y646" s="12">
        <f t="shared" si="158"/>
        <v>0</v>
      </c>
      <c r="Z646" s="11"/>
      <c r="AA646" s="13">
        <f t="shared" si="159"/>
        <v>0</v>
      </c>
      <c r="AB646" s="12">
        <f t="shared" si="160"/>
        <v>0</v>
      </c>
      <c r="AC646" s="14">
        <f t="shared" si="163"/>
        <v>0</v>
      </c>
      <c r="AE646" s="19">
        <f t="shared" si="161"/>
        <v>0</v>
      </c>
      <c r="AF646" s="19"/>
      <c r="AG646" s="17"/>
      <c r="AK646" s="7"/>
      <c r="AL646" s="108">
        <f t="shared" si="164"/>
        <v>0</v>
      </c>
      <c r="AM646" s="108">
        <f t="shared" si="165"/>
        <v>0</v>
      </c>
      <c r="AN646" s="113"/>
    </row>
    <row r="647" spans="2:40" x14ac:dyDescent="0.2">
      <c r="B647" s="7"/>
      <c r="C647" s="8"/>
      <c r="D647" s="8"/>
      <c r="E647" s="9"/>
      <c r="F647" s="6"/>
      <c r="G647" s="8"/>
      <c r="H647" s="32"/>
      <c r="I647" s="10" t="str">
        <f t="shared" si="162"/>
        <v>21</v>
      </c>
      <c r="J647" s="11">
        <v>1</v>
      </c>
      <c r="K647" s="11"/>
      <c r="L647" s="11"/>
      <c r="M647" s="11">
        <f t="shared" si="151"/>
        <v>0</v>
      </c>
      <c r="N647" s="11"/>
      <c r="O647" s="11">
        <f t="shared" si="152"/>
        <v>0</v>
      </c>
      <c r="P647" s="11"/>
      <c r="Q647" s="11"/>
      <c r="R647" s="11"/>
      <c r="S647" s="11">
        <f t="shared" si="153"/>
        <v>0</v>
      </c>
      <c r="T647" s="11">
        <f t="shared" si="154"/>
        <v>1666.6666666666667</v>
      </c>
      <c r="U647" s="11">
        <f t="shared" si="155"/>
        <v>0</v>
      </c>
      <c r="V647" s="24">
        <f t="shared" si="156"/>
        <v>0</v>
      </c>
      <c r="W647" s="11">
        <f>IF(V647&lt;=40000,0,
IF(V647&lt;=55000,(V647-40000)*10%,
IF(V647&lt;=70000,(V647-55000)*15%+1500,
IF(V647&lt;=200000,(V647-70000)*20%+1500+2250,
IF(V647&lt;=400000,(V647-200000)*22.5%+1500+2250+26000,
IF(V647&lt;=600000,(V647-400000)*25%+1500+2250+26000+45000,
IF(AND(V647&gt;600000,V647&lt;=1200000),(V647-400000)*25%+1500+2250+26000+45000
+IFERROR(LOOKUP(V647,{600001;700001;800001;900001},{4000;6750;10250;15250}),0),IF(V647&gt;1200000,((V647-1200000)*27.5%)+300000,0)
)))))))</f>
        <v>0</v>
      </c>
      <c r="X647" s="12">
        <f t="shared" si="157"/>
        <v>0</v>
      </c>
      <c r="Y647" s="12">
        <f t="shared" si="158"/>
        <v>0</v>
      </c>
      <c r="Z647" s="11"/>
      <c r="AA647" s="13">
        <f t="shared" si="159"/>
        <v>0</v>
      </c>
      <c r="AB647" s="12">
        <f t="shared" si="160"/>
        <v>0</v>
      </c>
      <c r="AC647" s="14">
        <f t="shared" si="163"/>
        <v>0</v>
      </c>
      <c r="AE647" s="19">
        <f t="shared" si="161"/>
        <v>0</v>
      </c>
      <c r="AF647" s="19"/>
      <c r="AG647" s="17"/>
      <c r="AK647" s="7"/>
      <c r="AL647" s="108">
        <f t="shared" si="164"/>
        <v>0</v>
      </c>
      <c r="AM647" s="108">
        <f t="shared" si="165"/>
        <v>0</v>
      </c>
      <c r="AN647" s="113"/>
    </row>
    <row r="648" spans="2:40" x14ac:dyDescent="0.2">
      <c r="B648" s="7"/>
      <c r="C648" s="8"/>
      <c r="D648" s="8"/>
      <c r="E648" s="9"/>
      <c r="F648" s="6"/>
      <c r="G648" s="8"/>
      <c r="H648" s="32"/>
      <c r="I648" s="10" t="str">
        <f t="shared" si="162"/>
        <v>21</v>
      </c>
      <c r="J648" s="11">
        <v>1</v>
      </c>
      <c r="K648" s="11"/>
      <c r="L648" s="11"/>
      <c r="M648" s="11">
        <f t="shared" si="151"/>
        <v>0</v>
      </c>
      <c r="N648" s="11"/>
      <c r="O648" s="11">
        <f t="shared" si="152"/>
        <v>0</v>
      </c>
      <c r="P648" s="11"/>
      <c r="Q648" s="11"/>
      <c r="R648" s="11"/>
      <c r="S648" s="11">
        <f t="shared" si="153"/>
        <v>0</v>
      </c>
      <c r="T648" s="11">
        <f t="shared" si="154"/>
        <v>1666.6666666666667</v>
      </c>
      <c r="U648" s="11">
        <f t="shared" si="155"/>
        <v>0</v>
      </c>
      <c r="V648" s="24">
        <f t="shared" si="156"/>
        <v>0</v>
      </c>
      <c r="W648" s="11">
        <f>IF(V648&lt;=40000,0,
IF(V648&lt;=55000,(V648-40000)*10%,
IF(V648&lt;=70000,(V648-55000)*15%+1500,
IF(V648&lt;=200000,(V648-70000)*20%+1500+2250,
IF(V648&lt;=400000,(V648-200000)*22.5%+1500+2250+26000,
IF(V648&lt;=600000,(V648-400000)*25%+1500+2250+26000+45000,
IF(AND(V648&gt;600000,V648&lt;=1200000),(V648-400000)*25%+1500+2250+26000+45000
+IFERROR(LOOKUP(V648,{600001;700001;800001;900001},{4000;6750;10250;15250}),0),IF(V648&gt;1200000,((V648-1200000)*27.5%)+300000,0)
)))))))</f>
        <v>0</v>
      </c>
      <c r="X648" s="12">
        <f t="shared" si="157"/>
        <v>0</v>
      </c>
      <c r="Y648" s="12">
        <f t="shared" si="158"/>
        <v>0</v>
      </c>
      <c r="Z648" s="11"/>
      <c r="AA648" s="13">
        <f t="shared" si="159"/>
        <v>0</v>
      </c>
      <c r="AB648" s="12">
        <f t="shared" si="160"/>
        <v>0</v>
      </c>
      <c r="AC648" s="14">
        <f t="shared" si="163"/>
        <v>0</v>
      </c>
      <c r="AE648" s="19">
        <f t="shared" si="161"/>
        <v>0</v>
      </c>
      <c r="AF648" s="19"/>
      <c r="AG648" s="17"/>
      <c r="AK648" s="7"/>
      <c r="AL648" s="108">
        <f t="shared" si="164"/>
        <v>0</v>
      </c>
      <c r="AM648" s="108">
        <f t="shared" si="165"/>
        <v>0</v>
      </c>
      <c r="AN648" s="113"/>
    </row>
    <row r="649" spans="2:40" x14ac:dyDescent="0.2">
      <c r="B649" s="7"/>
      <c r="C649" s="8"/>
      <c r="D649" s="8"/>
      <c r="E649" s="9"/>
      <c r="F649" s="6"/>
      <c r="G649" s="8"/>
      <c r="H649" s="32"/>
      <c r="I649" s="10" t="str">
        <f t="shared" si="162"/>
        <v>21</v>
      </c>
      <c r="J649" s="11">
        <v>1</v>
      </c>
      <c r="K649" s="11"/>
      <c r="L649" s="11"/>
      <c r="M649" s="11">
        <f t="shared" si="151"/>
        <v>0</v>
      </c>
      <c r="N649" s="11"/>
      <c r="O649" s="11">
        <f t="shared" si="152"/>
        <v>0</v>
      </c>
      <c r="P649" s="11"/>
      <c r="Q649" s="11"/>
      <c r="R649" s="11"/>
      <c r="S649" s="11">
        <f t="shared" si="153"/>
        <v>0</v>
      </c>
      <c r="T649" s="11">
        <f t="shared" si="154"/>
        <v>1666.6666666666667</v>
      </c>
      <c r="U649" s="11">
        <f t="shared" si="155"/>
        <v>0</v>
      </c>
      <c r="V649" s="24">
        <f t="shared" si="156"/>
        <v>0</v>
      </c>
      <c r="W649" s="11">
        <f>IF(V649&lt;=40000,0,
IF(V649&lt;=55000,(V649-40000)*10%,
IF(V649&lt;=70000,(V649-55000)*15%+1500,
IF(V649&lt;=200000,(V649-70000)*20%+1500+2250,
IF(V649&lt;=400000,(V649-200000)*22.5%+1500+2250+26000,
IF(V649&lt;=600000,(V649-400000)*25%+1500+2250+26000+45000,
IF(AND(V649&gt;600000,V649&lt;=1200000),(V649-400000)*25%+1500+2250+26000+45000
+IFERROR(LOOKUP(V649,{600001;700001;800001;900001},{4000;6750;10250;15250}),0),IF(V649&gt;1200000,((V649-1200000)*27.5%)+300000,0)
)))))))</f>
        <v>0</v>
      </c>
      <c r="X649" s="12">
        <f t="shared" si="157"/>
        <v>0</v>
      </c>
      <c r="Y649" s="12">
        <f t="shared" si="158"/>
        <v>0</v>
      </c>
      <c r="Z649" s="11"/>
      <c r="AA649" s="13">
        <f t="shared" si="159"/>
        <v>0</v>
      </c>
      <c r="AB649" s="12">
        <f t="shared" si="160"/>
        <v>0</v>
      </c>
      <c r="AC649" s="14">
        <f t="shared" si="163"/>
        <v>0</v>
      </c>
      <c r="AE649" s="19">
        <f t="shared" si="161"/>
        <v>0</v>
      </c>
      <c r="AF649" s="19"/>
      <c r="AG649" s="17"/>
      <c r="AK649" s="7"/>
      <c r="AL649" s="108">
        <f t="shared" si="164"/>
        <v>0</v>
      </c>
      <c r="AM649" s="108">
        <f t="shared" si="165"/>
        <v>0</v>
      </c>
      <c r="AN649" s="113"/>
    </row>
    <row r="650" spans="2:40" x14ac:dyDescent="0.2">
      <c r="B650" s="7"/>
      <c r="C650" s="8"/>
      <c r="D650" s="8"/>
      <c r="E650" s="9"/>
      <c r="F650" s="6"/>
      <c r="G650" s="8"/>
      <c r="H650" s="32"/>
      <c r="I650" s="10" t="str">
        <f t="shared" si="162"/>
        <v>21</v>
      </c>
      <c r="J650" s="11">
        <v>1</v>
      </c>
      <c r="K650" s="11"/>
      <c r="L650" s="11"/>
      <c r="M650" s="11">
        <f t="shared" si="151"/>
        <v>0</v>
      </c>
      <c r="N650" s="11"/>
      <c r="O650" s="11">
        <f t="shared" si="152"/>
        <v>0</v>
      </c>
      <c r="P650" s="11"/>
      <c r="Q650" s="11"/>
      <c r="R650" s="11"/>
      <c r="S650" s="11">
        <f t="shared" si="153"/>
        <v>0</v>
      </c>
      <c r="T650" s="11">
        <f t="shared" si="154"/>
        <v>1666.6666666666667</v>
      </c>
      <c r="U650" s="11">
        <f t="shared" si="155"/>
        <v>0</v>
      </c>
      <c r="V650" s="24">
        <f t="shared" si="156"/>
        <v>0</v>
      </c>
      <c r="W650" s="11">
        <f>IF(V650&lt;=40000,0,
IF(V650&lt;=55000,(V650-40000)*10%,
IF(V650&lt;=70000,(V650-55000)*15%+1500,
IF(V650&lt;=200000,(V650-70000)*20%+1500+2250,
IF(V650&lt;=400000,(V650-200000)*22.5%+1500+2250+26000,
IF(V650&lt;=600000,(V650-400000)*25%+1500+2250+26000+45000,
IF(AND(V650&gt;600000,V650&lt;=1200000),(V650-400000)*25%+1500+2250+26000+45000
+IFERROR(LOOKUP(V650,{600001;700001;800001;900001},{4000;6750;10250;15250}),0),IF(V650&gt;1200000,((V650-1200000)*27.5%)+300000,0)
)))))))</f>
        <v>0</v>
      </c>
      <c r="X650" s="12">
        <f t="shared" si="157"/>
        <v>0</v>
      </c>
      <c r="Y650" s="12">
        <f t="shared" si="158"/>
        <v>0</v>
      </c>
      <c r="Z650" s="11"/>
      <c r="AA650" s="13">
        <f t="shared" si="159"/>
        <v>0</v>
      </c>
      <c r="AB650" s="12">
        <f t="shared" si="160"/>
        <v>0</v>
      </c>
      <c r="AC650" s="14">
        <f t="shared" si="163"/>
        <v>0</v>
      </c>
      <c r="AE650" s="19">
        <f t="shared" si="161"/>
        <v>0</v>
      </c>
      <c r="AF650" s="19"/>
      <c r="AG650" s="17"/>
      <c r="AK650" s="7"/>
      <c r="AL650" s="108">
        <f t="shared" si="164"/>
        <v>0</v>
      </c>
      <c r="AM650" s="108">
        <f t="shared" si="165"/>
        <v>0</v>
      </c>
      <c r="AN650" s="113"/>
    </row>
    <row r="651" spans="2:40" x14ac:dyDescent="0.2">
      <c r="B651" s="7"/>
      <c r="C651" s="8"/>
      <c r="D651" s="8"/>
      <c r="E651" s="9"/>
      <c r="F651" s="6"/>
      <c r="G651" s="8"/>
      <c r="H651" s="32"/>
      <c r="I651" s="10" t="str">
        <f t="shared" si="162"/>
        <v>21</v>
      </c>
      <c r="J651" s="11">
        <v>1</v>
      </c>
      <c r="K651" s="11"/>
      <c r="L651" s="11"/>
      <c r="M651" s="11">
        <f t="shared" si="151"/>
        <v>0</v>
      </c>
      <c r="N651" s="11"/>
      <c r="O651" s="11">
        <f t="shared" si="152"/>
        <v>0</v>
      </c>
      <c r="P651" s="11"/>
      <c r="Q651" s="11"/>
      <c r="R651" s="11"/>
      <c r="S651" s="11">
        <f t="shared" si="153"/>
        <v>0</v>
      </c>
      <c r="T651" s="11">
        <f t="shared" si="154"/>
        <v>1666.6666666666667</v>
      </c>
      <c r="U651" s="11">
        <f t="shared" si="155"/>
        <v>0</v>
      </c>
      <c r="V651" s="24">
        <f t="shared" si="156"/>
        <v>0</v>
      </c>
      <c r="W651" s="11">
        <f>IF(V651&lt;=40000,0,
IF(V651&lt;=55000,(V651-40000)*10%,
IF(V651&lt;=70000,(V651-55000)*15%+1500,
IF(V651&lt;=200000,(V651-70000)*20%+1500+2250,
IF(V651&lt;=400000,(V651-200000)*22.5%+1500+2250+26000,
IF(V651&lt;=600000,(V651-400000)*25%+1500+2250+26000+45000,
IF(AND(V651&gt;600000,V651&lt;=1200000),(V651-400000)*25%+1500+2250+26000+45000
+IFERROR(LOOKUP(V651,{600001;700001;800001;900001},{4000;6750;10250;15250}),0),IF(V651&gt;1200000,((V651-1200000)*27.5%)+300000,0)
)))))))</f>
        <v>0</v>
      </c>
      <c r="X651" s="12">
        <f t="shared" si="157"/>
        <v>0</v>
      </c>
      <c r="Y651" s="12">
        <f t="shared" si="158"/>
        <v>0</v>
      </c>
      <c r="Z651" s="11"/>
      <c r="AA651" s="13">
        <f t="shared" si="159"/>
        <v>0</v>
      </c>
      <c r="AB651" s="12">
        <f t="shared" si="160"/>
        <v>0</v>
      </c>
      <c r="AC651" s="14">
        <f t="shared" si="163"/>
        <v>0</v>
      </c>
      <c r="AE651" s="19">
        <f t="shared" si="161"/>
        <v>0</v>
      </c>
      <c r="AF651" s="19"/>
      <c r="AG651" s="17"/>
      <c r="AK651" s="7"/>
      <c r="AL651" s="108">
        <f t="shared" si="164"/>
        <v>0</v>
      </c>
      <c r="AM651" s="108">
        <f t="shared" si="165"/>
        <v>0</v>
      </c>
      <c r="AN651" s="113"/>
    </row>
    <row r="652" spans="2:40" x14ac:dyDescent="0.2">
      <c r="B652" s="7"/>
      <c r="C652" s="8"/>
      <c r="D652" s="8"/>
      <c r="E652" s="9"/>
      <c r="F652" s="6"/>
      <c r="G652" s="8"/>
      <c r="H652" s="32"/>
      <c r="I652" s="10" t="str">
        <f t="shared" si="162"/>
        <v>21</v>
      </c>
      <c r="J652" s="11">
        <v>1</v>
      </c>
      <c r="K652" s="11"/>
      <c r="L652" s="11"/>
      <c r="M652" s="11">
        <f t="shared" si="151"/>
        <v>0</v>
      </c>
      <c r="N652" s="11"/>
      <c r="O652" s="11">
        <f t="shared" si="152"/>
        <v>0</v>
      </c>
      <c r="P652" s="11"/>
      <c r="Q652" s="11"/>
      <c r="R652" s="11"/>
      <c r="S652" s="11">
        <f t="shared" si="153"/>
        <v>0</v>
      </c>
      <c r="T652" s="11">
        <f t="shared" si="154"/>
        <v>1666.6666666666667</v>
      </c>
      <c r="U652" s="11">
        <f t="shared" si="155"/>
        <v>0</v>
      </c>
      <c r="V652" s="24">
        <f t="shared" si="156"/>
        <v>0</v>
      </c>
      <c r="W652" s="11">
        <f>IF(V652&lt;=40000,0,
IF(V652&lt;=55000,(V652-40000)*10%,
IF(V652&lt;=70000,(V652-55000)*15%+1500,
IF(V652&lt;=200000,(V652-70000)*20%+1500+2250,
IF(V652&lt;=400000,(V652-200000)*22.5%+1500+2250+26000,
IF(V652&lt;=600000,(V652-400000)*25%+1500+2250+26000+45000,
IF(AND(V652&gt;600000,V652&lt;=1200000),(V652-400000)*25%+1500+2250+26000+45000
+IFERROR(LOOKUP(V652,{600001;700001;800001;900001},{4000;6750;10250;15250}),0),IF(V652&gt;1200000,((V652-1200000)*27.5%)+300000,0)
)))))))</f>
        <v>0</v>
      </c>
      <c r="X652" s="12">
        <f t="shared" si="157"/>
        <v>0</v>
      </c>
      <c r="Y652" s="12">
        <f t="shared" si="158"/>
        <v>0</v>
      </c>
      <c r="Z652" s="11"/>
      <c r="AA652" s="13">
        <f t="shared" si="159"/>
        <v>0</v>
      </c>
      <c r="AB652" s="12">
        <f t="shared" si="160"/>
        <v>0</v>
      </c>
      <c r="AC652" s="14">
        <f t="shared" si="163"/>
        <v>0</v>
      </c>
      <c r="AE652" s="19">
        <f t="shared" si="161"/>
        <v>0</v>
      </c>
      <c r="AF652" s="19"/>
      <c r="AG652" s="17"/>
      <c r="AK652" s="7"/>
      <c r="AL652" s="108">
        <f t="shared" si="164"/>
        <v>0</v>
      </c>
      <c r="AM652" s="108">
        <f t="shared" si="165"/>
        <v>0</v>
      </c>
      <c r="AN652" s="113"/>
    </row>
    <row r="653" spans="2:40" x14ac:dyDescent="0.2">
      <c r="B653" s="7"/>
      <c r="C653" s="8"/>
      <c r="D653" s="8"/>
      <c r="E653" s="9"/>
      <c r="F653" s="6"/>
      <c r="G653" s="8"/>
      <c r="H653" s="32"/>
      <c r="I653" s="10" t="str">
        <f t="shared" si="162"/>
        <v>21</v>
      </c>
      <c r="J653" s="11">
        <v>1</v>
      </c>
      <c r="K653" s="11"/>
      <c r="L653" s="11"/>
      <c r="M653" s="11">
        <f t="shared" si="151"/>
        <v>0</v>
      </c>
      <c r="N653" s="11"/>
      <c r="O653" s="11">
        <f t="shared" si="152"/>
        <v>0</v>
      </c>
      <c r="P653" s="11"/>
      <c r="Q653" s="11"/>
      <c r="R653" s="11"/>
      <c r="S653" s="11">
        <f t="shared" si="153"/>
        <v>0</v>
      </c>
      <c r="T653" s="11">
        <f t="shared" si="154"/>
        <v>1666.6666666666667</v>
      </c>
      <c r="U653" s="11">
        <f t="shared" si="155"/>
        <v>0</v>
      </c>
      <c r="V653" s="24">
        <f t="shared" si="156"/>
        <v>0</v>
      </c>
      <c r="W653" s="11">
        <f>IF(V653&lt;=40000,0,
IF(V653&lt;=55000,(V653-40000)*10%,
IF(V653&lt;=70000,(V653-55000)*15%+1500,
IF(V653&lt;=200000,(V653-70000)*20%+1500+2250,
IF(V653&lt;=400000,(V653-200000)*22.5%+1500+2250+26000,
IF(V653&lt;=600000,(V653-400000)*25%+1500+2250+26000+45000,
IF(AND(V653&gt;600000,V653&lt;=1200000),(V653-400000)*25%+1500+2250+26000+45000
+IFERROR(LOOKUP(V653,{600001;700001;800001;900001},{4000;6750;10250;15250}),0),IF(V653&gt;1200000,((V653-1200000)*27.5%)+300000,0)
)))))))</f>
        <v>0</v>
      </c>
      <c r="X653" s="12">
        <f t="shared" si="157"/>
        <v>0</v>
      </c>
      <c r="Y653" s="12">
        <f t="shared" si="158"/>
        <v>0</v>
      </c>
      <c r="Z653" s="11"/>
      <c r="AA653" s="13">
        <f t="shared" si="159"/>
        <v>0</v>
      </c>
      <c r="AB653" s="12">
        <f t="shared" si="160"/>
        <v>0</v>
      </c>
      <c r="AC653" s="14">
        <f t="shared" si="163"/>
        <v>0</v>
      </c>
      <c r="AE653" s="19">
        <f t="shared" si="161"/>
        <v>0</v>
      </c>
      <c r="AF653" s="19"/>
      <c r="AG653" s="17"/>
      <c r="AK653" s="7"/>
      <c r="AL653" s="108">
        <f t="shared" si="164"/>
        <v>0</v>
      </c>
      <c r="AM653" s="108">
        <f t="shared" si="165"/>
        <v>0</v>
      </c>
      <c r="AN653" s="113"/>
    </row>
    <row r="654" spans="2:40" x14ac:dyDescent="0.2">
      <c r="B654" s="7"/>
      <c r="C654" s="8"/>
      <c r="D654" s="8"/>
      <c r="E654" s="9"/>
      <c r="F654" s="6"/>
      <c r="G654" s="8"/>
      <c r="H654" s="32"/>
      <c r="I654" s="10" t="str">
        <f t="shared" si="162"/>
        <v>21</v>
      </c>
      <c r="J654" s="11">
        <v>1</v>
      </c>
      <c r="K654" s="11"/>
      <c r="L654" s="11"/>
      <c r="M654" s="11">
        <f t="shared" si="151"/>
        <v>0</v>
      </c>
      <c r="N654" s="11"/>
      <c r="O654" s="11">
        <f t="shared" si="152"/>
        <v>0</v>
      </c>
      <c r="P654" s="11"/>
      <c r="Q654" s="11"/>
      <c r="R654" s="11"/>
      <c r="S654" s="11">
        <f t="shared" si="153"/>
        <v>0</v>
      </c>
      <c r="T654" s="11">
        <f t="shared" si="154"/>
        <v>1666.6666666666667</v>
      </c>
      <c r="U654" s="11">
        <f t="shared" si="155"/>
        <v>0</v>
      </c>
      <c r="V654" s="24">
        <f t="shared" si="156"/>
        <v>0</v>
      </c>
      <c r="W654" s="11">
        <f>IF(V654&lt;=40000,0,
IF(V654&lt;=55000,(V654-40000)*10%,
IF(V654&lt;=70000,(V654-55000)*15%+1500,
IF(V654&lt;=200000,(V654-70000)*20%+1500+2250,
IF(V654&lt;=400000,(V654-200000)*22.5%+1500+2250+26000,
IF(V654&lt;=600000,(V654-400000)*25%+1500+2250+26000+45000,
IF(AND(V654&gt;600000,V654&lt;=1200000),(V654-400000)*25%+1500+2250+26000+45000
+IFERROR(LOOKUP(V654,{600001;700001;800001;900001},{4000;6750;10250;15250}),0),IF(V654&gt;1200000,((V654-1200000)*27.5%)+300000,0)
)))))))</f>
        <v>0</v>
      </c>
      <c r="X654" s="12">
        <f t="shared" si="157"/>
        <v>0</v>
      </c>
      <c r="Y654" s="12">
        <f t="shared" si="158"/>
        <v>0</v>
      </c>
      <c r="Z654" s="11"/>
      <c r="AA654" s="13">
        <f t="shared" si="159"/>
        <v>0</v>
      </c>
      <c r="AB654" s="12">
        <f t="shared" si="160"/>
        <v>0</v>
      </c>
      <c r="AC654" s="14">
        <f t="shared" si="163"/>
        <v>0</v>
      </c>
      <c r="AE654" s="19">
        <f t="shared" si="161"/>
        <v>0</v>
      </c>
      <c r="AF654" s="19"/>
      <c r="AG654" s="17"/>
      <c r="AK654" s="7"/>
      <c r="AL654" s="108">
        <f t="shared" si="164"/>
        <v>0</v>
      </c>
      <c r="AM654" s="108">
        <f t="shared" si="165"/>
        <v>0</v>
      </c>
      <c r="AN654" s="113"/>
    </row>
    <row r="655" spans="2:40" x14ac:dyDescent="0.2">
      <c r="B655" s="7"/>
      <c r="C655" s="8"/>
      <c r="D655" s="8"/>
      <c r="E655" s="9"/>
      <c r="F655" s="6"/>
      <c r="G655" s="8"/>
      <c r="H655" s="32"/>
      <c r="I655" s="10" t="str">
        <f t="shared" si="162"/>
        <v>21</v>
      </c>
      <c r="J655" s="11">
        <v>1</v>
      </c>
      <c r="K655" s="11"/>
      <c r="L655" s="11"/>
      <c r="M655" s="11">
        <f t="shared" si="151"/>
        <v>0</v>
      </c>
      <c r="N655" s="11"/>
      <c r="O655" s="11">
        <f t="shared" si="152"/>
        <v>0</v>
      </c>
      <c r="P655" s="11"/>
      <c r="Q655" s="11"/>
      <c r="R655" s="11"/>
      <c r="S655" s="11">
        <f t="shared" si="153"/>
        <v>0</v>
      </c>
      <c r="T655" s="11">
        <f t="shared" si="154"/>
        <v>1666.6666666666667</v>
      </c>
      <c r="U655" s="11">
        <f t="shared" si="155"/>
        <v>0</v>
      </c>
      <c r="V655" s="24">
        <f t="shared" si="156"/>
        <v>0</v>
      </c>
      <c r="W655" s="11">
        <f>IF(V655&lt;=40000,0,
IF(V655&lt;=55000,(V655-40000)*10%,
IF(V655&lt;=70000,(V655-55000)*15%+1500,
IF(V655&lt;=200000,(V655-70000)*20%+1500+2250,
IF(V655&lt;=400000,(V655-200000)*22.5%+1500+2250+26000,
IF(V655&lt;=600000,(V655-400000)*25%+1500+2250+26000+45000,
IF(AND(V655&gt;600000,V655&lt;=1200000),(V655-400000)*25%+1500+2250+26000+45000
+IFERROR(LOOKUP(V655,{600001;700001;800001;900001},{4000;6750;10250;15250}),0),IF(V655&gt;1200000,((V655-1200000)*27.5%)+300000,0)
)))))))</f>
        <v>0</v>
      </c>
      <c r="X655" s="12">
        <f t="shared" si="157"/>
        <v>0</v>
      </c>
      <c r="Y655" s="12">
        <f t="shared" si="158"/>
        <v>0</v>
      </c>
      <c r="Z655" s="11"/>
      <c r="AA655" s="13">
        <f t="shared" si="159"/>
        <v>0</v>
      </c>
      <c r="AB655" s="12">
        <f t="shared" si="160"/>
        <v>0</v>
      </c>
      <c r="AC655" s="14">
        <f t="shared" si="163"/>
        <v>0</v>
      </c>
      <c r="AE655" s="19">
        <f t="shared" si="161"/>
        <v>0</v>
      </c>
      <c r="AF655" s="19"/>
      <c r="AG655" s="17"/>
      <c r="AK655" s="7"/>
      <c r="AL655" s="108">
        <f t="shared" si="164"/>
        <v>0</v>
      </c>
      <c r="AM655" s="108">
        <f t="shared" si="165"/>
        <v>0</v>
      </c>
      <c r="AN655" s="113"/>
    </row>
    <row r="656" spans="2:40" x14ac:dyDescent="0.2">
      <c r="B656" s="7"/>
      <c r="C656" s="8"/>
      <c r="D656" s="8"/>
      <c r="E656" s="9"/>
      <c r="F656" s="6"/>
      <c r="G656" s="8"/>
      <c r="H656" s="32"/>
      <c r="I656" s="10" t="str">
        <f t="shared" si="162"/>
        <v>21</v>
      </c>
      <c r="J656" s="11">
        <v>1</v>
      </c>
      <c r="K656" s="11"/>
      <c r="L656" s="11"/>
      <c r="M656" s="11">
        <f t="shared" si="151"/>
        <v>0</v>
      </c>
      <c r="N656" s="11"/>
      <c r="O656" s="11">
        <f t="shared" si="152"/>
        <v>0</v>
      </c>
      <c r="P656" s="11"/>
      <c r="Q656" s="11"/>
      <c r="R656" s="11"/>
      <c r="S656" s="11">
        <f t="shared" si="153"/>
        <v>0</v>
      </c>
      <c r="T656" s="11">
        <f t="shared" si="154"/>
        <v>1666.6666666666667</v>
      </c>
      <c r="U656" s="11">
        <f t="shared" si="155"/>
        <v>0</v>
      </c>
      <c r="V656" s="24">
        <f t="shared" si="156"/>
        <v>0</v>
      </c>
      <c r="W656" s="11">
        <f>IF(V656&lt;=40000,0,
IF(V656&lt;=55000,(V656-40000)*10%,
IF(V656&lt;=70000,(V656-55000)*15%+1500,
IF(V656&lt;=200000,(V656-70000)*20%+1500+2250,
IF(V656&lt;=400000,(V656-200000)*22.5%+1500+2250+26000,
IF(V656&lt;=600000,(V656-400000)*25%+1500+2250+26000+45000,
IF(AND(V656&gt;600000,V656&lt;=1200000),(V656-400000)*25%+1500+2250+26000+45000
+IFERROR(LOOKUP(V656,{600001;700001;800001;900001},{4000;6750;10250;15250}),0),IF(V656&gt;1200000,((V656-1200000)*27.5%)+300000,0)
)))))))</f>
        <v>0</v>
      </c>
      <c r="X656" s="12">
        <f t="shared" si="157"/>
        <v>0</v>
      </c>
      <c r="Y656" s="12">
        <f t="shared" si="158"/>
        <v>0</v>
      </c>
      <c r="Z656" s="11"/>
      <c r="AA656" s="13">
        <f t="shared" si="159"/>
        <v>0</v>
      </c>
      <c r="AB656" s="12">
        <f t="shared" si="160"/>
        <v>0</v>
      </c>
      <c r="AC656" s="14">
        <f t="shared" si="163"/>
        <v>0</v>
      </c>
      <c r="AE656" s="19">
        <f t="shared" si="161"/>
        <v>0</v>
      </c>
      <c r="AF656" s="19"/>
      <c r="AG656" s="17"/>
      <c r="AK656" s="7"/>
      <c r="AL656" s="108">
        <f t="shared" si="164"/>
        <v>0</v>
      </c>
      <c r="AM656" s="108">
        <f t="shared" si="165"/>
        <v>0</v>
      </c>
      <c r="AN656" s="113"/>
    </row>
    <row r="657" spans="2:40" x14ac:dyDescent="0.2">
      <c r="B657" s="7"/>
      <c r="C657" s="8"/>
      <c r="D657" s="8"/>
      <c r="E657" s="9"/>
      <c r="F657" s="6"/>
      <c r="G657" s="8"/>
      <c r="H657" s="32"/>
      <c r="I657" s="10" t="str">
        <f t="shared" si="162"/>
        <v>21</v>
      </c>
      <c r="J657" s="11">
        <v>1</v>
      </c>
      <c r="K657" s="11"/>
      <c r="L657" s="11"/>
      <c r="M657" s="11">
        <f t="shared" si="151"/>
        <v>0</v>
      </c>
      <c r="N657" s="11"/>
      <c r="O657" s="11">
        <f t="shared" si="152"/>
        <v>0</v>
      </c>
      <c r="P657" s="11"/>
      <c r="Q657" s="11"/>
      <c r="R657" s="11"/>
      <c r="S657" s="11">
        <f t="shared" si="153"/>
        <v>0</v>
      </c>
      <c r="T657" s="11">
        <f t="shared" si="154"/>
        <v>1666.6666666666667</v>
      </c>
      <c r="U657" s="11">
        <f t="shared" si="155"/>
        <v>0</v>
      </c>
      <c r="V657" s="24">
        <f t="shared" si="156"/>
        <v>0</v>
      </c>
      <c r="W657" s="11">
        <f>IF(V657&lt;=40000,0,
IF(V657&lt;=55000,(V657-40000)*10%,
IF(V657&lt;=70000,(V657-55000)*15%+1500,
IF(V657&lt;=200000,(V657-70000)*20%+1500+2250,
IF(V657&lt;=400000,(V657-200000)*22.5%+1500+2250+26000,
IF(V657&lt;=600000,(V657-400000)*25%+1500+2250+26000+45000,
IF(AND(V657&gt;600000,V657&lt;=1200000),(V657-400000)*25%+1500+2250+26000+45000
+IFERROR(LOOKUP(V657,{600001;700001;800001;900001},{4000;6750;10250;15250}),0),IF(V657&gt;1200000,((V657-1200000)*27.5%)+300000,0)
)))))))</f>
        <v>0</v>
      </c>
      <c r="X657" s="12">
        <f t="shared" si="157"/>
        <v>0</v>
      </c>
      <c r="Y657" s="12">
        <f t="shared" si="158"/>
        <v>0</v>
      </c>
      <c r="Z657" s="11"/>
      <c r="AA657" s="13">
        <f t="shared" si="159"/>
        <v>0</v>
      </c>
      <c r="AB657" s="12">
        <f t="shared" si="160"/>
        <v>0</v>
      </c>
      <c r="AC657" s="14">
        <f t="shared" si="163"/>
        <v>0</v>
      </c>
      <c r="AE657" s="19">
        <f t="shared" si="161"/>
        <v>0</v>
      </c>
      <c r="AF657" s="19"/>
      <c r="AG657" s="17"/>
      <c r="AK657" s="7"/>
      <c r="AL657" s="108">
        <f t="shared" si="164"/>
        <v>0</v>
      </c>
      <c r="AM657" s="108">
        <f t="shared" si="165"/>
        <v>0</v>
      </c>
      <c r="AN657" s="113"/>
    </row>
    <row r="658" spans="2:40" x14ac:dyDescent="0.2">
      <c r="B658" s="7"/>
      <c r="C658" s="8"/>
      <c r="D658" s="8"/>
      <c r="E658" s="9"/>
      <c r="F658" s="6"/>
      <c r="G658" s="8"/>
      <c r="H658" s="32"/>
      <c r="I658" s="10" t="str">
        <f t="shared" si="162"/>
        <v>21</v>
      </c>
      <c r="J658" s="11">
        <v>1</v>
      </c>
      <c r="K658" s="11"/>
      <c r="L658" s="11"/>
      <c r="M658" s="11">
        <f t="shared" si="151"/>
        <v>0</v>
      </c>
      <c r="N658" s="11"/>
      <c r="O658" s="11">
        <f t="shared" si="152"/>
        <v>0</v>
      </c>
      <c r="P658" s="11"/>
      <c r="Q658" s="11"/>
      <c r="R658" s="11"/>
      <c r="S658" s="11">
        <f t="shared" si="153"/>
        <v>0</v>
      </c>
      <c r="T658" s="11">
        <f t="shared" si="154"/>
        <v>1666.6666666666667</v>
      </c>
      <c r="U658" s="11">
        <f t="shared" si="155"/>
        <v>0</v>
      </c>
      <c r="V658" s="24">
        <f t="shared" si="156"/>
        <v>0</v>
      </c>
      <c r="W658" s="11">
        <f>IF(V658&lt;=40000,0,
IF(V658&lt;=55000,(V658-40000)*10%,
IF(V658&lt;=70000,(V658-55000)*15%+1500,
IF(V658&lt;=200000,(V658-70000)*20%+1500+2250,
IF(V658&lt;=400000,(V658-200000)*22.5%+1500+2250+26000,
IF(V658&lt;=600000,(V658-400000)*25%+1500+2250+26000+45000,
IF(AND(V658&gt;600000,V658&lt;=1200000),(V658-400000)*25%+1500+2250+26000+45000
+IFERROR(LOOKUP(V658,{600001;700001;800001;900001},{4000;6750;10250;15250}),0),IF(V658&gt;1200000,((V658-1200000)*27.5%)+300000,0)
)))))))</f>
        <v>0</v>
      </c>
      <c r="X658" s="12">
        <f t="shared" si="157"/>
        <v>0</v>
      </c>
      <c r="Y658" s="12">
        <f t="shared" si="158"/>
        <v>0</v>
      </c>
      <c r="Z658" s="11"/>
      <c r="AA658" s="13">
        <f t="shared" si="159"/>
        <v>0</v>
      </c>
      <c r="AB658" s="12">
        <f t="shared" si="160"/>
        <v>0</v>
      </c>
      <c r="AC658" s="14">
        <f t="shared" si="163"/>
        <v>0</v>
      </c>
      <c r="AE658" s="19">
        <f t="shared" si="161"/>
        <v>0</v>
      </c>
      <c r="AF658" s="19"/>
      <c r="AG658" s="17"/>
      <c r="AK658" s="7"/>
      <c r="AL658" s="108">
        <f t="shared" si="164"/>
        <v>0</v>
      </c>
      <c r="AM658" s="108">
        <f t="shared" si="165"/>
        <v>0</v>
      </c>
      <c r="AN658" s="113"/>
    </row>
    <row r="659" spans="2:40" x14ac:dyDescent="0.2">
      <c r="B659" s="7"/>
      <c r="C659" s="8"/>
      <c r="D659" s="8"/>
      <c r="E659" s="9"/>
      <c r="F659" s="6"/>
      <c r="G659" s="8"/>
      <c r="H659" s="32"/>
      <c r="I659" s="10" t="str">
        <f t="shared" si="162"/>
        <v>21</v>
      </c>
      <c r="J659" s="11">
        <v>1</v>
      </c>
      <c r="K659" s="11"/>
      <c r="L659" s="11"/>
      <c r="M659" s="11">
        <f t="shared" si="151"/>
        <v>0</v>
      </c>
      <c r="N659" s="11"/>
      <c r="O659" s="11">
        <f t="shared" si="152"/>
        <v>0</v>
      </c>
      <c r="P659" s="11"/>
      <c r="Q659" s="11"/>
      <c r="R659" s="11"/>
      <c r="S659" s="11">
        <f t="shared" si="153"/>
        <v>0</v>
      </c>
      <c r="T659" s="11">
        <f t="shared" si="154"/>
        <v>1666.6666666666667</v>
      </c>
      <c r="U659" s="11">
        <f t="shared" si="155"/>
        <v>0</v>
      </c>
      <c r="V659" s="24">
        <f t="shared" si="156"/>
        <v>0</v>
      </c>
      <c r="W659" s="11">
        <f>IF(V659&lt;=40000,0,
IF(V659&lt;=55000,(V659-40000)*10%,
IF(V659&lt;=70000,(V659-55000)*15%+1500,
IF(V659&lt;=200000,(V659-70000)*20%+1500+2250,
IF(V659&lt;=400000,(V659-200000)*22.5%+1500+2250+26000,
IF(V659&lt;=600000,(V659-400000)*25%+1500+2250+26000+45000,
IF(AND(V659&gt;600000,V659&lt;=1200000),(V659-400000)*25%+1500+2250+26000+45000
+IFERROR(LOOKUP(V659,{600001;700001;800001;900001},{4000;6750;10250;15250}),0),IF(V659&gt;1200000,((V659-1200000)*27.5%)+300000,0)
)))))))</f>
        <v>0</v>
      </c>
      <c r="X659" s="12">
        <f t="shared" si="157"/>
        <v>0</v>
      </c>
      <c r="Y659" s="12">
        <f t="shared" si="158"/>
        <v>0</v>
      </c>
      <c r="Z659" s="11"/>
      <c r="AA659" s="13">
        <f t="shared" si="159"/>
        <v>0</v>
      </c>
      <c r="AB659" s="12">
        <f t="shared" si="160"/>
        <v>0</v>
      </c>
      <c r="AC659" s="14">
        <f t="shared" si="163"/>
        <v>0</v>
      </c>
      <c r="AE659" s="19">
        <f t="shared" si="161"/>
        <v>0</v>
      </c>
      <c r="AF659" s="19"/>
      <c r="AG659" s="17"/>
      <c r="AK659" s="7"/>
      <c r="AL659" s="108">
        <f t="shared" si="164"/>
        <v>0</v>
      </c>
      <c r="AM659" s="108">
        <f t="shared" si="165"/>
        <v>0</v>
      </c>
      <c r="AN659" s="113"/>
    </row>
    <row r="660" spans="2:40" x14ac:dyDescent="0.2">
      <c r="B660" s="7"/>
      <c r="C660" s="8"/>
      <c r="D660" s="8"/>
      <c r="E660" s="9"/>
      <c r="F660" s="6"/>
      <c r="G660" s="8"/>
      <c r="H660" s="32"/>
      <c r="I660" s="10" t="str">
        <f t="shared" si="162"/>
        <v>21</v>
      </c>
      <c r="J660" s="11">
        <v>1</v>
      </c>
      <c r="K660" s="11"/>
      <c r="L660" s="11"/>
      <c r="M660" s="11">
        <f t="shared" si="151"/>
        <v>0</v>
      </c>
      <c r="N660" s="11"/>
      <c r="O660" s="11">
        <f t="shared" si="152"/>
        <v>0</v>
      </c>
      <c r="P660" s="11"/>
      <c r="Q660" s="11"/>
      <c r="R660" s="11"/>
      <c r="S660" s="11">
        <f t="shared" si="153"/>
        <v>0</v>
      </c>
      <c r="T660" s="11">
        <f t="shared" si="154"/>
        <v>1666.6666666666667</v>
      </c>
      <c r="U660" s="11">
        <f t="shared" si="155"/>
        <v>0</v>
      </c>
      <c r="V660" s="24">
        <f t="shared" si="156"/>
        <v>0</v>
      </c>
      <c r="W660" s="11">
        <f>IF(V660&lt;=40000,0,
IF(V660&lt;=55000,(V660-40000)*10%,
IF(V660&lt;=70000,(V660-55000)*15%+1500,
IF(V660&lt;=200000,(V660-70000)*20%+1500+2250,
IF(V660&lt;=400000,(V660-200000)*22.5%+1500+2250+26000,
IF(V660&lt;=600000,(V660-400000)*25%+1500+2250+26000+45000,
IF(AND(V660&gt;600000,V660&lt;=1200000),(V660-400000)*25%+1500+2250+26000+45000
+IFERROR(LOOKUP(V660,{600001;700001;800001;900001},{4000;6750;10250;15250}),0),IF(V660&gt;1200000,((V660-1200000)*27.5%)+300000,0)
)))))))</f>
        <v>0</v>
      </c>
      <c r="X660" s="12">
        <f t="shared" si="157"/>
        <v>0</v>
      </c>
      <c r="Y660" s="12">
        <f t="shared" si="158"/>
        <v>0</v>
      </c>
      <c r="Z660" s="11"/>
      <c r="AA660" s="13">
        <f t="shared" si="159"/>
        <v>0</v>
      </c>
      <c r="AB660" s="12">
        <f t="shared" si="160"/>
        <v>0</v>
      </c>
      <c r="AC660" s="14">
        <f t="shared" si="163"/>
        <v>0</v>
      </c>
      <c r="AE660" s="19">
        <f t="shared" si="161"/>
        <v>0</v>
      </c>
      <c r="AF660" s="19"/>
      <c r="AG660" s="17"/>
      <c r="AK660" s="7"/>
      <c r="AL660" s="108">
        <f t="shared" si="164"/>
        <v>0</v>
      </c>
      <c r="AM660" s="108">
        <f t="shared" si="165"/>
        <v>0</v>
      </c>
      <c r="AN660" s="113"/>
    </row>
    <row r="661" spans="2:40" x14ac:dyDescent="0.2">
      <c r="B661" s="7"/>
      <c r="C661" s="8"/>
      <c r="D661" s="8"/>
      <c r="E661" s="9"/>
      <c r="F661" s="6"/>
      <c r="G661" s="8"/>
      <c r="H661" s="32"/>
      <c r="I661" s="10" t="str">
        <f t="shared" si="162"/>
        <v>21</v>
      </c>
      <c r="J661" s="11">
        <v>1</v>
      </c>
      <c r="K661" s="11"/>
      <c r="L661" s="11"/>
      <c r="M661" s="11">
        <f t="shared" si="151"/>
        <v>0</v>
      </c>
      <c r="N661" s="11"/>
      <c r="O661" s="11">
        <f t="shared" si="152"/>
        <v>0</v>
      </c>
      <c r="P661" s="11"/>
      <c r="Q661" s="11"/>
      <c r="R661" s="11"/>
      <c r="S661" s="11">
        <f t="shared" si="153"/>
        <v>0</v>
      </c>
      <c r="T661" s="11">
        <f t="shared" si="154"/>
        <v>1666.6666666666667</v>
      </c>
      <c r="U661" s="11">
        <f t="shared" si="155"/>
        <v>0</v>
      </c>
      <c r="V661" s="24">
        <f t="shared" si="156"/>
        <v>0</v>
      </c>
      <c r="W661" s="11">
        <f>IF(V661&lt;=40000,0,
IF(V661&lt;=55000,(V661-40000)*10%,
IF(V661&lt;=70000,(V661-55000)*15%+1500,
IF(V661&lt;=200000,(V661-70000)*20%+1500+2250,
IF(V661&lt;=400000,(V661-200000)*22.5%+1500+2250+26000,
IF(V661&lt;=600000,(V661-400000)*25%+1500+2250+26000+45000,
IF(AND(V661&gt;600000,V661&lt;=1200000),(V661-400000)*25%+1500+2250+26000+45000
+IFERROR(LOOKUP(V661,{600001;700001;800001;900001},{4000;6750;10250;15250}),0),IF(V661&gt;1200000,((V661-1200000)*27.5%)+300000,0)
)))))))</f>
        <v>0</v>
      </c>
      <c r="X661" s="12">
        <f t="shared" si="157"/>
        <v>0</v>
      </c>
      <c r="Y661" s="12">
        <f t="shared" si="158"/>
        <v>0</v>
      </c>
      <c r="Z661" s="11"/>
      <c r="AA661" s="13">
        <f t="shared" si="159"/>
        <v>0</v>
      </c>
      <c r="AB661" s="12">
        <f t="shared" si="160"/>
        <v>0</v>
      </c>
      <c r="AC661" s="14">
        <f t="shared" si="163"/>
        <v>0</v>
      </c>
      <c r="AE661" s="19">
        <f t="shared" si="161"/>
        <v>0</v>
      </c>
      <c r="AF661" s="19"/>
      <c r="AG661" s="17"/>
      <c r="AK661" s="7"/>
      <c r="AL661" s="108">
        <f t="shared" si="164"/>
        <v>0</v>
      </c>
      <c r="AM661" s="108">
        <f t="shared" si="165"/>
        <v>0</v>
      </c>
      <c r="AN661" s="113"/>
    </row>
    <row r="662" spans="2:40" x14ac:dyDescent="0.2">
      <c r="B662" s="7"/>
      <c r="C662" s="8"/>
      <c r="D662" s="8"/>
      <c r="E662" s="9"/>
      <c r="F662" s="6"/>
      <c r="G662" s="8"/>
      <c r="H662" s="32"/>
      <c r="I662" s="10" t="str">
        <f t="shared" si="162"/>
        <v>21</v>
      </c>
      <c r="J662" s="11">
        <v>1</v>
      </c>
      <c r="K662" s="11"/>
      <c r="L662" s="11"/>
      <c r="M662" s="11">
        <f t="shared" si="151"/>
        <v>0</v>
      </c>
      <c r="N662" s="11"/>
      <c r="O662" s="11">
        <f t="shared" si="152"/>
        <v>0</v>
      </c>
      <c r="P662" s="11"/>
      <c r="Q662" s="11"/>
      <c r="R662" s="11"/>
      <c r="S662" s="11">
        <f t="shared" si="153"/>
        <v>0</v>
      </c>
      <c r="T662" s="11">
        <f t="shared" si="154"/>
        <v>1666.6666666666667</v>
      </c>
      <c r="U662" s="11">
        <f t="shared" si="155"/>
        <v>0</v>
      </c>
      <c r="V662" s="24">
        <f t="shared" si="156"/>
        <v>0</v>
      </c>
      <c r="W662" s="11">
        <f>IF(V662&lt;=40000,0,
IF(V662&lt;=55000,(V662-40000)*10%,
IF(V662&lt;=70000,(V662-55000)*15%+1500,
IF(V662&lt;=200000,(V662-70000)*20%+1500+2250,
IF(V662&lt;=400000,(V662-200000)*22.5%+1500+2250+26000,
IF(V662&lt;=600000,(V662-400000)*25%+1500+2250+26000+45000,
IF(AND(V662&gt;600000,V662&lt;=1200000),(V662-400000)*25%+1500+2250+26000+45000
+IFERROR(LOOKUP(V662,{600001;700001;800001;900001},{4000;6750;10250;15250}),0),IF(V662&gt;1200000,((V662-1200000)*27.5%)+300000,0)
)))))))</f>
        <v>0</v>
      </c>
      <c r="X662" s="12">
        <f t="shared" si="157"/>
        <v>0</v>
      </c>
      <c r="Y662" s="12">
        <f t="shared" si="158"/>
        <v>0</v>
      </c>
      <c r="Z662" s="11"/>
      <c r="AA662" s="13">
        <f t="shared" si="159"/>
        <v>0</v>
      </c>
      <c r="AB662" s="12">
        <f t="shared" si="160"/>
        <v>0</v>
      </c>
      <c r="AC662" s="14">
        <f t="shared" si="163"/>
        <v>0</v>
      </c>
      <c r="AE662" s="19">
        <f t="shared" si="161"/>
        <v>0</v>
      </c>
      <c r="AF662" s="19"/>
      <c r="AG662" s="17"/>
      <c r="AK662" s="7"/>
      <c r="AL662" s="108">
        <f t="shared" si="164"/>
        <v>0</v>
      </c>
      <c r="AM662" s="108">
        <f t="shared" si="165"/>
        <v>0</v>
      </c>
      <c r="AN662" s="113"/>
    </row>
    <row r="663" spans="2:40" x14ac:dyDescent="0.2">
      <c r="B663" s="7"/>
      <c r="C663" s="8"/>
      <c r="D663" s="8"/>
      <c r="E663" s="9"/>
      <c r="F663" s="6"/>
      <c r="G663" s="8"/>
      <c r="H663" s="32"/>
      <c r="I663" s="10" t="str">
        <f t="shared" si="162"/>
        <v>21</v>
      </c>
      <c r="J663" s="11">
        <v>1</v>
      </c>
      <c r="K663" s="11"/>
      <c r="L663" s="11"/>
      <c r="M663" s="11">
        <f t="shared" si="151"/>
        <v>0</v>
      </c>
      <c r="N663" s="11"/>
      <c r="O663" s="11">
        <f t="shared" si="152"/>
        <v>0</v>
      </c>
      <c r="P663" s="11"/>
      <c r="Q663" s="11"/>
      <c r="R663" s="11"/>
      <c r="S663" s="11">
        <f t="shared" si="153"/>
        <v>0</v>
      </c>
      <c r="T663" s="11">
        <f t="shared" si="154"/>
        <v>1666.6666666666667</v>
      </c>
      <c r="U663" s="11">
        <f t="shared" si="155"/>
        <v>0</v>
      </c>
      <c r="V663" s="24">
        <f t="shared" si="156"/>
        <v>0</v>
      </c>
      <c r="W663" s="11">
        <f>IF(V663&lt;=40000,0,
IF(V663&lt;=55000,(V663-40000)*10%,
IF(V663&lt;=70000,(V663-55000)*15%+1500,
IF(V663&lt;=200000,(V663-70000)*20%+1500+2250,
IF(V663&lt;=400000,(V663-200000)*22.5%+1500+2250+26000,
IF(V663&lt;=600000,(V663-400000)*25%+1500+2250+26000+45000,
IF(AND(V663&gt;600000,V663&lt;=1200000),(V663-400000)*25%+1500+2250+26000+45000
+IFERROR(LOOKUP(V663,{600001;700001;800001;900001},{4000;6750;10250;15250}),0),IF(V663&gt;1200000,((V663-1200000)*27.5%)+300000,0)
)))))))</f>
        <v>0</v>
      </c>
      <c r="X663" s="12">
        <f t="shared" si="157"/>
        <v>0</v>
      </c>
      <c r="Y663" s="12">
        <f t="shared" si="158"/>
        <v>0</v>
      </c>
      <c r="Z663" s="11"/>
      <c r="AA663" s="13">
        <f t="shared" si="159"/>
        <v>0</v>
      </c>
      <c r="AB663" s="12">
        <f t="shared" si="160"/>
        <v>0</v>
      </c>
      <c r="AC663" s="14">
        <f t="shared" si="163"/>
        <v>0</v>
      </c>
      <c r="AE663" s="19">
        <f t="shared" si="161"/>
        <v>0</v>
      </c>
      <c r="AF663" s="19"/>
      <c r="AG663" s="17"/>
      <c r="AK663" s="7"/>
      <c r="AL663" s="108">
        <f t="shared" si="164"/>
        <v>0</v>
      </c>
      <c r="AM663" s="108">
        <f t="shared" si="165"/>
        <v>0</v>
      </c>
      <c r="AN663" s="113"/>
    </row>
    <row r="664" spans="2:40" x14ac:dyDescent="0.2">
      <c r="B664" s="7"/>
      <c r="C664" s="8"/>
      <c r="D664" s="8"/>
      <c r="E664" s="9"/>
      <c r="F664" s="6"/>
      <c r="G664" s="8"/>
      <c r="H664" s="32"/>
      <c r="I664" s="10" t="str">
        <f t="shared" si="162"/>
        <v>21</v>
      </c>
      <c r="J664" s="11">
        <v>1</v>
      </c>
      <c r="K664" s="11"/>
      <c r="L664" s="11"/>
      <c r="M664" s="11">
        <f t="shared" si="151"/>
        <v>0</v>
      </c>
      <c r="N664" s="11"/>
      <c r="O664" s="11">
        <f t="shared" si="152"/>
        <v>0</v>
      </c>
      <c r="P664" s="11"/>
      <c r="Q664" s="11"/>
      <c r="R664" s="11"/>
      <c r="S664" s="11">
        <f t="shared" si="153"/>
        <v>0</v>
      </c>
      <c r="T664" s="11">
        <f t="shared" si="154"/>
        <v>1666.6666666666667</v>
      </c>
      <c r="U664" s="11">
        <f t="shared" si="155"/>
        <v>0</v>
      </c>
      <c r="V664" s="24">
        <f t="shared" si="156"/>
        <v>0</v>
      </c>
      <c r="W664" s="11">
        <f>IF(V664&lt;=40000,0,
IF(V664&lt;=55000,(V664-40000)*10%,
IF(V664&lt;=70000,(V664-55000)*15%+1500,
IF(V664&lt;=200000,(V664-70000)*20%+1500+2250,
IF(V664&lt;=400000,(V664-200000)*22.5%+1500+2250+26000,
IF(V664&lt;=600000,(V664-400000)*25%+1500+2250+26000+45000,
IF(AND(V664&gt;600000,V664&lt;=1200000),(V664-400000)*25%+1500+2250+26000+45000
+IFERROR(LOOKUP(V664,{600001;700001;800001;900001},{4000;6750;10250;15250}),0),IF(V664&gt;1200000,((V664-1200000)*27.5%)+300000,0)
)))))))</f>
        <v>0</v>
      </c>
      <c r="X664" s="12">
        <f t="shared" si="157"/>
        <v>0</v>
      </c>
      <c r="Y664" s="12">
        <f t="shared" si="158"/>
        <v>0</v>
      </c>
      <c r="Z664" s="11"/>
      <c r="AA664" s="13">
        <f t="shared" si="159"/>
        <v>0</v>
      </c>
      <c r="AB664" s="12">
        <f t="shared" si="160"/>
        <v>0</v>
      </c>
      <c r="AC664" s="14">
        <f t="shared" si="163"/>
        <v>0</v>
      </c>
      <c r="AE664" s="19">
        <f t="shared" si="161"/>
        <v>0</v>
      </c>
      <c r="AF664" s="19"/>
      <c r="AG664" s="17"/>
      <c r="AK664" s="7"/>
      <c r="AL664" s="108">
        <f t="shared" si="164"/>
        <v>0</v>
      </c>
      <c r="AM664" s="108">
        <f t="shared" si="165"/>
        <v>0</v>
      </c>
      <c r="AN664" s="113"/>
    </row>
    <row r="665" spans="2:40" x14ac:dyDescent="0.2">
      <c r="B665" s="7"/>
      <c r="C665" s="8"/>
      <c r="D665" s="8"/>
      <c r="E665" s="9"/>
      <c r="F665" s="6"/>
      <c r="G665" s="8"/>
      <c r="H665" s="32"/>
      <c r="I665" s="10" t="str">
        <f t="shared" si="162"/>
        <v>21</v>
      </c>
      <c r="J665" s="11">
        <v>1</v>
      </c>
      <c r="K665" s="11"/>
      <c r="L665" s="11"/>
      <c r="M665" s="11">
        <f t="shared" si="151"/>
        <v>0</v>
      </c>
      <c r="N665" s="11"/>
      <c r="O665" s="11">
        <f t="shared" si="152"/>
        <v>0</v>
      </c>
      <c r="P665" s="11"/>
      <c r="Q665" s="11"/>
      <c r="R665" s="11"/>
      <c r="S665" s="11">
        <f t="shared" si="153"/>
        <v>0</v>
      </c>
      <c r="T665" s="11">
        <f t="shared" si="154"/>
        <v>1666.6666666666667</v>
      </c>
      <c r="U665" s="11">
        <f t="shared" si="155"/>
        <v>0</v>
      </c>
      <c r="V665" s="24">
        <f t="shared" si="156"/>
        <v>0</v>
      </c>
      <c r="W665" s="11">
        <f>IF(V665&lt;=40000,0,
IF(V665&lt;=55000,(V665-40000)*10%,
IF(V665&lt;=70000,(V665-55000)*15%+1500,
IF(V665&lt;=200000,(V665-70000)*20%+1500+2250,
IF(V665&lt;=400000,(V665-200000)*22.5%+1500+2250+26000,
IF(V665&lt;=600000,(V665-400000)*25%+1500+2250+26000+45000,
IF(AND(V665&gt;600000,V665&lt;=1200000),(V665-400000)*25%+1500+2250+26000+45000
+IFERROR(LOOKUP(V665,{600001;700001;800001;900001},{4000;6750;10250;15250}),0),IF(V665&gt;1200000,((V665-1200000)*27.5%)+300000,0)
)))))))</f>
        <v>0</v>
      </c>
      <c r="X665" s="12">
        <f t="shared" si="157"/>
        <v>0</v>
      </c>
      <c r="Y665" s="12">
        <f t="shared" si="158"/>
        <v>0</v>
      </c>
      <c r="Z665" s="11"/>
      <c r="AA665" s="13">
        <f t="shared" si="159"/>
        <v>0</v>
      </c>
      <c r="AB665" s="12">
        <f t="shared" si="160"/>
        <v>0</v>
      </c>
      <c r="AC665" s="14">
        <f t="shared" si="163"/>
        <v>0</v>
      </c>
      <c r="AE665" s="19">
        <f t="shared" si="161"/>
        <v>0</v>
      </c>
      <c r="AF665" s="19"/>
      <c r="AG665" s="17"/>
      <c r="AK665" s="7"/>
      <c r="AL665" s="108">
        <f t="shared" si="164"/>
        <v>0</v>
      </c>
      <c r="AM665" s="108">
        <f t="shared" si="165"/>
        <v>0</v>
      </c>
      <c r="AN665" s="113"/>
    </row>
    <row r="666" spans="2:40" x14ac:dyDescent="0.2">
      <c r="B666" s="7"/>
      <c r="C666" s="8"/>
      <c r="D666" s="8"/>
      <c r="E666" s="9"/>
      <c r="F666" s="6"/>
      <c r="G666" s="8"/>
      <c r="H666" s="32"/>
      <c r="I666" s="10" t="str">
        <f t="shared" si="162"/>
        <v>21</v>
      </c>
      <c r="J666" s="11">
        <v>1</v>
      </c>
      <c r="K666" s="11"/>
      <c r="L666" s="11"/>
      <c r="M666" s="11">
        <f t="shared" si="151"/>
        <v>0</v>
      </c>
      <c r="N666" s="11"/>
      <c r="O666" s="11">
        <f t="shared" si="152"/>
        <v>0</v>
      </c>
      <c r="P666" s="11"/>
      <c r="Q666" s="11"/>
      <c r="R666" s="11"/>
      <c r="S666" s="11">
        <f t="shared" si="153"/>
        <v>0</v>
      </c>
      <c r="T666" s="11">
        <f t="shared" si="154"/>
        <v>1666.6666666666667</v>
      </c>
      <c r="U666" s="11">
        <f t="shared" si="155"/>
        <v>0</v>
      </c>
      <c r="V666" s="24">
        <f t="shared" si="156"/>
        <v>0</v>
      </c>
      <c r="W666" s="11">
        <f>IF(V666&lt;=40000,0,
IF(V666&lt;=55000,(V666-40000)*10%,
IF(V666&lt;=70000,(V666-55000)*15%+1500,
IF(V666&lt;=200000,(V666-70000)*20%+1500+2250,
IF(V666&lt;=400000,(V666-200000)*22.5%+1500+2250+26000,
IF(V666&lt;=600000,(V666-400000)*25%+1500+2250+26000+45000,
IF(AND(V666&gt;600000,V666&lt;=1200000),(V666-400000)*25%+1500+2250+26000+45000
+IFERROR(LOOKUP(V666,{600001;700001;800001;900001},{4000;6750;10250;15250}),0),IF(V666&gt;1200000,((V666-1200000)*27.5%)+300000,0)
)))))))</f>
        <v>0</v>
      </c>
      <c r="X666" s="12">
        <f t="shared" si="157"/>
        <v>0</v>
      </c>
      <c r="Y666" s="12">
        <f t="shared" si="158"/>
        <v>0</v>
      </c>
      <c r="Z666" s="11"/>
      <c r="AA666" s="13">
        <f t="shared" si="159"/>
        <v>0</v>
      </c>
      <c r="AB666" s="12">
        <f t="shared" si="160"/>
        <v>0</v>
      </c>
      <c r="AC666" s="14">
        <f t="shared" si="163"/>
        <v>0</v>
      </c>
      <c r="AE666" s="19">
        <f t="shared" si="161"/>
        <v>0</v>
      </c>
      <c r="AF666" s="19"/>
      <c r="AG666" s="17"/>
      <c r="AK666" s="7"/>
      <c r="AL666" s="108">
        <f t="shared" si="164"/>
        <v>0</v>
      </c>
      <c r="AM666" s="108">
        <f t="shared" si="165"/>
        <v>0</v>
      </c>
      <c r="AN666" s="113"/>
    </row>
    <row r="667" spans="2:40" x14ac:dyDescent="0.2">
      <c r="B667" s="7"/>
      <c r="C667" s="8"/>
      <c r="D667" s="8"/>
      <c r="E667" s="9"/>
      <c r="F667" s="6"/>
      <c r="G667" s="8"/>
      <c r="H667" s="32"/>
      <c r="I667" s="10" t="str">
        <f t="shared" si="162"/>
        <v>21</v>
      </c>
      <c r="J667" s="11">
        <v>1</v>
      </c>
      <c r="K667" s="11"/>
      <c r="L667" s="11"/>
      <c r="M667" s="11">
        <f t="shared" si="151"/>
        <v>0</v>
      </c>
      <c r="N667" s="11"/>
      <c r="O667" s="11">
        <f t="shared" si="152"/>
        <v>0</v>
      </c>
      <c r="P667" s="11"/>
      <c r="Q667" s="11"/>
      <c r="R667" s="11"/>
      <c r="S667" s="11">
        <f t="shared" si="153"/>
        <v>0</v>
      </c>
      <c r="T667" s="11">
        <f t="shared" si="154"/>
        <v>1666.6666666666667</v>
      </c>
      <c r="U667" s="11">
        <f t="shared" si="155"/>
        <v>0</v>
      </c>
      <c r="V667" s="24">
        <f t="shared" si="156"/>
        <v>0</v>
      </c>
      <c r="W667" s="11">
        <f>IF(V667&lt;=40000,0,
IF(V667&lt;=55000,(V667-40000)*10%,
IF(V667&lt;=70000,(V667-55000)*15%+1500,
IF(V667&lt;=200000,(V667-70000)*20%+1500+2250,
IF(V667&lt;=400000,(V667-200000)*22.5%+1500+2250+26000,
IF(V667&lt;=600000,(V667-400000)*25%+1500+2250+26000+45000,
IF(AND(V667&gt;600000,V667&lt;=1200000),(V667-400000)*25%+1500+2250+26000+45000
+IFERROR(LOOKUP(V667,{600001;700001;800001;900001},{4000;6750;10250;15250}),0),IF(V667&gt;1200000,((V667-1200000)*27.5%)+300000,0)
)))))))</f>
        <v>0</v>
      </c>
      <c r="X667" s="12">
        <f t="shared" si="157"/>
        <v>0</v>
      </c>
      <c r="Y667" s="12">
        <f t="shared" si="158"/>
        <v>0</v>
      </c>
      <c r="Z667" s="11"/>
      <c r="AA667" s="13">
        <f t="shared" si="159"/>
        <v>0</v>
      </c>
      <c r="AB667" s="12">
        <f t="shared" si="160"/>
        <v>0</v>
      </c>
      <c r="AC667" s="14">
        <f t="shared" si="163"/>
        <v>0</v>
      </c>
      <c r="AE667" s="19">
        <f t="shared" si="161"/>
        <v>0</v>
      </c>
      <c r="AF667" s="19"/>
      <c r="AG667" s="17"/>
      <c r="AK667" s="7"/>
      <c r="AL667" s="108">
        <f t="shared" si="164"/>
        <v>0</v>
      </c>
      <c r="AM667" s="108">
        <f t="shared" si="165"/>
        <v>0</v>
      </c>
      <c r="AN667" s="113"/>
    </row>
    <row r="668" spans="2:40" x14ac:dyDescent="0.2">
      <c r="B668" s="7"/>
      <c r="C668" s="8"/>
      <c r="D668" s="8"/>
      <c r="E668" s="9"/>
      <c r="F668" s="6"/>
      <c r="G668" s="8"/>
      <c r="H668" s="32"/>
      <c r="I668" s="10" t="str">
        <f t="shared" si="162"/>
        <v>21</v>
      </c>
      <c r="J668" s="11">
        <v>1</v>
      </c>
      <c r="K668" s="11"/>
      <c r="L668" s="11"/>
      <c r="M668" s="11">
        <f t="shared" si="151"/>
        <v>0</v>
      </c>
      <c r="N668" s="11"/>
      <c r="O668" s="11">
        <f t="shared" si="152"/>
        <v>0</v>
      </c>
      <c r="P668" s="11"/>
      <c r="Q668" s="11"/>
      <c r="R668" s="11"/>
      <c r="S668" s="11">
        <f t="shared" si="153"/>
        <v>0</v>
      </c>
      <c r="T668" s="11">
        <f t="shared" si="154"/>
        <v>1666.6666666666667</v>
      </c>
      <c r="U668" s="11">
        <f t="shared" si="155"/>
        <v>0</v>
      </c>
      <c r="V668" s="24">
        <f t="shared" si="156"/>
        <v>0</v>
      </c>
      <c r="W668" s="11">
        <f>IF(V668&lt;=40000,0,
IF(V668&lt;=55000,(V668-40000)*10%,
IF(V668&lt;=70000,(V668-55000)*15%+1500,
IF(V668&lt;=200000,(V668-70000)*20%+1500+2250,
IF(V668&lt;=400000,(V668-200000)*22.5%+1500+2250+26000,
IF(V668&lt;=600000,(V668-400000)*25%+1500+2250+26000+45000,
IF(AND(V668&gt;600000,V668&lt;=1200000),(V668-400000)*25%+1500+2250+26000+45000
+IFERROR(LOOKUP(V668,{600001;700001;800001;900001},{4000;6750;10250;15250}),0),IF(V668&gt;1200000,((V668-1200000)*27.5%)+300000,0)
)))))))</f>
        <v>0</v>
      </c>
      <c r="X668" s="12">
        <f t="shared" si="157"/>
        <v>0</v>
      </c>
      <c r="Y668" s="12">
        <f t="shared" si="158"/>
        <v>0</v>
      </c>
      <c r="Z668" s="11"/>
      <c r="AA668" s="13">
        <f t="shared" si="159"/>
        <v>0</v>
      </c>
      <c r="AB668" s="12">
        <f t="shared" si="160"/>
        <v>0</v>
      </c>
      <c r="AC668" s="14">
        <f t="shared" si="163"/>
        <v>0</v>
      </c>
      <c r="AE668" s="19">
        <f t="shared" si="161"/>
        <v>0</v>
      </c>
      <c r="AF668" s="19"/>
      <c r="AG668" s="17"/>
      <c r="AK668" s="7"/>
      <c r="AL668" s="108">
        <f t="shared" si="164"/>
        <v>0</v>
      </c>
      <c r="AM668" s="108">
        <f t="shared" si="165"/>
        <v>0</v>
      </c>
      <c r="AN668" s="113"/>
    </row>
    <row r="669" spans="2:40" x14ac:dyDescent="0.2">
      <c r="B669" s="7"/>
      <c r="C669" s="8"/>
      <c r="D669" s="8"/>
      <c r="E669" s="9"/>
      <c r="F669" s="6"/>
      <c r="G669" s="8"/>
      <c r="H669" s="32"/>
      <c r="I669" s="10" t="str">
        <f t="shared" si="162"/>
        <v>21</v>
      </c>
      <c r="J669" s="11">
        <v>1</v>
      </c>
      <c r="K669" s="11"/>
      <c r="L669" s="11"/>
      <c r="M669" s="11">
        <f t="shared" ref="M669:M732" si="166">SUM(K669:L669)</f>
        <v>0</v>
      </c>
      <c r="N669" s="11"/>
      <c r="O669" s="11">
        <f t="shared" ref="O669:O732" si="167">+N669+M669</f>
        <v>0</v>
      </c>
      <c r="P669" s="11"/>
      <c r="Q669" s="11"/>
      <c r="R669" s="11"/>
      <c r="S669" s="11">
        <f t="shared" ref="S669:S732" si="168">O669-P669-Q669-R669</f>
        <v>0</v>
      </c>
      <c r="T669" s="11">
        <f t="shared" ref="T669:T732" si="169">IF(J669&gt;0,(20000/12*J669),0)</f>
        <v>1666.6666666666667</v>
      </c>
      <c r="U669" s="11">
        <f t="shared" ref="U669:U732" si="170">IF(AND(J669&gt;0,S669-T669&gt;0),S669-T669,0)</f>
        <v>0</v>
      </c>
      <c r="V669" s="24">
        <f t="shared" ref="V669:V732" si="171">IF(J669=0,0,(U669/J669*12))</f>
        <v>0</v>
      </c>
      <c r="W669" s="11">
        <f>IF(V669&lt;=40000,0,
IF(V669&lt;=55000,(V669-40000)*10%,
IF(V669&lt;=70000,(V669-55000)*15%+1500,
IF(V669&lt;=200000,(V669-70000)*20%+1500+2250,
IF(V669&lt;=400000,(V669-200000)*22.5%+1500+2250+26000,
IF(V669&lt;=600000,(V669-400000)*25%+1500+2250+26000+45000,
IF(AND(V669&gt;600000,V669&lt;=1200000),(V669-400000)*25%+1500+2250+26000+45000
+IFERROR(LOOKUP(V669,{600001;700001;800001;900001},{4000;6750;10250;15250}),0),IF(V669&gt;1200000,((V669-1200000)*27.5%)+300000,0)
)))))))</f>
        <v>0</v>
      </c>
      <c r="X669" s="12">
        <f t="shared" ref="X669:X732" si="172">N669*0.1</f>
        <v>0</v>
      </c>
      <c r="Y669" s="12">
        <f t="shared" ref="Y669:Y732" si="173">(W669/12*J669)-X669</f>
        <v>0</v>
      </c>
      <c r="Z669" s="11"/>
      <c r="AA669" s="13">
        <f t="shared" ref="AA669:AA732" si="174">+O669-P669-Y669-Z669</f>
        <v>0</v>
      </c>
      <c r="AB669" s="12">
        <f t="shared" ref="AB669:AB732" si="175">(P669/0.11)*18.75%</f>
        <v>0</v>
      </c>
      <c r="AC669" s="14">
        <f t="shared" si="163"/>
        <v>0</v>
      </c>
      <c r="AE669" s="19">
        <f t="shared" ref="AE669:AE732" si="176">+AD669-AC669</f>
        <v>0</v>
      </c>
      <c r="AF669" s="19"/>
      <c r="AG669" s="17"/>
      <c r="AK669" s="7"/>
      <c r="AL669" s="108">
        <f t="shared" si="164"/>
        <v>0</v>
      </c>
      <c r="AM669" s="108">
        <f t="shared" si="165"/>
        <v>0</v>
      </c>
      <c r="AN669" s="113"/>
    </row>
    <row r="670" spans="2:40" x14ac:dyDescent="0.2">
      <c r="B670" s="7"/>
      <c r="C670" s="8"/>
      <c r="D670" s="8"/>
      <c r="E670" s="9"/>
      <c r="F670" s="6"/>
      <c r="G670" s="8"/>
      <c r="H670" s="32"/>
      <c r="I670" s="10" t="str">
        <f t="shared" si="162"/>
        <v>21</v>
      </c>
      <c r="J670" s="11">
        <v>1</v>
      </c>
      <c r="K670" s="11"/>
      <c r="L670" s="11"/>
      <c r="M670" s="11">
        <f t="shared" si="166"/>
        <v>0</v>
      </c>
      <c r="N670" s="11"/>
      <c r="O670" s="11">
        <f t="shared" si="167"/>
        <v>0</v>
      </c>
      <c r="P670" s="11"/>
      <c r="Q670" s="11"/>
      <c r="R670" s="11"/>
      <c r="S670" s="11">
        <f t="shared" si="168"/>
        <v>0</v>
      </c>
      <c r="T670" s="11">
        <f t="shared" si="169"/>
        <v>1666.6666666666667</v>
      </c>
      <c r="U670" s="11">
        <f t="shared" si="170"/>
        <v>0</v>
      </c>
      <c r="V670" s="24">
        <f t="shared" si="171"/>
        <v>0</v>
      </c>
      <c r="W670" s="11">
        <f>IF(V670&lt;=40000,0,
IF(V670&lt;=55000,(V670-40000)*10%,
IF(V670&lt;=70000,(V670-55000)*15%+1500,
IF(V670&lt;=200000,(V670-70000)*20%+1500+2250,
IF(V670&lt;=400000,(V670-200000)*22.5%+1500+2250+26000,
IF(V670&lt;=600000,(V670-400000)*25%+1500+2250+26000+45000,
IF(AND(V670&gt;600000,V670&lt;=1200000),(V670-400000)*25%+1500+2250+26000+45000
+IFERROR(LOOKUP(V670,{600001;700001;800001;900001},{4000;6750;10250;15250}),0),IF(V670&gt;1200000,((V670-1200000)*27.5%)+300000,0)
)))))))</f>
        <v>0</v>
      </c>
      <c r="X670" s="12">
        <f t="shared" si="172"/>
        <v>0</v>
      </c>
      <c r="Y670" s="12">
        <f t="shared" si="173"/>
        <v>0</v>
      </c>
      <c r="Z670" s="11"/>
      <c r="AA670" s="13">
        <f t="shared" si="174"/>
        <v>0</v>
      </c>
      <c r="AB670" s="12">
        <f t="shared" si="175"/>
        <v>0</v>
      </c>
      <c r="AC670" s="14">
        <f t="shared" si="163"/>
        <v>0</v>
      </c>
      <c r="AE670" s="19">
        <f t="shared" si="176"/>
        <v>0</v>
      </c>
      <c r="AF670" s="19"/>
      <c r="AG670" s="17"/>
      <c r="AK670" s="7"/>
      <c r="AL670" s="108">
        <f t="shared" si="164"/>
        <v>0</v>
      </c>
      <c r="AM670" s="108">
        <f t="shared" si="165"/>
        <v>0</v>
      </c>
      <c r="AN670" s="113"/>
    </row>
    <row r="671" spans="2:40" x14ac:dyDescent="0.2">
      <c r="B671" s="7"/>
      <c r="C671" s="8"/>
      <c r="D671" s="8"/>
      <c r="E671" s="9"/>
      <c r="F671" s="6"/>
      <c r="G671" s="8"/>
      <c r="H671" s="32"/>
      <c r="I671" s="10" t="str">
        <f t="shared" si="162"/>
        <v>21</v>
      </c>
      <c r="J671" s="11">
        <v>1</v>
      </c>
      <c r="K671" s="11"/>
      <c r="L671" s="11"/>
      <c r="M671" s="11">
        <f t="shared" si="166"/>
        <v>0</v>
      </c>
      <c r="N671" s="11"/>
      <c r="O671" s="11">
        <f t="shared" si="167"/>
        <v>0</v>
      </c>
      <c r="P671" s="11"/>
      <c r="Q671" s="11"/>
      <c r="R671" s="11"/>
      <c r="S671" s="11">
        <f t="shared" si="168"/>
        <v>0</v>
      </c>
      <c r="T671" s="11">
        <f t="shared" si="169"/>
        <v>1666.6666666666667</v>
      </c>
      <c r="U671" s="11">
        <f t="shared" si="170"/>
        <v>0</v>
      </c>
      <c r="V671" s="24">
        <f t="shared" si="171"/>
        <v>0</v>
      </c>
      <c r="W671" s="11">
        <f>IF(V671&lt;=40000,0,
IF(V671&lt;=55000,(V671-40000)*10%,
IF(V671&lt;=70000,(V671-55000)*15%+1500,
IF(V671&lt;=200000,(V671-70000)*20%+1500+2250,
IF(V671&lt;=400000,(V671-200000)*22.5%+1500+2250+26000,
IF(V671&lt;=600000,(V671-400000)*25%+1500+2250+26000+45000,
IF(AND(V671&gt;600000,V671&lt;=1200000),(V671-400000)*25%+1500+2250+26000+45000
+IFERROR(LOOKUP(V671,{600001;700001;800001;900001},{4000;6750;10250;15250}),0),IF(V671&gt;1200000,((V671-1200000)*27.5%)+300000,0)
)))))))</f>
        <v>0</v>
      </c>
      <c r="X671" s="12">
        <f t="shared" si="172"/>
        <v>0</v>
      </c>
      <c r="Y671" s="12">
        <f t="shared" si="173"/>
        <v>0</v>
      </c>
      <c r="Z671" s="11"/>
      <c r="AA671" s="13">
        <f t="shared" si="174"/>
        <v>0</v>
      </c>
      <c r="AB671" s="12">
        <f t="shared" si="175"/>
        <v>0</v>
      </c>
      <c r="AC671" s="14">
        <f t="shared" si="163"/>
        <v>0</v>
      </c>
      <c r="AE671" s="19">
        <f t="shared" si="176"/>
        <v>0</v>
      </c>
      <c r="AF671" s="19"/>
      <c r="AG671" s="17"/>
      <c r="AK671" s="7"/>
      <c r="AL671" s="108">
        <f t="shared" si="164"/>
        <v>0</v>
      </c>
      <c r="AM671" s="108">
        <f t="shared" si="165"/>
        <v>0</v>
      </c>
      <c r="AN671" s="113"/>
    </row>
    <row r="672" spans="2:40" x14ac:dyDescent="0.2">
      <c r="B672" s="7"/>
      <c r="C672" s="8"/>
      <c r="D672" s="8"/>
      <c r="E672" s="9"/>
      <c r="F672" s="6"/>
      <c r="G672" s="8"/>
      <c r="H672" s="32"/>
      <c r="I672" s="10" t="str">
        <f t="shared" si="162"/>
        <v>21</v>
      </c>
      <c r="J672" s="11">
        <v>1</v>
      </c>
      <c r="K672" s="11"/>
      <c r="L672" s="11"/>
      <c r="M672" s="11">
        <f t="shared" si="166"/>
        <v>0</v>
      </c>
      <c r="N672" s="11"/>
      <c r="O672" s="11">
        <f t="shared" si="167"/>
        <v>0</v>
      </c>
      <c r="P672" s="11"/>
      <c r="Q672" s="11"/>
      <c r="R672" s="11"/>
      <c r="S672" s="11">
        <f t="shared" si="168"/>
        <v>0</v>
      </c>
      <c r="T672" s="11">
        <f t="shared" si="169"/>
        <v>1666.6666666666667</v>
      </c>
      <c r="U672" s="11">
        <f t="shared" si="170"/>
        <v>0</v>
      </c>
      <c r="V672" s="24">
        <f t="shared" si="171"/>
        <v>0</v>
      </c>
      <c r="W672" s="11">
        <f>IF(V672&lt;=40000,0,
IF(V672&lt;=55000,(V672-40000)*10%,
IF(V672&lt;=70000,(V672-55000)*15%+1500,
IF(V672&lt;=200000,(V672-70000)*20%+1500+2250,
IF(V672&lt;=400000,(V672-200000)*22.5%+1500+2250+26000,
IF(V672&lt;=600000,(V672-400000)*25%+1500+2250+26000+45000,
IF(AND(V672&gt;600000,V672&lt;=1200000),(V672-400000)*25%+1500+2250+26000+45000
+IFERROR(LOOKUP(V672,{600001;700001;800001;900001},{4000;6750;10250;15250}),0),IF(V672&gt;1200000,((V672-1200000)*27.5%)+300000,0)
)))))))</f>
        <v>0</v>
      </c>
      <c r="X672" s="12">
        <f t="shared" si="172"/>
        <v>0</v>
      </c>
      <c r="Y672" s="12">
        <f t="shared" si="173"/>
        <v>0</v>
      </c>
      <c r="Z672" s="11"/>
      <c r="AA672" s="13">
        <f t="shared" si="174"/>
        <v>0</v>
      </c>
      <c r="AB672" s="12">
        <f t="shared" si="175"/>
        <v>0</v>
      </c>
      <c r="AC672" s="14">
        <f t="shared" si="163"/>
        <v>0</v>
      </c>
      <c r="AE672" s="19">
        <f t="shared" si="176"/>
        <v>0</v>
      </c>
      <c r="AF672" s="19"/>
      <c r="AG672" s="17"/>
      <c r="AK672" s="7"/>
      <c r="AL672" s="108">
        <f t="shared" si="164"/>
        <v>0</v>
      </c>
      <c r="AM672" s="108">
        <f t="shared" si="165"/>
        <v>0</v>
      </c>
      <c r="AN672" s="113"/>
    </row>
    <row r="673" spans="2:40" x14ac:dyDescent="0.2">
      <c r="B673" s="7"/>
      <c r="C673" s="8"/>
      <c r="D673" s="8"/>
      <c r="E673" s="9"/>
      <c r="F673" s="6"/>
      <c r="G673" s="8"/>
      <c r="H673" s="32"/>
      <c r="I673" s="10" t="str">
        <f t="shared" si="162"/>
        <v>21</v>
      </c>
      <c r="J673" s="11">
        <v>1</v>
      </c>
      <c r="K673" s="11"/>
      <c r="L673" s="11"/>
      <c r="M673" s="11">
        <f t="shared" si="166"/>
        <v>0</v>
      </c>
      <c r="N673" s="11"/>
      <c r="O673" s="11">
        <f t="shared" si="167"/>
        <v>0</v>
      </c>
      <c r="P673" s="11"/>
      <c r="Q673" s="11"/>
      <c r="R673" s="11"/>
      <c r="S673" s="11">
        <f t="shared" si="168"/>
        <v>0</v>
      </c>
      <c r="T673" s="11">
        <f t="shared" si="169"/>
        <v>1666.6666666666667</v>
      </c>
      <c r="U673" s="11">
        <f t="shared" si="170"/>
        <v>0</v>
      </c>
      <c r="V673" s="24">
        <f t="shared" si="171"/>
        <v>0</v>
      </c>
      <c r="W673" s="11">
        <f>IF(V673&lt;=40000,0,
IF(V673&lt;=55000,(V673-40000)*10%,
IF(V673&lt;=70000,(V673-55000)*15%+1500,
IF(V673&lt;=200000,(V673-70000)*20%+1500+2250,
IF(V673&lt;=400000,(V673-200000)*22.5%+1500+2250+26000,
IF(V673&lt;=600000,(V673-400000)*25%+1500+2250+26000+45000,
IF(AND(V673&gt;600000,V673&lt;=1200000),(V673-400000)*25%+1500+2250+26000+45000
+IFERROR(LOOKUP(V673,{600001;700001;800001;900001},{4000;6750;10250;15250}),0),IF(V673&gt;1200000,((V673-1200000)*27.5%)+300000,0)
)))))))</f>
        <v>0</v>
      </c>
      <c r="X673" s="12">
        <f t="shared" si="172"/>
        <v>0</v>
      </c>
      <c r="Y673" s="12">
        <f t="shared" si="173"/>
        <v>0</v>
      </c>
      <c r="Z673" s="11"/>
      <c r="AA673" s="13">
        <f t="shared" si="174"/>
        <v>0</v>
      </c>
      <c r="AB673" s="12">
        <f t="shared" si="175"/>
        <v>0</v>
      </c>
      <c r="AC673" s="14">
        <f t="shared" si="163"/>
        <v>0</v>
      </c>
      <c r="AE673" s="19">
        <f t="shared" si="176"/>
        <v>0</v>
      </c>
      <c r="AF673" s="19"/>
      <c r="AG673" s="17"/>
      <c r="AK673" s="7"/>
      <c r="AL673" s="108">
        <f t="shared" si="164"/>
        <v>0</v>
      </c>
      <c r="AM673" s="108">
        <f t="shared" si="165"/>
        <v>0</v>
      </c>
      <c r="AN673" s="113"/>
    </row>
    <row r="674" spans="2:40" x14ac:dyDescent="0.2">
      <c r="B674" s="7"/>
      <c r="C674" s="8"/>
      <c r="D674" s="8"/>
      <c r="E674" s="9"/>
      <c r="F674" s="6"/>
      <c r="G674" s="8"/>
      <c r="H674" s="32"/>
      <c r="I674" s="10" t="str">
        <f t="shared" si="162"/>
        <v>21</v>
      </c>
      <c r="J674" s="11">
        <v>1</v>
      </c>
      <c r="K674" s="11"/>
      <c r="L674" s="11"/>
      <c r="M674" s="11">
        <f t="shared" si="166"/>
        <v>0</v>
      </c>
      <c r="N674" s="11"/>
      <c r="O674" s="11">
        <f t="shared" si="167"/>
        <v>0</v>
      </c>
      <c r="P674" s="11"/>
      <c r="Q674" s="11"/>
      <c r="R674" s="11"/>
      <c r="S674" s="11">
        <f t="shared" si="168"/>
        <v>0</v>
      </c>
      <c r="T674" s="11">
        <f t="shared" si="169"/>
        <v>1666.6666666666667</v>
      </c>
      <c r="U674" s="11">
        <f t="shared" si="170"/>
        <v>0</v>
      </c>
      <c r="V674" s="24">
        <f t="shared" si="171"/>
        <v>0</v>
      </c>
      <c r="W674" s="11">
        <f>IF(V674&lt;=40000,0,
IF(V674&lt;=55000,(V674-40000)*10%,
IF(V674&lt;=70000,(V674-55000)*15%+1500,
IF(V674&lt;=200000,(V674-70000)*20%+1500+2250,
IF(V674&lt;=400000,(V674-200000)*22.5%+1500+2250+26000,
IF(V674&lt;=600000,(V674-400000)*25%+1500+2250+26000+45000,
IF(AND(V674&gt;600000,V674&lt;=1200000),(V674-400000)*25%+1500+2250+26000+45000
+IFERROR(LOOKUP(V674,{600001;700001;800001;900001},{4000;6750;10250;15250}),0),IF(V674&gt;1200000,((V674-1200000)*27.5%)+300000,0)
)))))))</f>
        <v>0</v>
      </c>
      <c r="X674" s="12">
        <f t="shared" si="172"/>
        <v>0</v>
      </c>
      <c r="Y674" s="12">
        <f t="shared" si="173"/>
        <v>0</v>
      </c>
      <c r="Z674" s="11"/>
      <c r="AA674" s="13">
        <f t="shared" si="174"/>
        <v>0</v>
      </c>
      <c r="AB674" s="12">
        <f t="shared" si="175"/>
        <v>0</v>
      </c>
      <c r="AC674" s="14">
        <f t="shared" si="163"/>
        <v>0</v>
      </c>
      <c r="AE674" s="19">
        <f t="shared" si="176"/>
        <v>0</v>
      </c>
      <c r="AF674" s="19"/>
      <c r="AG674" s="17"/>
      <c r="AK674" s="7"/>
      <c r="AL674" s="108">
        <f t="shared" si="164"/>
        <v>0</v>
      </c>
      <c r="AM674" s="108">
        <f t="shared" si="165"/>
        <v>0</v>
      </c>
      <c r="AN674" s="113"/>
    </row>
    <row r="675" spans="2:40" x14ac:dyDescent="0.2">
      <c r="B675" s="7"/>
      <c r="C675" s="8"/>
      <c r="D675" s="8"/>
      <c r="E675" s="9"/>
      <c r="F675" s="6"/>
      <c r="G675" s="8"/>
      <c r="H675" s="32"/>
      <c r="I675" s="10" t="str">
        <f t="shared" si="162"/>
        <v>21</v>
      </c>
      <c r="J675" s="11">
        <v>1</v>
      </c>
      <c r="K675" s="11"/>
      <c r="L675" s="11"/>
      <c r="M675" s="11">
        <f t="shared" si="166"/>
        <v>0</v>
      </c>
      <c r="N675" s="11"/>
      <c r="O675" s="11">
        <f t="shared" si="167"/>
        <v>0</v>
      </c>
      <c r="P675" s="11"/>
      <c r="Q675" s="11"/>
      <c r="R675" s="11"/>
      <c r="S675" s="11">
        <f t="shared" si="168"/>
        <v>0</v>
      </c>
      <c r="T675" s="11">
        <f t="shared" si="169"/>
        <v>1666.6666666666667</v>
      </c>
      <c r="U675" s="11">
        <f t="shared" si="170"/>
        <v>0</v>
      </c>
      <c r="V675" s="24">
        <f t="shared" si="171"/>
        <v>0</v>
      </c>
      <c r="W675" s="11">
        <f>IF(V675&lt;=40000,0,
IF(V675&lt;=55000,(V675-40000)*10%,
IF(V675&lt;=70000,(V675-55000)*15%+1500,
IF(V675&lt;=200000,(V675-70000)*20%+1500+2250,
IF(V675&lt;=400000,(V675-200000)*22.5%+1500+2250+26000,
IF(V675&lt;=600000,(V675-400000)*25%+1500+2250+26000+45000,
IF(AND(V675&gt;600000,V675&lt;=1200000),(V675-400000)*25%+1500+2250+26000+45000
+IFERROR(LOOKUP(V675,{600001;700001;800001;900001},{4000;6750;10250;15250}),0),IF(V675&gt;1200000,((V675-1200000)*27.5%)+300000,0)
)))))))</f>
        <v>0</v>
      </c>
      <c r="X675" s="12">
        <f t="shared" si="172"/>
        <v>0</v>
      </c>
      <c r="Y675" s="12">
        <f t="shared" si="173"/>
        <v>0</v>
      </c>
      <c r="Z675" s="11"/>
      <c r="AA675" s="13">
        <f t="shared" si="174"/>
        <v>0</v>
      </c>
      <c r="AB675" s="12">
        <f t="shared" si="175"/>
        <v>0</v>
      </c>
      <c r="AC675" s="14">
        <f t="shared" si="163"/>
        <v>0</v>
      </c>
      <c r="AE675" s="19">
        <f t="shared" si="176"/>
        <v>0</v>
      </c>
      <c r="AF675" s="19"/>
      <c r="AG675" s="17"/>
      <c r="AK675" s="7"/>
      <c r="AL675" s="108">
        <f t="shared" si="164"/>
        <v>0</v>
      </c>
      <c r="AM675" s="108">
        <f t="shared" si="165"/>
        <v>0</v>
      </c>
      <c r="AN675" s="113"/>
    </row>
    <row r="676" spans="2:40" x14ac:dyDescent="0.2">
      <c r="B676" s="7"/>
      <c r="C676" s="8"/>
      <c r="D676" s="8"/>
      <c r="E676" s="9"/>
      <c r="F676" s="6"/>
      <c r="G676" s="8"/>
      <c r="H676" s="32"/>
      <c r="I676" s="10" t="str">
        <f t="shared" si="162"/>
        <v>21</v>
      </c>
      <c r="J676" s="11">
        <v>1</v>
      </c>
      <c r="K676" s="11"/>
      <c r="L676" s="11"/>
      <c r="M676" s="11">
        <f t="shared" si="166"/>
        <v>0</v>
      </c>
      <c r="N676" s="11"/>
      <c r="O676" s="11">
        <f t="shared" si="167"/>
        <v>0</v>
      </c>
      <c r="P676" s="11"/>
      <c r="Q676" s="11"/>
      <c r="R676" s="11"/>
      <c r="S676" s="11">
        <f t="shared" si="168"/>
        <v>0</v>
      </c>
      <c r="T676" s="11">
        <f t="shared" si="169"/>
        <v>1666.6666666666667</v>
      </c>
      <c r="U676" s="11">
        <f t="shared" si="170"/>
        <v>0</v>
      </c>
      <c r="V676" s="24">
        <f t="shared" si="171"/>
        <v>0</v>
      </c>
      <c r="W676" s="11">
        <f>IF(V676&lt;=40000,0,
IF(V676&lt;=55000,(V676-40000)*10%,
IF(V676&lt;=70000,(V676-55000)*15%+1500,
IF(V676&lt;=200000,(V676-70000)*20%+1500+2250,
IF(V676&lt;=400000,(V676-200000)*22.5%+1500+2250+26000,
IF(V676&lt;=600000,(V676-400000)*25%+1500+2250+26000+45000,
IF(AND(V676&gt;600000,V676&lt;=1200000),(V676-400000)*25%+1500+2250+26000+45000
+IFERROR(LOOKUP(V676,{600001;700001;800001;900001},{4000;6750;10250;15250}),0),IF(V676&gt;1200000,((V676-1200000)*27.5%)+300000,0)
)))))))</f>
        <v>0</v>
      </c>
      <c r="X676" s="12">
        <f t="shared" si="172"/>
        <v>0</v>
      </c>
      <c r="Y676" s="12">
        <f t="shared" si="173"/>
        <v>0</v>
      </c>
      <c r="Z676" s="11"/>
      <c r="AA676" s="13">
        <f t="shared" si="174"/>
        <v>0</v>
      </c>
      <c r="AB676" s="12">
        <f t="shared" si="175"/>
        <v>0</v>
      </c>
      <c r="AC676" s="14">
        <f t="shared" si="163"/>
        <v>0</v>
      </c>
      <c r="AE676" s="19">
        <f t="shared" si="176"/>
        <v>0</v>
      </c>
      <c r="AF676" s="19"/>
      <c r="AG676" s="17"/>
      <c r="AK676" s="7"/>
      <c r="AL676" s="108">
        <f t="shared" si="164"/>
        <v>0</v>
      </c>
      <c r="AM676" s="108">
        <f t="shared" si="165"/>
        <v>0</v>
      </c>
      <c r="AN676" s="113"/>
    </row>
    <row r="677" spans="2:40" x14ac:dyDescent="0.2">
      <c r="B677" s="7"/>
      <c r="C677" s="8"/>
      <c r="D677" s="8"/>
      <c r="E677" s="9"/>
      <c r="F677" s="6"/>
      <c r="G677" s="8"/>
      <c r="H677" s="32"/>
      <c r="I677" s="10" t="str">
        <f t="shared" si="162"/>
        <v>21</v>
      </c>
      <c r="J677" s="11">
        <v>1</v>
      </c>
      <c r="K677" s="11"/>
      <c r="L677" s="11"/>
      <c r="M677" s="11">
        <f t="shared" si="166"/>
        <v>0</v>
      </c>
      <c r="N677" s="11"/>
      <c r="O677" s="11">
        <f t="shared" si="167"/>
        <v>0</v>
      </c>
      <c r="P677" s="11"/>
      <c r="Q677" s="11"/>
      <c r="R677" s="11"/>
      <c r="S677" s="11">
        <f t="shared" si="168"/>
        <v>0</v>
      </c>
      <c r="T677" s="11">
        <f t="shared" si="169"/>
        <v>1666.6666666666667</v>
      </c>
      <c r="U677" s="11">
        <f t="shared" si="170"/>
        <v>0</v>
      </c>
      <c r="V677" s="24">
        <f t="shared" si="171"/>
        <v>0</v>
      </c>
      <c r="W677" s="11">
        <f>IF(V677&lt;=40000,0,
IF(V677&lt;=55000,(V677-40000)*10%,
IF(V677&lt;=70000,(V677-55000)*15%+1500,
IF(V677&lt;=200000,(V677-70000)*20%+1500+2250,
IF(V677&lt;=400000,(V677-200000)*22.5%+1500+2250+26000,
IF(V677&lt;=600000,(V677-400000)*25%+1500+2250+26000+45000,
IF(AND(V677&gt;600000,V677&lt;=1200000),(V677-400000)*25%+1500+2250+26000+45000
+IFERROR(LOOKUP(V677,{600001;700001;800001;900001},{4000;6750;10250;15250}),0),IF(V677&gt;1200000,((V677-1200000)*27.5%)+300000,0)
)))))))</f>
        <v>0</v>
      </c>
      <c r="X677" s="12">
        <f t="shared" si="172"/>
        <v>0</v>
      </c>
      <c r="Y677" s="12">
        <f t="shared" si="173"/>
        <v>0</v>
      </c>
      <c r="Z677" s="11"/>
      <c r="AA677" s="13">
        <f t="shared" si="174"/>
        <v>0</v>
      </c>
      <c r="AB677" s="12">
        <f t="shared" si="175"/>
        <v>0</v>
      </c>
      <c r="AC677" s="14">
        <f t="shared" si="163"/>
        <v>0</v>
      </c>
      <c r="AE677" s="19">
        <f t="shared" si="176"/>
        <v>0</v>
      </c>
      <c r="AF677" s="19"/>
      <c r="AG677" s="17"/>
      <c r="AK677" s="7"/>
      <c r="AL677" s="108">
        <f t="shared" si="164"/>
        <v>0</v>
      </c>
      <c r="AM677" s="108">
        <f t="shared" si="165"/>
        <v>0</v>
      </c>
      <c r="AN677" s="113"/>
    </row>
    <row r="678" spans="2:40" x14ac:dyDescent="0.2">
      <c r="B678" s="7"/>
      <c r="C678" s="8"/>
      <c r="D678" s="8"/>
      <c r="E678" s="9"/>
      <c r="F678" s="6"/>
      <c r="G678" s="8"/>
      <c r="H678" s="32"/>
      <c r="I678" s="10" t="str">
        <f t="shared" si="162"/>
        <v>21</v>
      </c>
      <c r="J678" s="11">
        <v>1</v>
      </c>
      <c r="K678" s="11"/>
      <c r="L678" s="11"/>
      <c r="M678" s="11">
        <f t="shared" si="166"/>
        <v>0</v>
      </c>
      <c r="N678" s="11"/>
      <c r="O678" s="11">
        <f t="shared" si="167"/>
        <v>0</v>
      </c>
      <c r="P678" s="11"/>
      <c r="Q678" s="11"/>
      <c r="R678" s="11"/>
      <c r="S678" s="11">
        <f t="shared" si="168"/>
        <v>0</v>
      </c>
      <c r="T678" s="11">
        <f t="shared" si="169"/>
        <v>1666.6666666666667</v>
      </c>
      <c r="U678" s="11">
        <f t="shared" si="170"/>
        <v>0</v>
      </c>
      <c r="V678" s="24">
        <f t="shared" si="171"/>
        <v>0</v>
      </c>
      <c r="W678" s="11">
        <f>IF(V678&lt;=40000,0,
IF(V678&lt;=55000,(V678-40000)*10%,
IF(V678&lt;=70000,(V678-55000)*15%+1500,
IF(V678&lt;=200000,(V678-70000)*20%+1500+2250,
IF(V678&lt;=400000,(V678-200000)*22.5%+1500+2250+26000,
IF(V678&lt;=600000,(V678-400000)*25%+1500+2250+26000+45000,
IF(AND(V678&gt;600000,V678&lt;=1200000),(V678-400000)*25%+1500+2250+26000+45000
+IFERROR(LOOKUP(V678,{600001;700001;800001;900001},{4000;6750;10250;15250}),0),IF(V678&gt;1200000,((V678-1200000)*27.5%)+300000,0)
)))))))</f>
        <v>0</v>
      </c>
      <c r="X678" s="12">
        <f t="shared" si="172"/>
        <v>0</v>
      </c>
      <c r="Y678" s="12">
        <f t="shared" si="173"/>
        <v>0</v>
      </c>
      <c r="Z678" s="11"/>
      <c r="AA678" s="13">
        <f t="shared" si="174"/>
        <v>0</v>
      </c>
      <c r="AB678" s="12">
        <f t="shared" si="175"/>
        <v>0</v>
      </c>
      <c r="AC678" s="14">
        <f t="shared" si="163"/>
        <v>0</v>
      </c>
      <c r="AE678" s="19">
        <f t="shared" si="176"/>
        <v>0</v>
      </c>
      <c r="AF678" s="19"/>
      <c r="AG678" s="17"/>
      <c r="AK678" s="7"/>
      <c r="AL678" s="108">
        <f t="shared" si="164"/>
        <v>0</v>
      </c>
      <c r="AM678" s="108">
        <f t="shared" si="165"/>
        <v>0</v>
      </c>
      <c r="AN678" s="113"/>
    </row>
    <row r="679" spans="2:40" x14ac:dyDescent="0.2">
      <c r="B679" s="7"/>
      <c r="C679" s="8"/>
      <c r="D679" s="8"/>
      <c r="E679" s="9"/>
      <c r="F679" s="6"/>
      <c r="G679" s="8"/>
      <c r="H679" s="32"/>
      <c r="I679" s="10" t="str">
        <f t="shared" si="162"/>
        <v>21</v>
      </c>
      <c r="J679" s="11">
        <v>1</v>
      </c>
      <c r="K679" s="11"/>
      <c r="L679" s="11"/>
      <c r="M679" s="11">
        <f t="shared" si="166"/>
        <v>0</v>
      </c>
      <c r="N679" s="11"/>
      <c r="O679" s="11">
        <f t="shared" si="167"/>
        <v>0</v>
      </c>
      <c r="P679" s="11"/>
      <c r="Q679" s="11"/>
      <c r="R679" s="11"/>
      <c r="S679" s="11">
        <f t="shared" si="168"/>
        <v>0</v>
      </c>
      <c r="T679" s="11">
        <f t="shared" si="169"/>
        <v>1666.6666666666667</v>
      </c>
      <c r="U679" s="11">
        <f t="shared" si="170"/>
        <v>0</v>
      </c>
      <c r="V679" s="24">
        <f t="shared" si="171"/>
        <v>0</v>
      </c>
      <c r="W679" s="11">
        <f>IF(V679&lt;=40000,0,
IF(V679&lt;=55000,(V679-40000)*10%,
IF(V679&lt;=70000,(V679-55000)*15%+1500,
IF(V679&lt;=200000,(V679-70000)*20%+1500+2250,
IF(V679&lt;=400000,(V679-200000)*22.5%+1500+2250+26000,
IF(V679&lt;=600000,(V679-400000)*25%+1500+2250+26000+45000,
IF(AND(V679&gt;600000,V679&lt;=1200000),(V679-400000)*25%+1500+2250+26000+45000
+IFERROR(LOOKUP(V679,{600001;700001;800001;900001},{4000;6750;10250;15250}),0),IF(V679&gt;1200000,((V679-1200000)*27.5%)+300000,0)
)))))))</f>
        <v>0</v>
      </c>
      <c r="X679" s="12">
        <f t="shared" si="172"/>
        <v>0</v>
      </c>
      <c r="Y679" s="12">
        <f t="shared" si="173"/>
        <v>0</v>
      </c>
      <c r="Z679" s="11"/>
      <c r="AA679" s="13">
        <f t="shared" si="174"/>
        <v>0</v>
      </c>
      <c r="AB679" s="12">
        <f t="shared" si="175"/>
        <v>0</v>
      </c>
      <c r="AC679" s="14">
        <f t="shared" si="163"/>
        <v>0</v>
      </c>
      <c r="AE679" s="19">
        <f t="shared" si="176"/>
        <v>0</v>
      </c>
      <c r="AF679" s="19"/>
      <c r="AG679" s="17"/>
      <c r="AK679" s="7"/>
      <c r="AL679" s="108">
        <f t="shared" si="164"/>
        <v>0</v>
      </c>
      <c r="AM679" s="108">
        <f t="shared" si="165"/>
        <v>0</v>
      </c>
      <c r="AN679" s="113"/>
    </row>
    <row r="680" spans="2:40" x14ac:dyDescent="0.2">
      <c r="B680" s="7"/>
      <c r="C680" s="8"/>
      <c r="D680" s="8"/>
      <c r="E680" s="9"/>
      <c r="F680" s="6"/>
      <c r="G680" s="8"/>
      <c r="H680" s="32"/>
      <c r="I680" s="10" t="str">
        <f t="shared" si="162"/>
        <v>21</v>
      </c>
      <c r="J680" s="11">
        <v>1</v>
      </c>
      <c r="K680" s="11"/>
      <c r="L680" s="11"/>
      <c r="M680" s="11">
        <f t="shared" si="166"/>
        <v>0</v>
      </c>
      <c r="N680" s="11"/>
      <c r="O680" s="11">
        <f t="shared" si="167"/>
        <v>0</v>
      </c>
      <c r="P680" s="11"/>
      <c r="Q680" s="11"/>
      <c r="R680" s="11"/>
      <c r="S680" s="11">
        <f t="shared" si="168"/>
        <v>0</v>
      </c>
      <c r="T680" s="11">
        <f t="shared" si="169"/>
        <v>1666.6666666666667</v>
      </c>
      <c r="U680" s="11">
        <f t="shared" si="170"/>
        <v>0</v>
      </c>
      <c r="V680" s="24">
        <f t="shared" si="171"/>
        <v>0</v>
      </c>
      <c r="W680" s="11">
        <f>IF(V680&lt;=40000,0,
IF(V680&lt;=55000,(V680-40000)*10%,
IF(V680&lt;=70000,(V680-55000)*15%+1500,
IF(V680&lt;=200000,(V680-70000)*20%+1500+2250,
IF(V680&lt;=400000,(V680-200000)*22.5%+1500+2250+26000,
IF(V680&lt;=600000,(V680-400000)*25%+1500+2250+26000+45000,
IF(AND(V680&gt;600000,V680&lt;=1200000),(V680-400000)*25%+1500+2250+26000+45000
+IFERROR(LOOKUP(V680,{600001;700001;800001;900001},{4000;6750;10250;15250}),0),IF(V680&gt;1200000,((V680-1200000)*27.5%)+300000,0)
)))))))</f>
        <v>0</v>
      </c>
      <c r="X680" s="12">
        <f t="shared" si="172"/>
        <v>0</v>
      </c>
      <c r="Y680" s="12">
        <f t="shared" si="173"/>
        <v>0</v>
      </c>
      <c r="Z680" s="11"/>
      <c r="AA680" s="13">
        <f t="shared" si="174"/>
        <v>0</v>
      </c>
      <c r="AB680" s="12">
        <f t="shared" si="175"/>
        <v>0</v>
      </c>
      <c r="AC680" s="14">
        <f t="shared" si="163"/>
        <v>0</v>
      </c>
      <c r="AE680" s="19">
        <f t="shared" si="176"/>
        <v>0</v>
      </c>
      <c r="AF680" s="19"/>
      <c r="AG680" s="17"/>
      <c r="AK680" s="7"/>
      <c r="AL680" s="108">
        <f t="shared" si="164"/>
        <v>0</v>
      </c>
      <c r="AM680" s="108">
        <f t="shared" si="165"/>
        <v>0</v>
      </c>
      <c r="AN680" s="113"/>
    </row>
    <row r="681" spans="2:40" x14ac:dyDescent="0.2">
      <c r="B681" s="7"/>
      <c r="C681" s="8"/>
      <c r="D681" s="8"/>
      <c r="E681" s="9"/>
      <c r="F681" s="6"/>
      <c r="G681" s="8"/>
      <c r="H681" s="32"/>
      <c r="I681" s="10" t="str">
        <f t="shared" si="162"/>
        <v>21</v>
      </c>
      <c r="J681" s="11">
        <v>1</v>
      </c>
      <c r="K681" s="11"/>
      <c r="L681" s="11"/>
      <c r="M681" s="11">
        <f t="shared" si="166"/>
        <v>0</v>
      </c>
      <c r="N681" s="11"/>
      <c r="O681" s="11">
        <f t="shared" si="167"/>
        <v>0</v>
      </c>
      <c r="P681" s="11"/>
      <c r="Q681" s="11"/>
      <c r="R681" s="11"/>
      <c r="S681" s="11">
        <f t="shared" si="168"/>
        <v>0</v>
      </c>
      <c r="T681" s="11">
        <f t="shared" si="169"/>
        <v>1666.6666666666667</v>
      </c>
      <c r="U681" s="11">
        <f t="shared" si="170"/>
        <v>0</v>
      </c>
      <c r="V681" s="24">
        <f t="shared" si="171"/>
        <v>0</v>
      </c>
      <c r="W681" s="11">
        <f>IF(V681&lt;=40000,0,
IF(V681&lt;=55000,(V681-40000)*10%,
IF(V681&lt;=70000,(V681-55000)*15%+1500,
IF(V681&lt;=200000,(V681-70000)*20%+1500+2250,
IF(V681&lt;=400000,(V681-200000)*22.5%+1500+2250+26000,
IF(V681&lt;=600000,(V681-400000)*25%+1500+2250+26000+45000,
IF(AND(V681&gt;600000,V681&lt;=1200000),(V681-400000)*25%+1500+2250+26000+45000
+IFERROR(LOOKUP(V681,{600001;700001;800001;900001},{4000;6750;10250;15250}),0),IF(V681&gt;1200000,((V681-1200000)*27.5%)+300000,0)
)))))))</f>
        <v>0</v>
      </c>
      <c r="X681" s="12">
        <f t="shared" si="172"/>
        <v>0</v>
      </c>
      <c r="Y681" s="12">
        <f t="shared" si="173"/>
        <v>0</v>
      </c>
      <c r="Z681" s="11"/>
      <c r="AA681" s="13">
        <f t="shared" si="174"/>
        <v>0</v>
      </c>
      <c r="AB681" s="12">
        <f t="shared" si="175"/>
        <v>0</v>
      </c>
      <c r="AC681" s="14">
        <f t="shared" si="163"/>
        <v>0</v>
      </c>
      <c r="AE681" s="19">
        <f t="shared" si="176"/>
        <v>0</v>
      </c>
      <c r="AF681" s="19"/>
      <c r="AG681" s="17"/>
      <c r="AK681" s="7"/>
      <c r="AL681" s="108">
        <f t="shared" si="164"/>
        <v>0</v>
      </c>
      <c r="AM681" s="108">
        <f t="shared" si="165"/>
        <v>0</v>
      </c>
      <c r="AN681" s="113"/>
    </row>
    <row r="682" spans="2:40" x14ac:dyDescent="0.2">
      <c r="B682" s="7"/>
      <c r="C682" s="8"/>
      <c r="D682" s="8"/>
      <c r="E682" s="9"/>
      <c r="F682" s="6"/>
      <c r="G682" s="8"/>
      <c r="H682" s="32"/>
      <c r="I682" s="10" t="str">
        <f t="shared" si="162"/>
        <v>21</v>
      </c>
      <c r="J682" s="11">
        <v>1</v>
      </c>
      <c r="K682" s="11"/>
      <c r="L682" s="11"/>
      <c r="M682" s="11">
        <f t="shared" si="166"/>
        <v>0</v>
      </c>
      <c r="N682" s="11"/>
      <c r="O682" s="11">
        <f t="shared" si="167"/>
        <v>0</v>
      </c>
      <c r="P682" s="11"/>
      <c r="Q682" s="11"/>
      <c r="R682" s="11"/>
      <c r="S682" s="11">
        <f t="shared" si="168"/>
        <v>0</v>
      </c>
      <c r="T682" s="11">
        <f t="shared" si="169"/>
        <v>1666.6666666666667</v>
      </c>
      <c r="U682" s="11">
        <f t="shared" si="170"/>
        <v>0</v>
      </c>
      <c r="V682" s="24">
        <f t="shared" si="171"/>
        <v>0</v>
      </c>
      <c r="W682" s="11">
        <f>IF(V682&lt;=40000,0,
IF(V682&lt;=55000,(V682-40000)*10%,
IF(V682&lt;=70000,(V682-55000)*15%+1500,
IF(V682&lt;=200000,(V682-70000)*20%+1500+2250,
IF(V682&lt;=400000,(V682-200000)*22.5%+1500+2250+26000,
IF(V682&lt;=600000,(V682-400000)*25%+1500+2250+26000+45000,
IF(AND(V682&gt;600000,V682&lt;=1200000),(V682-400000)*25%+1500+2250+26000+45000
+IFERROR(LOOKUP(V682,{600001;700001;800001;900001},{4000;6750;10250;15250}),0),IF(V682&gt;1200000,((V682-1200000)*27.5%)+300000,0)
)))))))</f>
        <v>0</v>
      </c>
      <c r="X682" s="12">
        <f t="shared" si="172"/>
        <v>0</v>
      </c>
      <c r="Y682" s="12">
        <f t="shared" si="173"/>
        <v>0</v>
      </c>
      <c r="Z682" s="11"/>
      <c r="AA682" s="13">
        <f t="shared" si="174"/>
        <v>0</v>
      </c>
      <c r="AB682" s="12">
        <f t="shared" si="175"/>
        <v>0</v>
      </c>
      <c r="AC682" s="14">
        <f t="shared" si="163"/>
        <v>0</v>
      </c>
      <c r="AE682" s="19">
        <f t="shared" si="176"/>
        <v>0</v>
      </c>
      <c r="AF682" s="19"/>
      <c r="AG682" s="17"/>
      <c r="AK682" s="7"/>
      <c r="AL682" s="108">
        <f t="shared" si="164"/>
        <v>0</v>
      </c>
      <c r="AM682" s="108">
        <f t="shared" si="165"/>
        <v>0</v>
      </c>
      <c r="AN682" s="113"/>
    </row>
    <row r="683" spans="2:40" x14ac:dyDescent="0.2">
      <c r="B683" s="7"/>
      <c r="C683" s="8"/>
      <c r="D683" s="8"/>
      <c r="E683" s="9"/>
      <c r="F683" s="6"/>
      <c r="G683" s="8"/>
      <c r="H683" s="32"/>
      <c r="I683" s="10" t="str">
        <f t="shared" si="162"/>
        <v>21</v>
      </c>
      <c r="J683" s="11">
        <v>1</v>
      </c>
      <c r="K683" s="11"/>
      <c r="L683" s="11"/>
      <c r="M683" s="11">
        <f t="shared" si="166"/>
        <v>0</v>
      </c>
      <c r="N683" s="11"/>
      <c r="O683" s="11">
        <f t="shared" si="167"/>
        <v>0</v>
      </c>
      <c r="P683" s="11"/>
      <c r="Q683" s="11"/>
      <c r="R683" s="11"/>
      <c r="S683" s="11">
        <f t="shared" si="168"/>
        <v>0</v>
      </c>
      <c r="T683" s="11">
        <f t="shared" si="169"/>
        <v>1666.6666666666667</v>
      </c>
      <c r="U683" s="11">
        <f t="shared" si="170"/>
        <v>0</v>
      </c>
      <c r="V683" s="24">
        <f t="shared" si="171"/>
        <v>0</v>
      </c>
      <c r="W683" s="11">
        <f>IF(V683&lt;=40000,0,
IF(V683&lt;=55000,(V683-40000)*10%,
IF(V683&lt;=70000,(V683-55000)*15%+1500,
IF(V683&lt;=200000,(V683-70000)*20%+1500+2250,
IF(V683&lt;=400000,(V683-200000)*22.5%+1500+2250+26000,
IF(V683&lt;=600000,(V683-400000)*25%+1500+2250+26000+45000,
IF(AND(V683&gt;600000,V683&lt;=1200000),(V683-400000)*25%+1500+2250+26000+45000
+IFERROR(LOOKUP(V683,{600001;700001;800001;900001},{4000;6750;10250;15250}),0),IF(V683&gt;1200000,((V683-1200000)*27.5%)+300000,0)
)))))))</f>
        <v>0</v>
      </c>
      <c r="X683" s="12">
        <f t="shared" si="172"/>
        <v>0</v>
      </c>
      <c r="Y683" s="12">
        <f t="shared" si="173"/>
        <v>0</v>
      </c>
      <c r="Z683" s="11"/>
      <c r="AA683" s="13">
        <f t="shared" si="174"/>
        <v>0</v>
      </c>
      <c r="AB683" s="12">
        <f t="shared" si="175"/>
        <v>0</v>
      </c>
      <c r="AC683" s="14">
        <f t="shared" si="163"/>
        <v>0</v>
      </c>
      <c r="AE683" s="19">
        <f t="shared" si="176"/>
        <v>0</v>
      </c>
      <c r="AF683" s="19"/>
      <c r="AG683" s="17"/>
      <c r="AK683" s="7"/>
      <c r="AL683" s="108">
        <f t="shared" si="164"/>
        <v>0</v>
      </c>
      <c r="AM683" s="108">
        <f t="shared" si="165"/>
        <v>0</v>
      </c>
      <c r="AN683" s="113"/>
    </row>
    <row r="684" spans="2:40" x14ac:dyDescent="0.2">
      <c r="B684" s="7"/>
      <c r="C684" s="8"/>
      <c r="D684" s="8"/>
      <c r="E684" s="9"/>
      <c r="F684" s="6"/>
      <c r="G684" s="8"/>
      <c r="H684" s="32"/>
      <c r="I684" s="10" t="str">
        <f t="shared" si="162"/>
        <v>21</v>
      </c>
      <c r="J684" s="11">
        <v>1</v>
      </c>
      <c r="K684" s="11"/>
      <c r="L684" s="11"/>
      <c r="M684" s="11">
        <f t="shared" si="166"/>
        <v>0</v>
      </c>
      <c r="N684" s="11"/>
      <c r="O684" s="11">
        <f t="shared" si="167"/>
        <v>0</v>
      </c>
      <c r="P684" s="11"/>
      <c r="Q684" s="11"/>
      <c r="R684" s="11"/>
      <c r="S684" s="11">
        <f t="shared" si="168"/>
        <v>0</v>
      </c>
      <c r="T684" s="11">
        <f t="shared" si="169"/>
        <v>1666.6666666666667</v>
      </c>
      <c r="U684" s="11">
        <f t="shared" si="170"/>
        <v>0</v>
      </c>
      <c r="V684" s="24">
        <f t="shared" si="171"/>
        <v>0</v>
      </c>
      <c r="W684" s="11">
        <f>IF(V684&lt;=40000,0,
IF(V684&lt;=55000,(V684-40000)*10%,
IF(V684&lt;=70000,(V684-55000)*15%+1500,
IF(V684&lt;=200000,(V684-70000)*20%+1500+2250,
IF(V684&lt;=400000,(V684-200000)*22.5%+1500+2250+26000,
IF(V684&lt;=600000,(V684-400000)*25%+1500+2250+26000+45000,
IF(AND(V684&gt;600000,V684&lt;=1200000),(V684-400000)*25%+1500+2250+26000+45000
+IFERROR(LOOKUP(V684,{600001;700001;800001;900001},{4000;6750;10250;15250}),0),IF(V684&gt;1200000,((V684-1200000)*27.5%)+300000,0)
)))))))</f>
        <v>0</v>
      </c>
      <c r="X684" s="12">
        <f t="shared" si="172"/>
        <v>0</v>
      </c>
      <c r="Y684" s="12">
        <f t="shared" si="173"/>
        <v>0</v>
      </c>
      <c r="Z684" s="11"/>
      <c r="AA684" s="13">
        <f t="shared" si="174"/>
        <v>0</v>
      </c>
      <c r="AB684" s="12">
        <f t="shared" si="175"/>
        <v>0</v>
      </c>
      <c r="AC684" s="14">
        <f t="shared" si="163"/>
        <v>0</v>
      </c>
      <c r="AE684" s="19">
        <f t="shared" si="176"/>
        <v>0</v>
      </c>
      <c r="AF684" s="19"/>
      <c r="AG684" s="17"/>
      <c r="AK684" s="7"/>
      <c r="AL684" s="108">
        <f t="shared" si="164"/>
        <v>0</v>
      </c>
      <c r="AM684" s="108">
        <f t="shared" si="165"/>
        <v>0</v>
      </c>
      <c r="AN684" s="113"/>
    </row>
    <row r="685" spans="2:40" x14ac:dyDescent="0.2">
      <c r="B685" s="7"/>
      <c r="C685" s="8"/>
      <c r="D685" s="8"/>
      <c r="E685" s="9"/>
      <c r="F685" s="6"/>
      <c r="G685" s="8"/>
      <c r="H685" s="32"/>
      <c r="I685" s="10" t="str">
        <f t="shared" si="162"/>
        <v>21</v>
      </c>
      <c r="J685" s="11">
        <v>1</v>
      </c>
      <c r="K685" s="11"/>
      <c r="L685" s="11"/>
      <c r="M685" s="11">
        <f t="shared" si="166"/>
        <v>0</v>
      </c>
      <c r="N685" s="11"/>
      <c r="O685" s="11">
        <f t="shared" si="167"/>
        <v>0</v>
      </c>
      <c r="P685" s="11"/>
      <c r="Q685" s="11"/>
      <c r="R685" s="11"/>
      <c r="S685" s="11">
        <f t="shared" si="168"/>
        <v>0</v>
      </c>
      <c r="T685" s="11">
        <f t="shared" si="169"/>
        <v>1666.6666666666667</v>
      </c>
      <c r="U685" s="11">
        <f t="shared" si="170"/>
        <v>0</v>
      </c>
      <c r="V685" s="24">
        <f t="shared" si="171"/>
        <v>0</v>
      </c>
      <c r="W685" s="11">
        <f>IF(V685&lt;=40000,0,
IF(V685&lt;=55000,(V685-40000)*10%,
IF(V685&lt;=70000,(V685-55000)*15%+1500,
IF(V685&lt;=200000,(V685-70000)*20%+1500+2250,
IF(V685&lt;=400000,(V685-200000)*22.5%+1500+2250+26000,
IF(V685&lt;=600000,(V685-400000)*25%+1500+2250+26000+45000,
IF(AND(V685&gt;600000,V685&lt;=1200000),(V685-400000)*25%+1500+2250+26000+45000
+IFERROR(LOOKUP(V685,{600001;700001;800001;900001},{4000;6750;10250;15250}),0),IF(V685&gt;1200000,((V685-1200000)*27.5%)+300000,0)
)))))))</f>
        <v>0</v>
      </c>
      <c r="X685" s="12">
        <f t="shared" si="172"/>
        <v>0</v>
      </c>
      <c r="Y685" s="12">
        <f t="shared" si="173"/>
        <v>0</v>
      </c>
      <c r="Z685" s="11"/>
      <c r="AA685" s="13">
        <f t="shared" si="174"/>
        <v>0</v>
      </c>
      <c r="AB685" s="12">
        <f t="shared" si="175"/>
        <v>0</v>
      </c>
      <c r="AC685" s="14">
        <f t="shared" si="163"/>
        <v>0</v>
      </c>
      <c r="AE685" s="19">
        <f t="shared" si="176"/>
        <v>0</v>
      </c>
      <c r="AF685" s="19"/>
      <c r="AG685" s="17"/>
      <c r="AK685" s="7"/>
      <c r="AL685" s="108">
        <f t="shared" si="164"/>
        <v>0</v>
      </c>
      <c r="AM685" s="108">
        <f t="shared" si="165"/>
        <v>0</v>
      </c>
      <c r="AN685" s="113"/>
    </row>
    <row r="686" spans="2:40" x14ac:dyDescent="0.2">
      <c r="B686" s="7"/>
      <c r="C686" s="8"/>
      <c r="D686" s="8"/>
      <c r="E686" s="9"/>
      <c r="F686" s="6"/>
      <c r="G686" s="8"/>
      <c r="H686" s="32"/>
      <c r="I686" s="10" t="str">
        <f t="shared" si="162"/>
        <v>21</v>
      </c>
      <c r="J686" s="11">
        <v>1</v>
      </c>
      <c r="K686" s="11"/>
      <c r="L686" s="11"/>
      <c r="M686" s="11">
        <f t="shared" si="166"/>
        <v>0</v>
      </c>
      <c r="N686" s="11"/>
      <c r="O686" s="11">
        <f t="shared" si="167"/>
        <v>0</v>
      </c>
      <c r="P686" s="11"/>
      <c r="Q686" s="11"/>
      <c r="R686" s="11"/>
      <c r="S686" s="11">
        <f t="shared" si="168"/>
        <v>0</v>
      </c>
      <c r="T686" s="11">
        <f t="shared" si="169"/>
        <v>1666.6666666666667</v>
      </c>
      <c r="U686" s="11">
        <f t="shared" si="170"/>
        <v>0</v>
      </c>
      <c r="V686" s="24">
        <f t="shared" si="171"/>
        <v>0</v>
      </c>
      <c r="W686" s="11">
        <f>IF(V686&lt;=40000,0,
IF(V686&lt;=55000,(V686-40000)*10%,
IF(V686&lt;=70000,(V686-55000)*15%+1500,
IF(V686&lt;=200000,(V686-70000)*20%+1500+2250,
IF(V686&lt;=400000,(V686-200000)*22.5%+1500+2250+26000,
IF(V686&lt;=600000,(V686-400000)*25%+1500+2250+26000+45000,
IF(AND(V686&gt;600000,V686&lt;=1200000),(V686-400000)*25%+1500+2250+26000+45000
+IFERROR(LOOKUP(V686,{600001;700001;800001;900001},{4000;6750;10250;15250}),0),IF(V686&gt;1200000,((V686-1200000)*27.5%)+300000,0)
)))))))</f>
        <v>0</v>
      </c>
      <c r="X686" s="12">
        <f t="shared" si="172"/>
        <v>0</v>
      </c>
      <c r="Y686" s="12">
        <f t="shared" si="173"/>
        <v>0</v>
      </c>
      <c r="Z686" s="11"/>
      <c r="AA686" s="13">
        <f t="shared" si="174"/>
        <v>0</v>
      </c>
      <c r="AB686" s="12">
        <f t="shared" si="175"/>
        <v>0</v>
      </c>
      <c r="AC686" s="14">
        <f t="shared" si="163"/>
        <v>0</v>
      </c>
      <c r="AE686" s="19">
        <f t="shared" si="176"/>
        <v>0</v>
      </c>
      <c r="AF686" s="19"/>
      <c r="AG686" s="17"/>
      <c r="AK686" s="7"/>
      <c r="AL686" s="108">
        <f t="shared" si="164"/>
        <v>0</v>
      </c>
      <c r="AM686" s="108">
        <f t="shared" si="165"/>
        <v>0</v>
      </c>
      <c r="AN686" s="113"/>
    </row>
    <row r="687" spans="2:40" x14ac:dyDescent="0.2">
      <c r="B687" s="7"/>
      <c r="C687" s="8"/>
      <c r="D687" s="8"/>
      <c r="E687" s="9"/>
      <c r="F687" s="6"/>
      <c r="G687" s="8"/>
      <c r="H687" s="32"/>
      <c r="I687" s="10" t="str">
        <f t="shared" si="162"/>
        <v>21</v>
      </c>
      <c r="J687" s="11">
        <v>1</v>
      </c>
      <c r="K687" s="11"/>
      <c r="L687" s="11"/>
      <c r="M687" s="11">
        <f t="shared" si="166"/>
        <v>0</v>
      </c>
      <c r="N687" s="11"/>
      <c r="O687" s="11">
        <f t="shared" si="167"/>
        <v>0</v>
      </c>
      <c r="P687" s="11"/>
      <c r="Q687" s="11"/>
      <c r="R687" s="11"/>
      <c r="S687" s="11">
        <f t="shared" si="168"/>
        <v>0</v>
      </c>
      <c r="T687" s="11">
        <f t="shared" si="169"/>
        <v>1666.6666666666667</v>
      </c>
      <c r="U687" s="11">
        <f t="shared" si="170"/>
        <v>0</v>
      </c>
      <c r="V687" s="24">
        <f t="shared" si="171"/>
        <v>0</v>
      </c>
      <c r="W687" s="11">
        <f>IF(V687&lt;=40000,0,
IF(V687&lt;=55000,(V687-40000)*10%,
IF(V687&lt;=70000,(V687-55000)*15%+1500,
IF(V687&lt;=200000,(V687-70000)*20%+1500+2250,
IF(V687&lt;=400000,(V687-200000)*22.5%+1500+2250+26000,
IF(V687&lt;=600000,(V687-400000)*25%+1500+2250+26000+45000,
IF(AND(V687&gt;600000,V687&lt;=1200000),(V687-400000)*25%+1500+2250+26000+45000
+IFERROR(LOOKUP(V687,{600001;700001;800001;900001},{4000;6750;10250;15250}),0),IF(V687&gt;1200000,((V687-1200000)*27.5%)+300000,0)
)))))))</f>
        <v>0</v>
      </c>
      <c r="X687" s="12">
        <f t="shared" si="172"/>
        <v>0</v>
      </c>
      <c r="Y687" s="12">
        <f t="shared" si="173"/>
        <v>0</v>
      </c>
      <c r="Z687" s="11"/>
      <c r="AA687" s="13">
        <f t="shared" si="174"/>
        <v>0</v>
      </c>
      <c r="AB687" s="12">
        <f t="shared" si="175"/>
        <v>0</v>
      </c>
      <c r="AC687" s="14">
        <f t="shared" si="163"/>
        <v>0</v>
      </c>
      <c r="AE687" s="19">
        <f t="shared" si="176"/>
        <v>0</v>
      </c>
      <c r="AF687" s="19"/>
      <c r="AG687" s="17"/>
      <c r="AK687" s="7"/>
      <c r="AL687" s="108">
        <f t="shared" si="164"/>
        <v>0</v>
      </c>
      <c r="AM687" s="108">
        <f t="shared" si="165"/>
        <v>0</v>
      </c>
      <c r="AN687" s="113"/>
    </row>
    <row r="688" spans="2:40" x14ac:dyDescent="0.2">
      <c r="B688" s="7"/>
      <c r="C688" s="8"/>
      <c r="D688" s="8"/>
      <c r="E688" s="9"/>
      <c r="F688" s="6"/>
      <c r="G688" s="8"/>
      <c r="H688" s="32"/>
      <c r="I688" s="10" t="str">
        <f t="shared" si="162"/>
        <v>21</v>
      </c>
      <c r="J688" s="11">
        <v>1</v>
      </c>
      <c r="K688" s="11"/>
      <c r="L688" s="11"/>
      <c r="M688" s="11">
        <f t="shared" si="166"/>
        <v>0</v>
      </c>
      <c r="N688" s="11"/>
      <c r="O688" s="11">
        <f t="shared" si="167"/>
        <v>0</v>
      </c>
      <c r="P688" s="11"/>
      <c r="Q688" s="11"/>
      <c r="R688" s="11"/>
      <c r="S688" s="11">
        <f t="shared" si="168"/>
        <v>0</v>
      </c>
      <c r="T688" s="11">
        <f t="shared" si="169"/>
        <v>1666.6666666666667</v>
      </c>
      <c r="U688" s="11">
        <f t="shared" si="170"/>
        <v>0</v>
      </c>
      <c r="V688" s="24">
        <f t="shared" si="171"/>
        <v>0</v>
      </c>
      <c r="W688" s="11">
        <f>IF(V688&lt;=40000,0,
IF(V688&lt;=55000,(V688-40000)*10%,
IF(V688&lt;=70000,(V688-55000)*15%+1500,
IF(V688&lt;=200000,(V688-70000)*20%+1500+2250,
IF(V688&lt;=400000,(V688-200000)*22.5%+1500+2250+26000,
IF(V688&lt;=600000,(V688-400000)*25%+1500+2250+26000+45000,
IF(AND(V688&gt;600000,V688&lt;=1200000),(V688-400000)*25%+1500+2250+26000+45000
+IFERROR(LOOKUP(V688,{600001;700001;800001;900001},{4000;6750;10250;15250}),0),IF(V688&gt;1200000,((V688-1200000)*27.5%)+300000,0)
)))))))</f>
        <v>0</v>
      </c>
      <c r="X688" s="12">
        <f t="shared" si="172"/>
        <v>0</v>
      </c>
      <c r="Y688" s="12">
        <f t="shared" si="173"/>
        <v>0</v>
      </c>
      <c r="Z688" s="11"/>
      <c r="AA688" s="13">
        <f t="shared" si="174"/>
        <v>0</v>
      </c>
      <c r="AB688" s="12">
        <f t="shared" si="175"/>
        <v>0</v>
      </c>
      <c r="AC688" s="14">
        <f t="shared" si="163"/>
        <v>0</v>
      </c>
      <c r="AE688" s="19">
        <f t="shared" si="176"/>
        <v>0</v>
      </c>
      <c r="AF688" s="19"/>
      <c r="AG688" s="17"/>
      <c r="AK688" s="7"/>
      <c r="AL688" s="108">
        <f t="shared" si="164"/>
        <v>0</v>
      </c>
      <c r="AM688" s="108">
        <f t="shared" si="165"/>
        <v>0</v>
      </c>
      <c r="AN688" s="113"/>
    </row>
    <row r="689" spans="2:40" x14ac:dyDescent="0.2">
      <c r="B689" s="7"/>
      <c r="C689" s="8"/>
      <c r="D689" s="8"/>
      <c r="E689" s="9"/>
      <c r="F689" s="6"/>
      <c r="G689" s="8"/>
      <c r="H689" s="32"/>
      <c r="I689" s="10" t="str">
        <f t="shared" si="162"/>
        <v>21</v>
      </c>
      <c r="J689" s="11">
        <v>1</v>
      </c>
      <c r="K689" s="11"/>
      <c r="L689" s="11"/>
      <c r="M689" s="11">
        <f t="shared" si="166"/>
        <v>0</v>
      </c>
      <c r="N689" s="11"/>
      <c r="O689" s="11">
        <f t="shared" si="167"/>
        <v>0</v>
      </c>
      <c r="P689" s="11"/>
      <c r="Q689" s="11"/>
      <c r="R689" s="11"/>
      <c r="S689" s="11">
        <f t="shared" si="168"/>
        <v>0</v>
      </c>
      <c r="T689" s="11">
        <f t="shared" si="169"/>
        <v>1666.6666666666667</v>
      </c>
      <c r="U689" s="11">
        <f t="shared" si="170"/>
        <v>0</v>
      </c>
      <c r="V689" s="24">
        <f t="shared" si="171"/>
        <v>0</v>
      </c>
      <c r="W689" s="11">
        <f>IF(V689&lt;=40000,0,
IF(V689&lt;=55000,(V689-40000)*10%,
IF(V689&lt;=70000,(V689-55000)*15%+1500,
IF(V689&lt;=200000,(V689-70000)*20%+1500+2250,
IF(V689&lt;=400000,(V689-200000)*22.5%+1500+2250+26000,
IF(V689&lt;=600000,(V689-400000)*25%+1500+2250+26000+45000,
IF(AND(V689&gt;600000,V689&lt;=1200000),(V689-400000)*25%+1500+2250+26000+45000
+IFERROR(LOOKUP(V689,{600001;700001;800001;900001},{4000;6750;10250;15250}),0),IF(V689&gt;1200000,((V689-1200000)*27.5%)+300000,0)
)))))))</f>
        <v>0</v>
      </c>
      <c r="X689" s="12">
        <f t="shared" si="172"/>
        <v>0</v>
      </c>
      <c r="Y689" s="12">
        <f t="shared" si="173"/>
        <v>0</v>
      </c>
      <c r="Z689" s="11"/>
      <c r="AA689" s="13">
        <f t="shared" si="174"/>
        <v>0</v>
      </c>
      <c r="AB689" s="12">
        <f t="shared" si="175"/>
        <v>0</v>
      </c>
      <c r="AC689" s="14">
        <f t="shared" si="163"/>
        <v>0</v>
      </c>
      <c r="AE689" s="19">
        <f t="shared" si="176"/>
        <v>0</v>
      </c>
      <c r="AF689" s="19"/>
      <c r="AG689" s="17"/>
      <c r="AK689" s="7"/>
      <c r="AL689" s="108">
        <f t="shared" si="164"/>
        <v>0</v>
      </c>
      <c r="AM689" s="108">
        <f t="shared" si="165"/>
        <v>0</v>
      </c>
      <c r="AN689" s="113"/>
    </row>
    <row r="690" spans="2:40" x14ac:dyDescent="0.2">
      <c r="B690" s="7"/>
      <c r="C690" s="8"/>
      <c r="D690" s="8"/>
      <c r="E690" s="9"/>
      <c r="F690" s="6"/>
      <c r="G690" s="8"/>
      <c r="H690" s="32"/>
      <c r="I690" s="10" t="str">
        <f t="shared" si="162"/>
        <v>21</v>
      </c>
      <c r="J690" s="11">
        <v>1</v>
      </c>
      <c r="K690" s="11"/>
      <c r="L690" s="11"/>
      <c r="M690" s="11">
        <f t="shared" si="166"/>
        <v>0</v>
      </c>
      <c r="N690" s="11"/>
      <c r="O690" s="11">
        <f t="shared" si="167"/>
        <v>0</v>
      </c>
      <c r="P690" s="11"/>
      <c r="Q690" s="11"/>
      <c r="R690" s="11"/>
      <c r="S690" s="11">
        <f t="shared" si="168"/>
        <v>0</v>
      </c>
      <c r="T690" s="11">
        <f t="shared" si="169"/>
        <v>1666.6666666666667</v>
      </c>
      <c r="U690" s="11">
        <f t="shared" si="170"/>
        <v>0</v>
      </c>
      <c r="V690" s="24">
        <f t="shared" si="171"/>
        <v>0</v>
      </c>
      <c r="W690" s="11">
        <f>IF(V690&lt;=40000,0,
IF(V690&lt;=55000,(V690-40000)*10%,
IF(V690&lt;=70000,(V690-55000)*15%+1500,
IF(V690&lt;=200000,(V690-70000)*20%+1500+2250,
IF(V690&lt;=400000,(V690-200000)*22.5%+1500+2250+26000,
IF(V690&lt;=600000,(V690-400000)*25%+1500+2250+26000+45000,
IF(AND(V690&gt;600000,V690&lt;=1200000),(V690-400000)*25%+1500+2250+26000+45000
+IFERROR(LOOKUP(V690,{600001;700001;800001;900001},{4000;6750;10250;15250}),0),IF(V690&gt;1200000,((V690-1200000)*27.5%)+300000,0)
)))))))</f>
        <v>0</v>
      </c>
      <c r="X690" s="12">
        <f t="shared" si="172"/>
        <v>0</v>
      </c>
      <c r="Y690" s="12">
        <f t="shared" si="173"/>
        <v>0</v>
      </c>
      <c r="Z690" s="11"/>
      <c r="AA690" s="13">
        <f t="shared" si="174"/>
        <v>0</v>
      </c>
      <c r="AB690" s="12">
        <f t="shared" si="175"/>
        <v>0</v>
      </c>
      <c r="AC690" s="14">
        <f t="shared" si="163"/>
        <v>0</v>
      </c>
      <c r="AE690" s="19">
        <f t="shared" si="176"/>
        <v>0</v>
      </c>
      <c r="AF690" s="19"/>
      <c r="AG690" s="17"/>
      <c r="AK690" s="7"/>
      <c r="AL690" s="108">
        <f t="shared" si="164"/>
        <v>0</v>
      </c>
      <c r="AM690" s="108">
        <f t="shared" si="165"/>
        <v>0</v>
      </c>
      <c r="AN690" s="113"/>
    </row>
    <row r="691" spans="2:40" x14ac:dyDescent="0.2">
      <c r="B691" s="7"/>
      <c r="C691" s="8"/>
      <c r="D691" s="8"/>
      <c r="E691" s="9"/>
      <c r="F691" s="6"/>
      <c r="G691" s="8"/>
      <c r="H691" s="32"/>
      <c r="I691" s="10" t="str">
        <f t="shared" si="162"/>
        <v>21</v>
      </c>
      <c r="J691" s="11">
        <v>1</v>
      </c>
      <c r="K691" s="11"/>
      <c r="L691" s="11"/>
      <c r="M691" s="11">
        <f t="shared" si="166"/>
        <v>0</v>
      </c>
      <c r="N691" s="11"/>
      <c r="O691" s="11">
        <f t="shared" si="167"/>
        <v>0</v>
      </c>
      <c r="P691" s="11"/>
      <c r="Q691" s="11"/>
      <c r="R691" s="11"/>
      <c r="S691" s="11">
        <f t="shared" si="168"/>
        <v>0</v>
      </c>
      <c r="T691" s="11">
        <f t="shared" si="169"/>
        <v>1666.6666666666667</v>
      </c>
      <c r="U691" s="11">
        <f t="shared" si="170"/>
        <v>0</v>
      </c>
      <c r="V691" s="24">
        <f t="shared" si="171"/>
        <v>0</v>
      </c>
      <c r="W691" s="11">
        <f>IF(V691&lt;=40000,0,
IF(V691&lt;=55000,(V691-40000)*10%,
IF(V691&lt;=70000,(V691-55000)*15%+1500,
IF(V691&lt;=200000,(V691-70000)*20%+1500+2250,
IF(V691&lt;=400000,(V691-200000)*22.5%+1500+2250+26000,
IF(V691&lt;=600000,(V691-400000)*25%+1500+2250+26000+45000,
IF(AND(V691&gt;600000,V691&lt;=1200000),(V691-400000)*25%+1500+2250+26000+45000
+IFERROR(LOOKUP(V691,{600001;700001;800001;900001},{4000;6750;10250;15250}),0),IF(V691&gt;1200000,((V691-1200000)*27.5%)+300000,0)
)))))))</f>
        <v>0</v>
      </c>
      <c r="X691" s="12">
        <f t="shared" si="172"/>
        <v>0</v>
      </c>
      <c r="Y691" s="12">
        <f t="shared" si="173"/>
        <v>0</v>
      </c>
      <c r="Z691" s="11"/>
      <c r="AA691" s="13">
        <f t="shared" si="174"/>
        <v>0</v>
      </c>
      <c r="AB691" s="12">
        <f t="shared" si="175"/>
        <v>0</v>
      </c>
      <c r="AC691" s="14">
        <f t="shared" si="163"/>
        <v>0</v>
      </c>
      <c r="AE691" s="19">
        <f t="shared" si="176"/>
        <v>0</v>
      </c>
      <c r="AF691" s="19"/>
      <c r="AG691" s="17"/>
      <c r="AK691" s="7"/>
      <c r="AL691" s="108">
        <f t="shared" si="164"/>
        <v>0</v>
      </c>
      <c r="AM691" s="108">
        <f t="shared" si="165"/>
        <v>0</v>
      </c>
      <c r="AN691" s="113"/>
    </row>
    <row r="692" spans="2:40" x14ac:dyDescent="0.2">
      <c r="B692" s="7"/>
      <c r="C692" s="8"/>
      <c r="D692" s="8"/>
      <c r="E692" s="9"/>
      <c r="F692" s="6"/>
      <c r="G692" s="8"/>
      <c r="H692" s="32"/>
      <c r="I692" s="10" t="str">
        <f t="shared" si="162"/>
        <v>21</v>
      </c>
      <c r="J692" s="11">
        <v>1</v>
      </c>
      <c r="K692" s="11"/>
      <c r="L692" s="11"/>
      <c r="M692" s="11">
        <f t="shared" si="166"/>
        <v>0</v>
      </c>
      <c r="N692" s="11"/>
      <c r="O692" s="11">
        <f t="shared" si="167"/>
        <v>0</v>
      </c>
      <c r="P692" s="11"/>
      <c r="Q692" s="11"/>
      <c r="R692" s="11"/>
      <c r="S692" s="11">
        <f t="shared" si="168"/>
        <v>0</v>
      </c>
      <c r="T692" s="11">
        <f t="shared" si="169"/>
        <v>1666.6666666666667</v>
      </c>
      <c r="U692" s="11">
        <f t="shared" si="170"/>
        <v>0</v>
      </c>
      <c r="V692" s="24">
        <f t="shared" si="171"/>
        <v>0</v>
      </c>
      <c r="W692" s="11">
        <f>IF(V692&lt;=40000,0,
IF(V692&lt;=55000,(V692-40000)*10%,
IF(V692&lt;=70000,(V692-55000)*15%+1500,
IF(V692&lt;=200000,(V692-70000)*20%+1500+2250,
IF(V692&lt;=400000,(V692-200000)*22.5%+1500+2250+26000,
IF(V692&lt;=600000,(V692-400000)*25%+1500+2250+26000+45000,
IF(AND(V692&gt;600000,V692&lt;=1200000),(V692-400000)*25%+1500+2250+26000+45000
+IFERROR(LOOKUP(V692,{600001;700001;800001;900001},{4000;6750;10250;15250}),0),IF(V692&gt;1200000,((V692-1200000)*27.5%)+300000,0)
)))))))</f>
        <v>0</v>
      </c>
      <c r="X692" s="12">
        <f t="shared" si="172"/>
        <v>0</v>
      </c>
      <c r="Y692" s="12">
        <f t="shared" si="173"/>
        <v>0</v>
      </c>
      <c r="Z692" s="11"/>
      <c r="AA692" s="13">
        <f t="shared" si="174"/>
        <v>0</v>
      </c>
      <c r="AB692" s="12">
        <f t="shared" si="175"/>
        <v>0</v>
      </c>
      <c r="AC692" s="14">
        <f t="shared" si="163"/>
        <v>0</v>
      </c>
      <c r="AE692" s="19">
        <f t="shared" si="176"/>
        <v>0</v>
      </c>
      <c r="AF692" s="19"/>
      <c r="AG692" s="17"/>
      <c r="AK692" s="7"/>
      <c r="AL692" s="108">
        <f t="shared" si="164"/>
        <v>0</v>
      </c>
      <c r="AM692" s="108">
        <f t="shared" si="165"/>
        <v>0</v>
      </c>
      <c r="AN692" s="113"/>
    </row>
    <row r="693" spans="2:40" x14ac:dyDescent="0.2">
      <c r="B693" s="7"/>
      <c r="C693" s="8"/>
      <c r="D693" s="8"/>
      <c r="E693" s="9"/>
      <c r="F693" s="6"/>
      <c r="G693" s="8"/>
      <c r="H693" s="32"/>
      <c r="I693" s="10" t="str">
        <f t="shared" si="162"/>
        <v>21</v>
      </c>
      <c r="J693" s="11">
        <v>1</v>
      </c>
      <c r="K693" s="11"/>
      <c r="L693" s="11"/>
      <c r="M693" s="11">
        <f t="shared" si="166"/>
        <v>0</v>
      </c>
      <c r="N693" s="11"/>
      <c r="O693" s="11">
        <f t="shared" si="167"/>
        <v>0</v>
      </c>
      <c r="P693" s="11"/>
      <c r="Q693" s="11"/>
      <c r="R693" s="11"/>
      <c r="S693" s="11">
        <f t="shared" si="168"/>
        <v>0</v>
      </c>
      <c r="T693" s="11">
        <f t="shared" si="169"/>
        <v>1666.6666666666667</v>
      </c>
      <c r="U693" s="11">
        <f t="shared" si="170"/>
        <v>0</v>
      </c>
      <c r="V693" s="24">
        <f t="shared" si="171"/>
        <v>0</v>
      </c>
      <c r="W693" s="11">
        <f>IF(V693&lt;=40000,0,
IF(V693&lt;=55000,(V693-40000)*10%,
IF(V693&lt;=70000,(V693-55000)*15%+1500,
IF(V693&lt;=200000,(V693-70000)*20%+1500+2250,
IF(V693&lt;=400000,(V693-200000)*22.5%+1500+2250+26000,
IF(V693&lt;=600000,(V693-400000)*25%+1500+2250+26000+45000,
IF(AND(V693&gt;600000,V693&lt;=1200000),(V693-400000)*25%+1500+2250+26000+45000
+IFERROR(LOOKUP(V693,{600001;700001;800001;900001},{4000;6750;10250;15250}),0),IF(V693&gt;1200000,((V693-1200000)*27.5%)+300000,0)
)))))))</f>
        <v>0</v>
      </c>
      <c r="X693" s="12">
        <f t="shared" si="172"/>
        <v>0</v>
      </c>
      <c r="Y693" s="12">
        <f t="shared" si="173"/>
        <v>0</v>
      </c>
      <c r="Z693" s="11"/>
      <c r="AA693" s="13">
        <f t="shared" si="174"/>
        <v>0</v>
      </c>
      <c r="AB693" s="12">
        <f t="shared" si="175"/>
        <v>0</v>
      </c>
      <c r="AC693" s="14">
        <f t="shared" si="163"/>
        <v>0</v>
      </c>
      <c r="AE693" s="19">
        <f t="shared" si="176"/>
        <v>0</v>
      </c>
      <c r="AF693" s="19"/>
      <c r="AG693" s="17"/>
      <c r="AK693" s="7"/>
      <c r="AL693" s="108">
        <f t="shared" si="164"/>
        <v>0</v>
      </c>
      <c r="AM693" s="108">
        <f t="shared" si="165"/>
        <v>0</v>
      </c>
      <c r="AN693" s="113"/>
    </row>
    <row r="694" spans="2:40" x14ac:dyDescent="0.2">
      <c r="B694" s="7"/>
      <c r="C694" s="8"/>
      <c r="D694" s="8"/>
      <c r="E694" s="9"/>
      <c r="F694" s="6"/>
      <c r="G694" s="8"/>
      <c r="H694" s="32"/>
      <c r="I694" s="10" t="str">
        <f t="shared" si="162"/>
        <v>21</v>
      </c>
      <c r="J694" s="11">
        <v>1</v>
      </c>
      <c r="K694" s="11"/>
      <c r="L694" s="11"/>
      <c r="M694" s="11">
        <f t="shared" si="166"/>
        <v>0</v>
      </c>
      <c r="N694" s="11"/>
      <c r="O694" s="11">
        <f t="shared" si="167"/>
        <v>0</v>
      </c>
      <c r="P694" s="11"/>
      <c r="Q694" s="11"/>
      <c r="R694" s="11"/>
      <c r="S694" s="11">
        <f t="shared" si="168"/>
        <v>0</v>
      </c>
      <c r="T694" s="11">
        <f t="shared" si="169"/>
        <v>1666.6666666666667</v>
      </c>
      <c r="U694" s="11">
        <f t="shared" si="170"/>
        <v>0</v>
      </c>
      <c r="V694" s="24">
        <f t="shared" si="171"/>
        <v>0</v>
      </c>
      <c r="W694" s="11">
        <f>IF(V694&lt;=40000,0,
IF(V694&lt;=55000,(V694-40000)*10%,
IF(V694&lt;=70000,(V694-55000)*15%+1500,
IF(V694&lt;=200000,(V694-70000)*20%+1500+2250,
IF(V694&lt;=400000,(V694-200000)*22.5%+1500+2250+26000,
IF(V694&lt;=600000,(V694-400000)*25%+1500+2250+26000+45000,
IF(AND(V694&gt;600000,V694&lt;=1200000),(V694-400000)*25%+1500+2250+26000+45000
+IFERROR(LOOKUP(V694,{600001;700001;800001;900001},{4000;6750;10250;15250}),0),IF(V694&gt;1200000,((V694-1200000)*27.5%)+300000,0)
)))))))</f>
        <v>0</v>
      </c>
      <c r="X694" s="12">
        <f t="shared" si="172"/>
        <v>0</v>
      </c>
      <c r="Y694" s="12">
        <f t="shared" si="173"/>
        <v>0</v>
      </c>
      <c r="Z694" s="11"/>
      <c r="AA694" s="13">
        <f t="shared" si="174"/>
        <v>0</v>
      </c>
      <c r="AB694" s="12">
        <f t="shared" si="175"/>
        <v>0</v>
      </c>
      <c r="AC694" s="14">
        <f t="shared" si="163"/>
        <v>0</v>
      </c>
      <c r="AE694" s="19">
        <f t="shared" si="176"/>
        <v>0</v>
      </c>
      <c r="AF694" s="19"/>
      <c r="AG694" s="17"/>
      <c r="AK694" s="7"/>
      <c r="AL694" s="108">
        <f t="shared" si="164"/>
        <v>0</v>
      </c>
      <c r="AM694" s="108">
        <f t="shared" si="165"/>
        <v>0</v>
      </c>
      <c r="AN694" s="113"/>
    </row>
    <row r="695" spans="2:40" x14ac:dyDescent="0.2">
      <c r="B695" s="7"/>
      <c r="C695" s="8"/>
      <c r="D695" s="8"/>
      <c r="E695" s="9"/>
      <c r="F695" s="6"/>
      <c r="G695" s="8"/>
      <c r="H695" s="32"/>
      <c r="I695" s="10" t="str">
        <f t="shared" si="162"/>
        <v>21</v>
      </c>
      <c r="J695" s="11">
        <v>1</v>
      </c>
      <c r="K695" s="11"/>
      <c r="L695" s="11"/>
      <c r="M695" s="11">
        <f t="shared" si="166"/>
        <v>0</v>
      </c>
      <c r="N695" s="11"/>
      <c r="O695" s="11">
        <f t="shared" si="167"/>
        <v>0</v>
      </c>
      <c r="P695" s="11"/>
      <c r="Q695" s="11"/>
      <c r="R695" s="11"/>
      <c r="S695" s="11">
        <f t="shared" si="168"/>
        <v>0</v>
      </c>
      <c r="T695" s="11">
        <f t="shared" si="169"/>
        <v>1666.6666666666667</v>
      </c>
      <c r="U695" s="11">
        <f t="shared" si="170"/>
        <v>0</v>
      </c>
      <c r="V695" s="24">
        <f t="shared" si="171"/>
        <v>0</v>
      </c>
      <c r="W695" s="11">
        <f>IF(V695&lt;=40000,0,
IF(V695&lt;=55000,(V695-40000)*10%,
IF(V695&lt;=70000,(V695-55000)*15%+1500,
IF(V695&lt;=200000,(V695-70000)*20%+1500+2250,
IF(V695&lt;=400000,(V695-200000)*22.5%+1500+2250+26000,
IF(V695&lt;=600000,(V695-400000)*25%+1500+2250+26000+45000,
IF(AND(V695&gt;600000,V695&lt;=1200000),(V695-400000)*25%+1500+2250+26000+45000
+IFERROR(LOOKUP(V695,{600001;700001;800001;900001},{4000;6750;10250;15250}),0),IF(V695&gt;1200000,((V695-1200000)*27.5%)+300000,0)
)))))))</f>
        <v>0</v>
      </c>
      <c r="X695" s="12">
        <f t="shared" si="172"/>
        <v>0</v>
      </c>
      <c r="Y695" s="12">
        <f t="shared" si="173"/>
        <v>0</v>
      </c>
      <c r="Z695" s="11"/>
      <c r="AA695" s="13">
        <f t="shared" si="174"/>
        <v>0</v>
      </c>
      <c r="AB695" s="12">
        <f t="shared" si="175"/>
        <v>0</v>
      </c>
      <c r="AC695" s="14">
        <f t="shared" si="163"/>
        <v>0</v>
      </c>
      <c r="AE695" s="19">
        <f t="shared" si="176"/>
        <v>0</v>
      </c>
      <c r="AF695" s="19"/>
      <c r="AG695" s="17"/>
      <c r="AK695" s="7"/>
      <c r="AL695" s="108">
        <f t="shared" si="164"/>
        <v>0</v>
      </c>
      <c r="AM695" s="108">
        <f t="shared" si="165"/>
        <v>0</v>
      </c>
      <c r="AN695" s="113"/>
    </row>
    <row r="696" spans="2:40" x14ac:dyDescent="0.2">
      <c r="B696" s="7"/>
      <c r="C696" s="8"/>
      <c r="D696" s="8"/>
      <c r="E696" s="9"/>
      <c r="F696" s="6"/>
      <c r="G696" s="8"/>
      <c r="H696" s="32"/>
      <c r="I696" s="10" t="str">
        <f t="shared" si="162"/>
        <v>21</v>
      </c>
      <c r="J696" s="11">
        <v>1</v>
      </c>
      <c r="K696" s="11"/>
      <c r="L696" s="11"/>
      <c r="M696" s="11">
        <f t="shared" si="166"/>
        <v>0</v>
      </c>
      <c r="N696" s="11"/>
      <c r="O696" s="11">
        <f t="shared" si="167"/>
        <v>0</v>
      </c>
      <c r="P696" s="11"/>
      <c r="Q696" s="11"/>
      <c r="R696" s="11"/>
      <c r="S696" s="11">
        <f t="shared" si="168"/>
        <v>0</v>
      </c>
      <c r="T696" s="11">
        <f t="shared" si="169"/>
        <v>1666.6666666666667</v>
      </c>
      <c r="U696" s="11">
        <f t="shared" si="170"/>
        <v>0</v>
      </c>
      <c r="V696" s="24">
        <f t="shared" si="171"/>
        <v>0</v>
      </c>
      <c r="W696" s="11">
        <f>IF(V696&lt;=40000,0,
IF(V696&lt;=55000,(V696-40000)*10%,
IF(V696&lt;=70000,(V696-55000)*15%+1500,
IF(V696&lt;=200000,(V696-70000)*20%+1500+2250,
IF(V696&lt;=400000,(V696-200000)*22.5%+1500+2250+26000,
IF(V696&lt;=600000,(V696-400000)*25%+1500+2250+26000+45000,
IF(AND(V696&gt;600000,V696&lt;=1200000),(V696-400000)*25%+1500+2250+26000+45000
+IFERROR(LOOKUP(V696,{600001;700001;800001;900001},{4000;6750;10250;15250}),0),IF(V696&gt;1200000,((V696-1200000)*27.5%)+300000,0)
)))))))</f>
        <v>0</v>
      </c>
      <c r="X696" s="12">
        <f t="shared" si="172"/>
        <v>0</v>
      </c>
      <c r="Y696" s="12">
        <f t="shared" si="173"/>
        <v>0</v>
      </c>
      <c r="Z696" s="11"/>
      <c r="AA696" s="13">
        <f t="shared" si="174"/>
        <v>0</v>
      </c>
      <c r="AB696" s="12">
        <f t="shared" si="175"/>
        <v>0</v>
      </c>
      <c r="AC696" s="14">
        <f t="shared" si="163"/>
        <v>0</v>
      </c>
      <c r="AE696" s="19">
        <f t="shared" si="176"/>
        <v>0</v>
      </c>
      <c r="AF696" s="19"/>
      <c r="AG696" s="17"/>
      <c r="AK696" s="7"/>
      <c r="AL696" s="108">
        <f t="shared" si="164"/>
        <v>0</v>
      </c>
      <c r="AM696" s="108">
        <f t="shared" si="165"/>
        <v>0</v>
      </c>
      <c r="AN696" s="113"/>
    </row>
    <row r="697" spans="2:40" x14ac:dyDescent="0.2">
      <c r="B697" s="7"/>
      <c r="C697" s="8"/>
      <c r="D697" s="8"/>
      <c r="E697" s="9"/>
      <c r="F697" s="6"/>
      <c r="G697" s="8"/>
      <c r="H697" s="32"/>
      <c r="I697" s="10" t="str">
        <f t="shared" si="162"/>
        <v>21</v>
      </c>
      <c r="J697" s="11">
        <v>1</v>
      </c>
      <c r="K697" s="11"/>
      <c r="L697" s="11"/>
      <c r="M697" s="11">
        <f t="shared" si="166"/>
        <v>0</v>
      </c>
      <c r="N697" s="11"/>
      <c r="O697" s="11">
        <f t="shared" si="167"/>
        <v>0</v>
      </c>
      <c r="P697" s="11"/>
      <c r="Q697" s="11"/>
      <c r="R697" s="11"/>
      <c r="S697" s="11">
        <f t="shared" si="168"/>
        <v>0</v>
      </c>
      <c r="T697" s="11">
        <f t="shared" si="169"/>
        <v>1666.6666666666667</v>
      </c>
      <c r="U697" s="11">
        <f t="shared" si="170"/>
        <v>0</v>
      </c>
      <c r="V697" s="24">
        <f t="shared" si="171"/>
        <v>0</v>
      </c>
      <c r="W697" s="11">
        <f>IF(V697&lt;=40000,0,
IF(V697&lt;=55000,(V697-40000)*10%,
IF(V697&lt;=70000,(V697-55000)*15%+1500,
IF(V697&lt;=200000,(V697-70000)*20%+1500+2250,
IF(V697&lt;=400000,(V697-200000)*22.5%+1500+2250+26000,
IF(V697&lt;=600000,(V697-400000)*25%+1500+2250+26000+45000,
IF(AND(V697&gt;600000,V697&lt;=1200000),(V697-400000)*25%+1500+2250+26000+45000
+IFERROR(LOOKUP(V697,{600001;700001;800001;900001},{4000;6750;10250;15250}),0),IF(V697&gt;1200000,((V697-1200000)*27.5%)+300000,0)
)))))))</f>
        <v>0</v>
      </c>
      <c r="X697" s="12">
        <f t="shared" si="172"/>
        <v>0</v>
      </c>
      <c r="Y697" s="12">
        <f t="shared" si="173"/>
        <v>0</v>
      </c>
      <c r="Z697" s="11"/>
      <c r="AA697" s="13">
        <f t="shared" si="174"/>
        <v>0</v>
      </c>
      <c r="AB697" s="12">
        <f t="shared" si="175"/>
        <v>0</v>
      </c>
      <c r="AC697" s="14">
        <f t="shared" si="163"/>
        <v>0</v>
      </c>
      <c r="AE697" s="19">
        <f t="shared" si="176"/>
        <v>0</v>
      </c>
      <c r="AF697" s="19"/>
      <c r="AG697" s="17"/>
      <c r="AK697" s="7"/>
      <c r="AL697" s="108">
        <f t="shared" si="164"/>
        <v>0</v>
      </c>
      <c r="AM697" s="108">
        <f t="shared" si="165"/>
        <v>0</v>
      </c>
      <c r="AN697" s="113"/>
    </row>
    <row r="698" spans="2:40" x14ac:dyDescent="0.2">
      <c r="B698" s="7"/>
      <c r="C698" s="8"/>
      <c r="D698" s="8"/>
      <c r="E698" s="9"/>
      <c r="F698" s="6"/>
      <c r="G698" s="8"/>
      <c r="H698" s="32"/>
      <c r="I698" s="10" t="str">
        <f t="shared" si="162"/>
        <v>21</v>
      </c>
      <c r="J698" s="11">
        <v>1</v>
      </c>
      <c r="K698" s="11"/>
      <c r="L698" s="11"/>
      <c r="M698" s="11">
        <f t="shared" si="166"/>
        <v>0</v>
      </c>
      <c r="N698" s="11"/>
      <c r="O698" s="11">
        <f t="shared" si="167"/>
        <v>0</v>
      </c>
      <c r="P698" s="11"/>
      <c r="Q698" s="11"/>
      <c r="R698" s="11"/>
      <c r="S698" s="11">
        <f t="shared" si="168"/>
        <v>0</v>
      </c>
      <c r="T698" s="11">
        <f t="shared" si="169"/>
        <v>1666.6666666666667</v>
      </c>
      <c r="U698" s="11">
        <f t="shared" si="170"/>
        <v>0</v>
      </c>
      <c r="V698" s="24">
        <f t="shared" si="171"/>
        <v>0</v>
      </c>
      <c r="W698" s="11">
        <f>IF(V698&lt;=40000,0,
IF(V698&lt;=55000,(V698-40000)*10%,
IF(V698&lt;=70000,(V698-55000)*15%+1500,
IF(V698&lt;=200000,(V698-70000)*20%+1500+2250,
IF(V698&lt;=400000,(V698-200000)*22.5%+1500+2250+26000,
IF(V698&lt;=600000,(V698-400000)*25%+1500+2250+26000+45000,
IF(AND(V698&gt;600000,V698&lt;=1200000),(V698-400000)*25%+1500+2250+26000+45000
+IFERROR(LOOKUP(V698,{600001;700001;800001;900001},{4000;6750;10250;15250}),0),IF(V698&gt;1200000,((V698-1200000)*27.5%)+300000,0)
)))))))</f>
        <v>0</v>
      </c>
      <c r="X698" s="12">
        <f t="shared" si="172"/>
        <v>0</v>
      </c>
      <c r="Y698" s="12">
        <f t="shared" si="173"/>
        <v>0</v>
      </c>
      <c r="Z698" s="11"/>
      <c r="AA698" s="13">
        <f t="shared" si="174"/>
        <v>0</v>
      </c>
      <c r="AB698" s="12">
        <f t="shared" si="175"/>
        <v>0</v>
      </c>
      <c r="AC698" s="14">
        <f t="shared" si="163"/>
        <v>0</v>
      </c>
      <c r="AE698" s="19">
        <f t="shared" si="176"/>
        <v>0</v>
      </c>
      <c r="AF698" s="19"/>
      <c r="AG698" s="17"/>
      <c r="AK698" s="7"/>
      <c r="AL698" s="108">
        <f t="shared" si="164"/>
        <v>0</v>
      </c>
      <c r="AM698" s="108">
        <f t="shared" si="165"/>
        <v>0</v>
      </c>
      <c r="AN698" s="113"/>
    </row>
    <row r="699" spans="2:40" x14ac:dyDescent="0.2">
      <c r="B699" s="7"/>
      <c r="C699" s="8"/>
      <c r="D699" s="8"/>
      <c r="E699" s="9"/>
      <c r="F699" s="6"/>
      <c r="G699" s="8"/>
      <c r="H699" s="32"/>
      <c r="I699" s="10" t="str">
        <f t="shared" si="162"/>
        <v>21</v>
      </c>
      <c r="J699" s="11">
        <v>1</v>
      </c>
      <c r="K699" s="11"/>
      <c r="L699" s="11"/>
      <c r="M699" s="11">
        <f t="shared" si="166"/>
        <v>0</v>
      </c>
      <c r="N699" s="11"/>
      <c r="O699" s="11">
        <f t="shared" si="167"/>
        <v>0</v>
      </c>
      <c r="P699" s="11"/>
      <c r="Q699" s="11"/>
      <c r="R699" s="11"/>
      <c r="S699" s="11">
        <f t="shared" si="168"/>
        <v>0</v>
      </c>
      <c r="T699" s="11">
        <f t="shared" si="169"/>
        <v>1666.6666666666667</v>
      </c>
      <c r="U699" s="11">
        <f t="shared" si="170"/>
        <v>0</v>
      </c>
      <c r="V699" s="24">
        <f t="shared" si="171"/>
        <v>0</v>
      </c>
      <c r="W699" s="11">
        <f>IF(V699&lt;=40000,0,
IF(V699&lt;=55000,(V699-40000)*10%,
IF(V699&lt;=70000,(V699-55000)*15%+1500,
IF(V699&lt;=200000,(V699-70000)*20%+1500+2250,
IF(V699&lt;=400000,(V699-200000)*22.5%+1500+2250+26000,
IF(V699&lt;=600000,(V699-400000)*25%+1500+2250+26000+45000,
IF(AND(V699&gt;600000,V699&lt;=1200000),(V699-400000)*25%+1500+2250+26000+45000
+IFERROR(LOOKUP(V699,{600001;700001;800001;900001},{4000;6750;10250;15250}),0),IF(V699&gt;1200000,((V699-1200000)*27.5%)+300000,0)
)))))))</f>
        <v>0</v>
      </c>
      <c r="X699" s="12">
        <f t="shared" si="172"/>
        <v>0</v>
      </c>
      <c r="Y699" s="12">
        <f t="shared" si="173"/>
        <v>0</v>
      </c>
      <c r="Z699" s="11"/>
      <c r="AA699" s="13">
        <f t="shared" si="174"/>
        <v>0</v>
      </c>
      <c r="AB699" s="12">
        <f t="shared" si="175"/>
        <v>0</v>
      </c>
      <c r="AC699" s="14">
        <f t="shared" si="163"/>
        <v>0</v>
      </c>
      <c r="AE699" s="19">
        <f t="shared" si="176"/>
        <v>0</v>
      </c>
      <c r="AF699" s="19"/>
      <c r="AG699" s="17"/>
      <c r="AK699" s="7"/>
      <c r="AL699" s="108">
        <f t="shared" si="164"/>
        <v>0</v>
      </c>
      <c r="AM699" s="108">
        <f t="shared" si="165"/>
        <v>0</v>
      </c>
      <c r="AN699" s="113"/>
    </row>
    <row r="700" spans="2:40" x14ac:dyDescent="0.2">
      <c r="B700" s="7"/>
      <c r="C700" s="8"/>
      <c r="D700" s="8"/>
      <c r="E700" s="9"/>
      <c r="F700" s="6"/>
      <c r="G700" s="8"/>
      <c r="H700" s="32"/>
      <c r="I700" s="10" t="str">
        <f t="shared" si="162"/>
        <v>21</v>
      </c>
      <c r="J700" s="11">
        <v>1</v>
      </c>
      <c r="K700" s="11"/>
      <c r="L700" s="11"/>
      <c r="M700" s="11">
        <f t="shared" si="166"/>
        <v>0</v>
      </c>
      <c r="N700" s="11"/>
      <c r="O700" s="11">
        <f t="shared" si="167"/>
        <v>0</v>
      </c>
      <c r="P700" s="11"/>
      <c r="Q700" s="11"/>
      <c r="R700" s="11"/>
      <c r="S700" s="11">
        <f t="shared" si="168"/>
        <v>0</v>
      </c>
      <c r="T700" s="11">
        <f t="shared" si="169"/>
        <v>1666.6666666666667</v>
      </c>
      <c r="U700" s="11">
        <f t="shared" si="170"/>
        <v>0</v>
      </c>
      <c r="V700" s="24">
        <f t="shared" si="171"/>
        <v>0</v>
      </c>
      <c r="W700" s="11">
        <f>IF(V700&lt;=40000,0,
IF(V700&lt;=55000,(V700-40000)*10%,
IF(V700&lt;=70000,(V700-55000)*15%+1500,
IF(V700&lt;=200000,(V700-70000)*20%+1500+2250,
IF(V700&lt;=400000,(V700-200000)*22.5%+1500+2250+26000,
IF(V700&lt;=600000,(V700-400000)*25%+1500+2250+26000+45000,
IF(AND(V700&gt;600000,V700&lt;=1200000),(V700-400000)*25%+1500+2250+26000+45000
+IFERROR(LOOKUP(V700,{600001;700001;800001;900001},{4000;6750;10250;15250}),0),IF(V700&gt;1200000,((V700-1200000)*27.5%)+300000,0)
)))))))</f>
        <v>0</v>
      </c>
      <c r="X700" s="12">
        <f t="shared" si="172"/>
        <v>0</v>
      </c>
      <c r="Y700" s="12">
        <f t="shared" si="173"/>
        <v>0</v>
      </c>
      <c r="Z700" s="11"/>
      <c r="AA700" s="13">
        <f t="shared" si="174"/>
        <v>0</v>
      </c>
      <c r="AB700" s="12">
        <f t="shared" si="175"/>
        <v>0</v>
      </c>
      <c r="AC700" s="14">
        <f t="shared" si="163"/>
        <v>0</v>
      </c>
      <c r="AE700" s="19">
        <f t="shared" si="176"/>
        <v>0</v>
      </c>
      <c r="AF700" s="19"/>
      <c r="AG700" s="17"/>
      <c r="AK700" s="7"/>
      <c r="AL700" s="108">
        <f t="shared" si="164"/>
        <v>0</v>
      </c>
      <c r="AM700" s="108">
        <f t="shared" si="165"/>
        <v>0</v>
      </c>
      <c r="AN700" s="113"/>
    </row>
    <row r="701" spans="2:40" x14ac:dyDescent="0.2">
      <c r="B701" s="7"/>
      <c r="C701" s="8"/>
      <c r="D701" s="8"/>
      <c r="E701" s="9"/>
      <c r="F701" s="6"/>
      <c r="G701" s="8"/>
      <c r="H701" s="32"/>
      <c r="I701" s="10" t="str">
        <f t="shared" si="162"/>
        <v>21</v>
      </c>
      <c r="J701" s="11">
        <v>1</v>
      </c>
      <c r="K701" s="11"/>
      <c r="L701" s="11"/>
      <c r="M701" s="11">
        <f t="shared" si="166"/>
        <v>0</v>
      </c>
      <c r="N701" s="11"/>
      <c r="O701" s="11">
        <f t="shared" si="167"/>
        <v>0</v>
      </c>
      <c r="P701" s="11"/>
      <c r="Q701" s="11"/>
      <c r="R701" s="11"/>
      <c r="S701" s="11">
        <f t="shared" si="168"/>
        <v>0</v>
      </c>
      <c r="T701" s="11">
        <f t="shared" si="169"/>
        <v>1666.6666666666667</v>
      </c>
      <c r="U701" s="11">
        <f t="shared" si="170"/>
        <v>0</v>
      </c>
      <c r="V701" s="24">
        <f t="shared" si="171"/>
        <v>0</v>
      </c>
      <c r="W701" s="11">
        <f>IF(V701&lt;=40000,0,
IF(V701&lt;=55000,(V701-40000)*10%,
IF(V701&lt;=70000,(V701-55000)*15%+1500,
IF(V701&lt;=200000,(V701-70000)*20%+1500+2250,
IF(V701&lt;=400000,(V701-200000)*22.5%+1500+2250+26000,
IF(V701&lt;=600000,(V701-400000)*25%+1500+2250+26000+45000,
IF(AND(V701&gt;600000,V701&lt;=1200000),(V701-400000)*25%+1500+2250+26000+45000
+IFERROR(LOOKUP(V701,{600001;700001;800001;900001},{4000;6750;10250;15250}),0),IF(V701&gt;1200000,((V701-1200000)*27.5%)+300000,0)
)))))))</f>
        <v>0</v>
      </c>
      <c r="X701" s="12">
        <f t="shared" si="172"/>
        <v>0</v>
      </c>
      <c r="Y701" s="12">
        <f t="shared" si="173"/>
        <v>0</v>
      </c>
      <c r="Z701" s="11"/>
      <c r="AA701" s="13">
        <f t="shared" si="174"/>
        <v>0</v>
      </c>
      <c r="AB701" s="12">
        <f t="shared" si="175"/>
        <v>0</v>
      </c>
      <c r="AC701" s="14">
        <f t="shared" si="163"/>
        <v>0</v>
      </c>
      <c r="AE701" s="19">
        <f t="shared" si="176"/>
        <v>0</v>
      </c>
      <c r="AF701" s="19"/>
      <c r="AG701" s="17"/>
      <c r="AK701" s="7"/>
      <c r="AL701" s="108">
        <f t="shared" si="164"/>
        <v>0</v>
      </c>
      <c r="AM701" s="108">
        <f t="shared" si="165"/>
        <v>0</v>
      </c>
      <c r="AN701" s="113"/>
    </row>
    <row r="702" spans="2:40" x14ac:dyDescent="0.2">
      <c r="B702" s="7"/>
      <c r="C702" s="8"/>
      <c r="D702" s="8"/>
      <c r="E702" s="9"/>
      <c r="F702" s="6"/>
      <c r="G702" s="8"/>
      <c r="H702" s="32"/>
      <c r="I702" s="10" t="str">
        <f t="shared" si="162"/>
        <v>21</v>
      </c>
      <c r="J702" s="11">
        <v>1</v>
      </c>
      <c r="K702" s="11"/>
      <c r="L702" s="11"/>
      <c r="M702" s="11">
        <f t="shared" si="166"/>
        <v>0</v>
      </c>
      <c r="N702" s="11"/>
      <c r="O702" s="11">
        <f t="shared" si="167"/>
        <v>0</v>
      </c>
      <c r="P702" s="11"/>
      <c r="Q702" s="11"/>
      <c r="R702" s="11"/>
      <c r="S702" s="11">
        <f t="shared" si="168"/>
        <v>0</v>
      </c>
      <c r="T702" s="11">
        <f t="shared" si="169"/>
        <v>1666.6666666666667</v>
      </c>
      <c r="U702" s="11">
        <f t="shared" si="170"/>
        <v>0</v>
      </c>
      <c r="V702" s="24">
        <f t="shared" si="171"/>
        <v>0</v>
      </c>
      <c r="W702" s="11">
        <f>IF(V702&lt;=40000,0,
IF(V702&lt;=55000,(V702-40000)*10%,
IF(V702&lt;=70000,(V702-55000)*15%+1500,
IF(V702&lt;=200000,(V702-70000)*20%+1500+2250,
IF(V702&lt;=400000,(V702-200000)*22.5%+1500+2250+26000,
IF(V702&lt;=600000,(V702-400000)*25%+1500+2250+26000+45000,
IF(AND(V702&gt;600000,V702&lt;=1200000),(V702-400000)*25%+1500+2250+26000+45000
+IFERROR(LOOKUP(V702,{600001;700001;800001;900001},{4000;6750;10250;15250}),0),IF(V702&gt;1200000,((V702-1200000)*27.5%)+300000,0)
)))))))</f>
        <v>0</v>
      </c>
      <c r="X702" s="12">
        <f t="shared" si="172"/>
        <v>0</v>
      </c>
      <c r="Y702" s="12">
        <f t="shared" si="173"/>
        <v>0</v>
      </c>
      <c r="Z702" s="11"/>
      <c r="AA702" s="13">
        <f t="shared" si="174"/>
        <v>0</v>
      </c>
      <c r="AB702" s="12">
        <f t="shared" si="175"/>
        <v>0</v>
      </c>
      <c r="AC702" s="14">
        <f t="shared" si="163"/>
        <v>0</v>
      </c>
      <c r="AE702" s="19">
        <f t="shared" si="176"/>
        <v>0</v>
      </c>
      <c r="AF702" s="19"/>
      <c r="AG702" s="17"/>
      <c r="AK702" s="7"/>
      <c r="AL702" s="108">
        <f t="shared" si="164"/>
        <v>0</v>
      </c>
      <c r="AM702" s="108">
        <f t="shared" si="165"/>
        <v>0</v>
      </c>
      <c r="AN702" s="113"/>
    </row>
    <row r="703" spans="2:40" x14ac:dyDescent="0.2">
      <c r="B703" s="7"/>
      <c r="C703" s="8"/>
      <c r="D703" s="8"/>
      <c r="E703" s="9"/>
      <c r="F703" s="6"/>
      <c r="G703" s="8"/>
      <c r="H703" s="32"/>
      <c r="I703" s="10" t="str">
        <f t="shared" si="162"/>
        <v>21</v>
      </c>
      <c r="J703" s="11">
        <v>1</v>
      </c>
      <c r="K703" s="11"/>
      <c r="L703" s="11"/>
      <c r="M703" s="11">
        <f t="shared" si="166"/>
        <v>0</v>
      </c>
      <c r="N703" s="11"/>
      <c r="O703" s="11">
        <f t="shared" si="167"/>
        <v>0</v>
      </c>
      <c r="P703" s="11"/>
      <c r="Q703" s="11"/>
      <c r="R703" s="11"/>
      <c r="S703" s="11">
        <f t="shared" si="168"/>
        <v>0</v>
      </c>
      <c r="T703" s="11">
        <f t="shared" si="169"/>
        <v>1666.6666666666667</v>
      </c>
      <c r="U703" s="11">
        <f t="shared" si="170"/>
        <v>0</v>
      </c>
      <c r="V703" s="24">
        <f t="shared" si="171"/>
        <v>0</v>
      </c>
      <c r="W703" s="11">
        <f>IF(V703&lt;=40000,0,
IF(V703&lt;=55000,(V703-40000)*10%,
IF(V703&lt;=70000,(V703-55000)*15%+1500,
IF(V703&lt;=200000,(V703-70000)*20%+1500+2250,
IF(V703&lt;=400000,(V703-200000)*22.5%+1500+2250+26000,
IF(V703&lt;=600000,(V703-400000)*25%+1500+2250+26000+45000,
IF(AND(V703&gt;600000,V703&lt;=1200000),(V703-400000)*25%+1500+2250+26000+45000
+IFERROR(LOOKUP(V703,{600001;700001;800001;900001},{4000;6750;10250;15250}),0),IF(V703&gt;1200000,((V703-1200000)*27.5%)+300000,0)
)))))))</f>
        <v>0</v>
      </c>
      <c r="X703" s="12">
        <f t="shared" si="172"/>
        <v>0</v>
      </c>
      <c r="Y703" s="12">
        <f t="shared" si="173"/>
        <v>0</v>
      </c>
      <c r="Z703" s="11"/>
      <c r="AA703" s="13">
        <f t="shared" si="174"/>
        <v>0</v>
      </c>
      <c r="AB703" s="12">
        <f t="shared" si="175"/>
        <v>0</v>
      </c>
      <c r="AC703" s="14">
        <f t="shared" si="163"/>
        <v>0</v>
      </c>
      <c r="AE703" s="19">
        <f t="shared" si="176"/>
        <v>0</v>
      </c>
      <c r="AF703" s="19"/>
      <c r="AG703" s="17"/>
      <c r="AK703" s="7"/>
      <c r="AL703" s="108">
        <f t="shared" si="164"/>
        <v>0</v>
      </c>
      <c r="AM703" s="108">
        <f t="shared" si="165"/>
        <v>0</v>
      </c>
      <c r="AN703" s="113"/>
    </row>
    <row r="704" spans="2:40" x14ac:dyDescent="0.2">
      <c r="B704" s="7"/>
      <c r="C704" s="8"/>
      <c r="D704" s="8"/>
      <c r="E704" s="9"/>
      <c r="F704" s="6"/>
      <c r="G704" s="8"/>
      <c r="H704" s="32"/>
      <c r="I704" s="10" t="str">
        <f t="shared" si="162"/>
        <v>21</v>
      </c>
      <c r="J704" s="11">
        <v>1</v>
      </c>
      <c r="K704" s="11"/>
      <c r="L704" s="11"/>
      <c r="M704" s="11">
        <f t="shared" si="166"/>
        <v>0</v>
      </c>
      <c r="N704" s="11"/>
      <c r="O704" s="11">
        <f t="shared" si="167"/>
        <v>0</v>
      </c>
      <c r="P704" s="11"/>
      <c r="Q704" s="11"/>
      <c r="R704" s="11"/>
      <c r="S704" s="11">
        <f t="shared" si="168"/>
        <v>0</v>
      </c>
      <c r="T704" s="11">
        <f t="shared" si="169"/>
        <v>1666.6666666666667</v>
      </c>
      <c r="U704" s="11">
        <f t="shared" si="170"/>
        <v>0</v>
      </c>
      <c r="V704" s="24">
        <f t="shared" si="171"/>
        <v>0</v>
      </c>
      <c r="W704" s="11">
        <f>IF(V704&lt;=40000,0,
IF(V704&lt;=55000,(V704-40000)*10%,
IF(V704&lt;=70000,(V704-55000)*15%+1500,
IF(V704&lt;=200000,(V704-70000)*20%+1500+2250,
IF(V704&lt;=400000,(V704-200000)*22.5%+1500+2250+26000,
IF(V704&lt;=600000,(V704-400000)*25%+1500+2250+26000+45000,
IF(AND(V704&gt;600000,V704&lt;=1200000),(V704-400000)*25%+1500+2250+26000+45000
+IFERROR(LOOKUP(V704,{600001;700001;800001;900001},{4000;6750;10250;15250}),0),IF(V704&gt;1200000,((V704-1200000)*27.5%)+300000,0)
)))))))</f>
        <v>0</v>
      </c>
      <c r="X704" s="12">
        <f t="shared" si="172"/>
        <v>0</v>
      </c>
      <c r="Y704" s="12">
        <f t="shared" si="173"/>
        <v>0</v>
      </c>
      <c r="Z704" s="11"/>
      <c r="AA704" s="13">
        <f t="shared" si="174"/>
        <v>0</v>
      </c>
      <c r="AB704" s="12">
        <f t="shared" si="175"/>
        <v>0</v>
      </c>
      <c r="AC704" s="14">
        <f t="shared" si="163"/>
        <v>0</v>
      </c>
      <c r="AE704" s="19">
        <f t="shared" si="176"/>
        <v>0</v>
      </c>
      <c r="AF704" s="19"/>
      <c r="AG704" s="17"/>
      <c r="AK704" s="7"/>
      <c r="AL704" s="108">
        <f t="shared" si="164"/>
        <v>0</v>
      </c>
      <c r="AM704" s="108">
        <f t="shared" si="165"/>
        <v>0</v>
      </c>
      <c r="AN704" s="113"/>
    </row>
    <row r="705" spans="2:40" x14ac:dyDescent="0.2">
      <c r="B705" s="7"/>
      <c r="C705" s="8"/>
      <c r="D705" s="8"/>
      <c r="E705" s="9"/>
      <c r="F705" s="6"/>
      <c r="G705" s="8"/>
      <c r="H705" s="32"/>
      <c r="I705" s="10" t="str">
        <f t="shared" si="162"/>
        <v>21</v>
      </c>
      <c r="J705" s="11">
        <v>1</v>
      </c>
      <c r="K705" s="11"/>
      <c r="L705" s="11"/>
      <c r="M705" s="11">
        <f t="shared" si="166"/>
        <v>0</v>
      </c>
      <c r="N705" s="11"/>
      <c r="O705" s="11">
        <f t="shared" si="167"/>
        <v>0</v>
      </c>
      <c r="P705" s="11"/>
      <c r="Q705" s="11"/>
      <c r="R705" s="11"/>
      <c r="S705" s="11">
        <f t="shared" si="168"/>
        <v>0</v>
      </c>
      <c r="T705" s="11">
        <f t="shared" si="169"/>
        <v>1666.6666666666667</v>
      </c>
      <c r="U705" s="11">
        <f t="shared" si="170"/>
        <v>0</v>
      </c>
      <c r="V705" s="24">
        <f t="shared" si="171"/>
        <v>0</v>
      </c>
      <c r="W705" s="11">
        <f>IF(V705&lt;=40000,0,
IF(V705&lt;=55000,(V705-40000)*10%,
IF(V705&lt;=70000,(V705-55000)*15%+1500,
IF(V705&lt;=200000,(V705-70000)*20%+1500+2250,
IF(V705&lt;=400000,(V705-200000)*22.5%+1500+2250+26000,
IF(V705&lt;=600000,(V705-400000)*25%+1500+2250+26000+45000,
IF(AND(V705&gt;600000,V705&lt;=1200000),(V705-400000)*25%+1500+2250+26000+45000
+IFERROR(LOOKUP(V705,{600001;700001;800001;900001},{4000;6750;10250;15250}),0),IF(V705&gt;1200000,((V705-1200000)*27.5%)+300000,0)
)))))))</f>
        <v>0</v>
      </c>
      <c r="X705" s="12">
        <f t="shared" si="172"/>
        <v>0</v>
      </c>
      <c r="Y705" s="12">
        <f t="shared" si="173"/>
        <v>0</v>
      </c>
      <c r="Z705" s="11"/>
      <c r="AA705" s="13">
        <f t="shared" si="174"/>
        <v>0</v>
      </c>
      <c r="AB705" s="12">
        <f t="shared" si="175"/>
        <v>0</v>
      </c>
      <c r="AC705" s="14">
        <f t="shared" si="163"/>
        <v>0</v>
      </c>
      <c r="AE705" s="19">
        <f t="shared" si="176"/>
        <v>0</v>
      </c>
      <c r="AF705" s="19"/>
      <c r="AG705" s="17"/>
      <c r="AK705" s="7"/>
      <c r="AL705" s="108">
        <f t="shared" si="164"/>
        <v>0</v>
      </c>
      <c r="AM705" s="108">
        <f t="shared" si="165"/>
        <v>0</v>
      </c>
      <c r="AN705" s="113"/>
    </row>
    <row r="706" spans="2:40" x14ac:dyDescent="0.2">
      <c r="B706" s="7"/>
      <c r="C706" s="8"/>
      <c r="D706" s="8"/>
      <c r="E706" s="9"/>
      <c r="F706" s="6"/>
      <c r="G706" s="8"/>
      <c r="H706" s="32"/>
      <c r="I706" s="10" t="str">
        <f t="shared" si="162"/>
        <v>21</v>
      </c>
      <c r="J706" s="11">
        <v>1</v>
      </c>
      <c r="K706" s="11"/>
      <c r="L706" s="11"/>
      <c r="M706" s="11">
        <f t="shared" si="166"/>
        <v>0</v>
      </c>
      <c r="N706" s="11"/>
      <c r="O706" s="11">
        <f t="shared" si="167"/>
        <v>0</v>
      </c>
      <c r="P706" s="11"/>
      <c r="Q706" s="11"/>
      <c r="R706" s="11"/>
      <c r="S706" s="11">
        <f t="shared" si="168"/>
        <v>0</v>
      </c>
      <c r="T706" s="11">
        <f t="shared" si="169"/>
        <v>1666.6666666666667</v>
      </c>
      <c r="U706" s="11">
        <f t="shared" si="170"/>
        <v>0</v>
      </c>
      <c r="V706" s="24">
        <f t="shared" si="171"/>
        <v>0</v>
      </c>
      <c r="W706" s="11">
        <f>IF(V706&lt;=40000,0,
IF(V706&lt;=55000,(V706-40000)*10%,
IF(V706&lt;=70000,(V706-55000)*15%+1500,
IF(V706&lt;=200000,(V706-70000)*20%+1500+2250,
IF(V706&lt;=400000,(V706-200000)*22.5%+1500+2250+26000,
IF(V706&lt;=600000,(V706-400000)*25%+1500+2250+26000+45000,
IF(AND(V706&gt;600000,V706&lt;=1200000),(V706-400000)*25%+1500+2250+26000+45000
+IFERROR(LOOKUP(V706,{600001;700001;800001;900001},{4000;6750;10250;15250}),0),IF(V706&gt;1200000,((V706-1200000)*27.5%)+300000,0)
)))))))</f>
        <v>0</v>
      </c>
      <c r="X706" s="12">
        <f t="shared" si="172"/>
        <v>0</v>
      </c>
      <c r="Y706" s="12">
        <f t="shared" si="173"/>
        <v>0</v>
      </c>
      <c r="Z706" s="11"/>
      <c r="AA706" s="13">
        <f t="shared" si="174"/>
        <v>0</v>
      </c>
      <c r="AB706" s="12">
        <f t="shared" si="175"/>
        <v>0</v>
      </c>
      <c r="AC706" s="14">
        <f t="shared" si="163"/>
        <v>0</v>
      </c>
      <c r="AE706" s="19">
        <f t="shared" si="176"/>
        <v>0</v>
      </c>
      <c r="AF706" s="19"/>
      <c r="AG706" s="17"/>
      <c r="AK706" s="7"/>
      <c r="AL706" s="108">
        <f t="shared" si="164"/>
        <v>0</v>
      </c>
      <c r="AM706" s="108">
        <f t="shared" si="165"/>
        <v>0</v>
      </c>
      <c r="AN706" s="113"/>
    </row>
    <row r="707" spans="2:40" x14ac:dyDescent="0.2">
      <c r="B707" s="7"/>
      <c r="C707" s="8"/>
      <c r="D707" s="8"/>
      <c r="E707" s="9"/>
      <c r="F707" s="6"/>
      <c r="G707" s="8"/>
      <c r="H707" s="32"/>
      <c r="I707" s="10" t="str">
        <f t="shared" si="162"/>
        <v>21</v>
      </c>
      <c r="J707" s="11">
        <v>1</v>
      </c>
      <c r="K707" s="11"/>
      <c r="L707" s="11"/>
      <c r="M707" s="11">
        <f t="shared" si="166"/>
        <v>0</v>
      </c>
      <c r="N707" s="11"/>
      <c r="O707" s="11">
        <f t="shared" si="167"/>
        <v>0</v>
      </c>
      <c r="P707" s="11"/>
      <c r="Q707" s="11"/>
      <c r="R707" s="11"/>
      <c r="S707" s="11">
        <f t="shared" si="168"/>
        <v>0</v>
      </c>
      <c r="T707" s="11">
        <f t="shared" si="169"/>
        <v>1666.6666666666667</v>
      </c>
      <c r="U707" s="11">
        <f t="shared" si="170"/>
        <v>0</v>
      </c>
      <c r="V707" s="24">
        <f t="shared" si="171"/>
        <v>0</v>
      </c>
      <c r="W707" s="11">
        <f>IF(V707&lt;=40000,0,
IF(V707&lt;=55000,(V707-40000)*10%,
IF(V707&lt;=70000,(V707-55000)*15%+1500,
IF(V707&lt;=200000,(V707-70000)*20%+1500+2250,
IF(V707&lt;=400000,(V707-200000)*22.5%+1500+2250+26000,
IF(V707&lt;=600000,(V707-400000)*25%+1500+2250+26000+45000,
IF(AND(V707&gt;600000,V707&lt;=1200000),(V707-400000)*25%+1500+2250+26000+45000
+IFERROR(LOOKUP(V707,{600001;700001;800001;900001},{4000;6750;10250;15250}),0),IF(V707&gt;1200000,((V707-1200000)*27.5%)+300000,0)
)))))))</f>
        <v>0</v>
      </c>
      <c r="X707" s="12">
        <f t="shared" si="172"/>
        <v>0</v>
      </c>
      <c r="Y707" s="12">
        <f t="shared" si="173"/>
        <v>0</v>
      </c>
      <c r="Z707" s="11"/>
      <c r="AA707" s="13">
        <f t="shared" si="174"/>
        <v>0</v>
      </c>
      <c r="AB707" s="12">
        <f t="shared" si="175"/>
        <v>0</v>
      </c>
      <c r="AC707" s="14">
        <f t="shared" si="163"/>
        <v>0</v>
      </c>
      <c r="AE707" s="19">
        <f t="shared" si="176"/>
        <v>0</v>
      </c>
      <c r="AF707" s="19"/>
      <c r="AG707" s="17"/>
      <c r="AK707" s="7"/>
      <c r="AL707" s="108">
        <f t="shared" si="164"/>
        <v>0</v>
      </c>
      <c r="AM707" s="108">
        <f t="shared" si="165"/>
        <v>0</v>
      </c>
      <c r="AN707" s="113"/>
    </row>
    <row r="708" spans="2:40" x14ac:dyDescent="0.2">
      <c r="B708" s="7"/>
      <c r="C708" s="8"/>
      <c r="D708" s="8"/>
      <c r="E708" s="9"/>
      <c r="F708" s="6"/>
      <c r="G708" s="8"/>
      <c r="H708" s="32"/>
      <c r="I708" s="10" t="str">
        <f t="shared" si="162"/>
        <v>21</v>
      </c>
      <c r="J708" s="11">
        <v>1</v>
      </c>
      <c r="K708" s="11"/>
      <c r="L708" s="11"/>
      <c r="M708" s="11">
        <f t="shared" si="166"/>
        <v>0</v>
      </c>
      <c r="N708" s="11"/>
      <c r="O708" s="11">
        <f t="shared" si="167"/>
        <v>0</v>
      </c>
      <c r="P708" s="11"/>
      <c r="Q708" s="11"/>
      <c r="R708" s="11"/>
      <c r="S708" s="11">
        <f t="shared" si="168"/>
        <v>0</v>
      </c>
      <c r="T708" s="11">
        <f t="shared" si="169"/>
        <v>1666.6666666666667</v>
      </c>
      <c r="U708" s="11">
        <f t="shared" si="170"/>
        <v>0</v>
      </c>
      <c r="V708" s="24">
        <f t="shared" si="171"/>
        <v>0</v>
      </c>
      <c r="W708" s="11">
        <f>IF(V708&lt;=40000,0,
IF(V708&lt;=55000,(V708-40000)*10%,
IF(V708&lt;=70000,(V708-55000)*15%+1500,
IF(V708&lt;=200000,(V708-70000)*20%+1500+2250,
IF(V708&lt;=400000,(V708-200000)*22.5%+1500+2250+26000,
IF(V708&lt;=600000,(V708-400000)*25%+1500+2250+26000+45000,
IF(AND(V708&gt;600000,V708&lt;=1200000),(V708-400000)*25%+1500+2250+26000+45000
+IFERROR(LOOKUP(V708,{600001;700001;800001;900001},{4000;6750;10250;15250}),0),IF(V708&gt;1200000,((V708-1200000)*27.5%)+300000,0)
)))))))</f>
        <v>0</v>
      </c>
      <c r="X708" s="12">
        <f t="shared" si="172"/>
        <v>0</v>
      </c>
      <c r="Y708" s="12">
        <f t="shared" si="173"/>
        <v>0</v>
      </c>
      <c r="Z708" s="11"/>
      <c r="AA708" s="13">
        <f t="shared" si="174"/>
        <v>0</v>
      </c>
      <c r="AB708" s="12">
        <f t="shared" si="175"/>
        <v>0</v>
      </c>
      <c r="AC708" s="14">
        <f t="shared" si="163"/>
        <v>0</v>
      </c>
      <c r="AE708" s="19">
        <f t="shared" si="176"/>
        <v>0</v>
      </c>
      <c r="AF708" s="19"/>
      <c r="AG708" s="17"/>
      <c r="AK708" s="7"/>
      <c r="AL708" s="108">
        <f t="shared" si="164"/>
        <v>0</v>
      </c>
      <c r="AM708" s="108">
        <f t="shared" si="165"/>
        <v>0</v>
      </c>
      <c r="AN708" s="113"/>
    </row>
    <row r="709" spans="2:40" x14ac:dyDescent="0.2">
      <c r="B709" s="7"/>
      <c r="C709" s="8"/>
      <c r="D709" s="8"/>
      <c r="E709" s="9"/>
      <c r="F709" s="6"/>
      <c r="G709" s="8"/>
      <c r="H709" s="32"/>
      <c r="I709" s="10" t="str">
        <f t="shared" ref="I709:I772" si="177">IF(G709&gt;0,"1","21")</f>
        <v>21</v>
      </c>
      <c r="J709" s="11">
        <v>1</v>
      </c>
      <c r="K709" s="11"/>
      <c r="L709" s="11"/>
      <c r="M709" s="11">
        <f t="shared" si="166"/>
        <v>0</v>
      </c>
      <c r="N709" s="11"/>
      <c r="O709" s="11">
        <f t="shared" si="167"/>
        <v>0</v>
      </c>
      <c r="P709" s="11"/>
      <c r="Q709" s="11"/>
      <c r="R709" s="11"/>
      <c r="S709" s="11">
        <f t="shared" si="168"/>
        <v>0</v>
      </c>
      <c r="T709" s="11">
        <f t="shared" si="169"/>
        <v>1666.6666666666667</v>
      </c>
      <c r="U709" s="11">
        <f t="shared" si="170"/>
        <v>0</v>
      </c>
      <c r="V709" s="24">
        <f t="shared" si="171"/>
        <v>0</v>
      </c>
      <c r="W709" s="11">
        <f>IF(V709&lt;=40000,0,
IF(V709&lt;=55000,(V709-40000)*10%,
IF(V709&lt;=70000,(V709-55000)*15%+1500,
IF(V709&lt;=200000,(V709-70000)*20%+1500+2250,
IF(V709&lt;=400000,(V709-200000)*22.5%+1500+2250+26000,
IF(V709&lt;=600000,(V709-400000)*25%+1500+2250+26000+45000,
IF(AND(V709&gt;600000,V709&lt;=1200000),(V709-400000)*25%+1500+2250+26000+45000
+IFERROR(LOOKUP(V709,{600001;700001;800001;900001},{4000;6750;10250;15250}),0),IF(V709&gt;1200000,((V709-1200000)*27.5%)+300000,0)
)))))))</f>
        <v>0</v>
      </c>
      <c r="X709" s="12">
        <f t="shared" si="172"/>
        <v>0</v>
      </c>
      <c r="Y709" s="12">
        <f t="shared" si="173"/>
        <v>0</v>
      </c>
      <c r="Z709" s="11"/>
      <c r="AA709" s="13">
        <f t="shared" si="174"/>
        <v>0</v>
      </c>
      <c r="AB709" s="12">
        <f t="shared" si="175"/>
        <v>0</v>
      </c>
      <c r="AC709" s="14">
        <f t="shared" ref="AC709:AC772" si="178">+M709-P709-Y709</f>
        <v>0</v>
      </c>
      <c r="AE709" s="19">
        <f t="shared" si="176"/>
        <v>0</v>
      </c>
      <c r="AF709" s="19"/>
      <c r="AG709" s="17"/>
      <c r="AK709" s="7"/>
      <c r="AL709" s="108">
        <f t="shared" ref="AL709:AL772" si="179">+AK709+AD709</f>
        <v>0</v>
      </c>
      <c r="AM709" s="108">
        <f t="shared" ref="AM709:AM772" si="180">+AL709-AC709</f>
        <v>0</v>
      </c>
      <c r="AN709" s="113"/>
    </row>
    <row r="710" spans="2:40" x14ac:dyDescent="0.2">
      <c r="B710" s="7"/>
      <c r="C710" s="8"/>
      <c r="D710" s="8"/>
      <c r="E710" s="9"/>
      <c r="F710" s="6"/>
      <c r="G710" s="8"/>
      <c r="H710" s="32"/>
      <c r="I710" s="10" t="str">
        <f t="shared" si="177"/>
        <v>21</v>
      </c>
      <c r="J710" s="11">
        <v>1</v>
      </c>
      <c r="K710" s="11"/>
      <c r="L710" s="11"/>
      <c r="M710" s="11">
        <f t="shared" si="166"/>
        <v>0</v>
      </c>
      <c r="N710" s="11"/>
      <c r="O710" s="11">
        <f t="shared" si="167"/>
        <v>0</v>
      </c>
      <c r="P710" s="11"/>
      <c r="Q710" s="11"/>
      <c r="R710" s="11"/>
      <c r="S710" s="11">
        <f t="shared" si="168"/>
        <v>0</v>
      </c>
      <c r="T710" s="11">
        <f t="shared" si="169"/>
        <v>1666.6666666666667</v>
      </c>
      <c r="U710" s="11">
        <f t="shared" si="170"/>
        <v>0</v>
      </c>
      <c r="V710" s="24">
        <f t="shared" si="171"/>
        <v>0</v>
      </c>
      <c r="W710" s="11">
        <f>IF(V710&lt;=40000,0,
IF(V710&lt;=55000,(V710-40000)*10%,
IF(V710&lt;=70000,(V710-55000)*15%+1500,
IF(V710&lt;=200000,(V710-70000)*20%+1500+2250,
IF(V710&lt;=400000,(V710-200000)*22.5%+1500+2250+26000,
IF(V710&lt;=600000,(V710-400000)*25%+1500+2250+26000+45000,
IF(AND(V710&gt;600000,V710&lt;=1200000),(V710-400000)*25%+1500+2250+26000+45000
+IFERROR(LOOKUP(V710,{600001;700001;800001;900001},{4000;6750;10250;15250}),0),IF(V710&gt;1200000,((V710-1200000)*27.5%)+300000,0)
)))))))</f>
        <v>0</v>
      </c>
      <c r="X710" s="12">
        <f t="shared" si="172"/>
        <v>0</v>
      </c>
      <c r="Y710" s="12">
        <f t="shared" si="173"/>
        <v>0</v>
      </c>
      <c r="Z710" s="11"/>
      <c r="AA710" s="13">
        <f t="shared" si="174"/>
        <v>0</v>
      </c>
      <c r="AB710" s="12">
        <f t="shared" si="175"/>
        <v>0</v>
      </c>
      <c r="AC710" s="14">
        <f t="shared" si="178"/>
        <v>0</v>
      </c>
      <c r="AE710" s="19">
        <f t="shared" si="176"/>
        <v>0</v>
      </c>
      <c r="AF710" s="19"/>
      <c r="AG710" s="17"/>
      <c r="AK710" s="7"/>
      <c r="AL710" s="108">
        <f t="shared" si="179"/>
        <v>0</v>
      </c>
      <c r="AM710" s="108">
        <f t="shared" si="180"/>
        <v>0</v>
      </c>
      <c r="AN710" s="113"/>
    </row>
    <row r="711" spans="2:40" x14ac:dyDescent="0.2">
      <c r="B711" s="7"/>
      <c r="C711" s="8"/>
      <c r="D711" s="8"/>
      <c r="E711" s="9"/>
      <c r="F711" s="6"/>
      <c r="G711" s="8"/>
      <c r="H711" s="32"/>
      <c r="I711" s="10" t="str">
        <f t="shared" si="177"/>
        <v>21</v>
      </c>
      <c r="J711" s="11">
        <v>1</v>
      </c>
      <c r="K711" s="11"/>
      <c r="L711" s="11"/>
      <c r="M711" s="11">
        <f t="shared" si="166"/>
        <v>0</v>
      </c>
      <c r="N711" s="11"/>
      <c r="O711" s="11">
        <f t="shared" si="167"/>
        <v>0</v>
      </c>
      <c r="P711" s="11"/>
      <c r="Q711" s="11"/>
      <c r="R711" s="11"/>
      <c r="S711" s="11">
        <f t="shared" si="168"/>
        <v>0</v>
      </c>
      <c r="T711" s="11">
        <f t="shared" si="169"/>
        <v>1666.6666666666667</v>
      </c>
      <c r="U711" s="11">
        <f t="shared" si="170"/>
        <v>0</v>
      </c>
      <c r="V711" s="24">
        <f t="shared" si="171"/>
        <v>0</v>
      </c>
      <c r="W711" s="11">
        <f>IF(V711&lt;=40000,0,
IF(V711&lt;=55000,(V711-40000)*10%,
IF(V711&lt;=70000,(V711-55000)*15%+1500,
IF(V711&lt;=200000,(V711-70000)*20%+1500+2250,
IF(V711&lt;=400000,(V711-200000)*22.5%+1500+2250+26000,
IF(V711&lt;=600000,(V711-400000)*25%+1500+2250+26000+45000,
IF(AND(V711&gt;600000,V711&lt;=1200000),(V711-400000)*25%+1500+2250+26000+45000
+IFERROR(LOOKUP(V711,{600001;700001;800001;900001},{4000;6750;10250;15250}),0),IF(V711&gt;1200000,((V711-1200000)*27.5%)+300000,0)
)))))))</f>
        <v>0</v>
      </c>
      <c r="X711" s="12">
        <f t="shared" si="172"/>
        <v>0</v>
      </c>
      <c r="Y711" s="12">
        <f t="shared" si="173"/>
        <v>0</v>
      </c>
      <c r="Z711" s="11"/>
      <c r="AA711" s="13">
        <f t="shared" si="174"/>
        <v>0</v>
      </c>
      <c r="AB711" s="12">
        <f t="shared" si="175"/>
        <v>0</v>
      </c>
      <c r="AC711" s="14">
        <f t="shared" si="178"/>
        <v>0</v>
      </c>
      <c r="AE711" s="19">
        <f t="shared" si="176"/>
        <v>0</v>
      </c>
      <c r="AF711" s="19"/>
      <c r="AG711" s="17"/>
      <c r="AK711" s="7"/>
      <c r="AL711" s="108">
        <f t="shared" si="179"/>
        <v>0</v>
      </c>
      <c r="AM711" s="108">
        <f t="shared" si="180"/>
        <v>0</v>
      </c>
      <c r="AN711" s="113"/>
    </row>
    <row r="712" spans="2:40" x14ac:dyDescent="0.2">
      <c r="B712" s="7"/>
      <c r="C712" s="8"/>
      <c r="D712" s="8"/>
      <c r="E712" s="9"/>
      <c r="F712" s="6"/>
      <c r="G712" s="8"/>
      <c r="H712" s="32"/>
      <c r="I712" s="10" t="str">
        <f t="shared" si="177"/>
        <v>21</v>
      </c>
      <c r="J712" s="11">
        <v>1</v>
      </c>
      <c r="K712" s="11"/>
      <c r="L712" s="11"/>
      <c r="M712" s="11">
        <f t="shared" si="166"/>
        <v>0</v>
      </c>
      <c r="N712" s="11"/>
      <c r="O712" s="11">
        <f t="shared" si="167"/>
        <v>0</v>
      </c>
      <c r="P712" s="11"/>
      <c r="Q712" s="11"/>
      <c r="R712" s="11"/>
      <c r="S712" s="11">
        <f t="shared" si="168"/>
        <v>0</v>
      </c>
      <c r="T712" s="11">
        <f t="shared" si="169"/>
        <v>1666.6666666666667</v>
      </c>
      <c r="U712" s="11">
        <f t="shared" si="170"/>
        <v>0</v>
      </c>
      <c r="V712" s="24">
        <f t="shared" si="171"/>
        <v>0</v>
      </c>
      <c r="W712" s="11">
        <f>IF(V712&lt;=40000,0,
IF(V712&lt;=55000,(V712-40000)*10%,
IF(V712&lt;=70000,(V712-55000)*15%+1500,
IF(V712&lt;=200000,(V712-70000)*20%+1500+2250,
IF(V712&lt;=400000,(V712-200000)*22.5%+1500+2250+26000,
IF(V712&lt;=600000,(V712-400000)*25%+1500+2250+26000+45000,
IF(AND(V712&gt;600000,V712&lt;=1200000),(V712-400000)*25%+1500+2250+26000+45000
+IFERROR(LOOKUP(V712,{600001;700001;800001;900001},{4000;6750;10250;15250}),0),IF(V712&gt;1200000,((V712-1200000)*27.5%)+300000,0)
)))))))</f>
        <v>0</v>
      </c>
      <c r="X712" s="12">
        <f t="shared" si="172"/>
        <v>0</v>
      </c>
      <c r="Y712" s="12">
        <f t="shared" si="173"/>
        <v>0</v>
      </c>
      <c r="Z712" s="11"/>
      <c r="AA712" s="13">
        <f t="shared" si="174"/>
        <v>0</v>
      </c>
      <c r="AB712" s="12">
        <f t="shared" si="175"/>
        <v>0</v>
      </c>
      <c r="AC712" s="14">
        <f t="shared" si="178"/>
        <v>0</v>
      </c>
      <c r="AE712" s="19">
        <f t="shared" si="176"/>
        <v>0</v>
      </c>
      <c r="AF712" s="19"/>
      <c r="AG712" s="17"/>
      <c r="AK712" s="7"/>
      <c r="AL712" s="108">
        <f t="shared" si="179"/>
        <v>0</v>
      </c>
      <c r="AM712" s="108">
        <f t="shared" si="180"/>
        <v>0</v>
      </c>
      <c r="AN712" s="113"/>
    </row>
    <row r="713" spans="2:40" x14ac:dyDescent="0.2">
      <c r="B713" s="7"/>
      <c r="C713" s="8"/>
      <c r="D713" s="8"/>
      <c r="E713" s="9"/>
      <c r="F713" s="6"/>
      <c r="G713" s="8"/>
      <c r="H713" s="32"/>
      <c r="I713" s="10" t="str">
        <f t="shared" si="177"/>
        <v>21</v>
      </c>
      <c r="J713" s="11">
        <v>1</v>
      </c>
      <c r="K713" s="11"/>
      <c r="L713" s="11"/>
      <c r="M713" s="11">
        <f t="shared" si="166"/>
        <v>0</v>
      </c>
      <c r="N713" s="11"/>
      <c r="O713" s="11">
        <f t="shared" si="167"/>
        <v>0</v>
      </c>
      <c r="P713" s="11"/>
      <c r="Q713" s="11"/>
      <c r="R713" s="11"/>
      <c r="S713" s="11">
        <f t="shared" si="168"/>
        <v>0</v>
      </c>
      <c r="T713" s="11">
        <f t="shared" si="169"/>
        <v>1666.6666666666667</v>
      </c>
      <c r="U713" s="11">
        <f t="shared" si="170"/>
        <v>0</v>
      </c>
      <c r="V713" s="24">
        <f t="shared" si="171"/>
        <v>0</v>
      </c>
      <c r="W713" s="11">
        <f>IF(V713&lt;=40000,0,
IF(V713&lt;=55000,(V713-40000)*10%,
IF(V713&lt;=70000,(V713-55000)*15%+1500,
IF(V713&lt;=200000,(V713-70000)*20%+1500+2250,
IF(V713&lt;=400000,(V713-200000)*22.5%+1500+2250+26000,
IF(V713&lt;=600000,(V713-400000)*25%+1500+2250+26000+45000,
IF(AND(V713&gt;600000,V713&lt;=1200000),(V713-400000)*25%+1500+2250+26000+45000
+IFERROR(LOOKUP(V713,{600001;700001;800001;900001},{4000;6750;10250;15250}),0),IF(V713&gt;1200000,((V713-1200000)*27.5%)+300000,0)
)))))))</f>
        <v>0</v>
      </c>
      <c r="X713" s="12">
        <f t="shared" si="172"/>
        <v>0</v>
      </c>
      <c r="Y713" s="12">
        <f t="shared" si="173"/>
        <v>0</v>
      </c>
      <c r="Z713" s="11"/>
      <c r="AA713" s="13">
        <f t="shared" si="174"/>
        <v>0</v>
      </c>
      <c r="AB713" s="12">
        <f t="shared" si="175"/>
        <v>0</v>
      </c>
      <c r="AC713" s="14">
        <f t="shared" si="178"/>
        <v>0</v>
      </c>
      <c r="AE713" s="19">
        <f t="shared" si="176"/>
        <v>0</v>
      </c>
      <c r="AF713" s="19"/>
      <c r="AG713" s="17"/>
      <c r="AK713" s="7"/>
      <c r="AL713" s="108">
        <f t="shared" si="179"/>
        <v>0</v>
      </c>
      <c r="AM713" s="108">
        <f t="shared" si="180"/>
        <v>0</v>
      </c>
      <c r="AN713" s="113"/>
    </row>
    <row r="714" spans="2:40" x14ac:dyDescent="0.2">
      <c r="B714" s="7"/>
      <c r="C714" s="8"/>
      <c r="D714" s="8"/>
      <c r="E714" s="9"/>
      <c r="F714" s="6"/>
      <c r="G714" s="8"/>
      <c r="H714" s="32"/>
      <c r="I714" s="10" t="str">
        <f t="shared" si="177"/>
        <v>21</v>
      </c>
      <c r="J714" s="11">
        <v>1</v>
      </c>
      <c r="K714" s="11"/>
      <c r="L714" s="11"/>
      <c r="M714" s="11">
        <f t="shared" si="166"/>
        <v>0</v>
      </c>
      <c r="N714" s="11"/>
      <c r="O714" s="11">
        <f t="shared" si="167"/>
        <v>0</v>
      </c>
      <c r="P714" s="11"/>
      <c r="Q714" s="11"/>
      <c r="R714" s="11"/>
      <c r="S714" s="11">
        <f t="shared" si="168"/>
        <v>0</v>
      </c>
      <c r="T714" s="11">
        <f t="shared" si="169"/>
        <v>1666.6666666666667</v>
      </c>
      <c r="U714" s="11">
        <f t="shared" si="170"/>
        <v>0</v>
      </c>
      <c r="V714" s="24">
        <f t="shared" si="171"/>
        <v>0</v>
      </c>
      <c r="W714" s="11">
        <f>IF(V714&lt;=40000,0,
IF(V714&lt;=55000,(V714-40000)*10%,
IF(V714&lt;=70000,(V714-55000)*15%+1500,
IF(V714&lt;=200000,(V714-70000)*20%+1500+2250,
IF(V714&lt;=400000,(V714-200000)*22.5%+1500+2250+26000,
IF(V714&lt;=600000,(V714-400000)*25%+1500+2250+26000+45000,
IF(AND(V714&gt;600000,V714&lt;=1200000),(V714-400000)*25%+1500+2250+26000+45000
+IFERROR(LOOKUP(V714,{600001;700001;800001;900001},{4000;6750;10250;15250}),0),IF(V714&gt;1200000,((V714-1200000)*27.5%)+300000,0)
)))))))</f>
        <v>0</v>
      </c>
      <c r="X714" s="12">
        <f t="shared" si="172"/>
        <v>0</v>
      </c>
      <c r="Y714" s="12">
        <f t="shared" si="173"/>
        <v>0</v>
      </c>
      <c r="Z714" s="11"/>
      <c r="AA714" s="13">
        <f t="shared" si="174"/>
        <v>0</v>
      </c>
      <c r="AB714" s="12">
        <f t="shared" si="175"/>
        <v>0</v>
      </c>
      <c r="AC714" s="14">
        <f t="shared" si="178"/>
        <v>0</v>
      </c>
      <c r="AE714" s="19">
        <f t="shared" si="176"/>
        <v>0</v>
      </c>
      <c r="AF714" s="19"/>
      <c r="AG714" s="17"/>
      <c r="AK714" s="7"/>
      <c r="AL714" s="108">
        <f t="shared" si="179"/>
        <v>0</v>
      </c>
      <c r="AM714" s="108">
        <f t="shared" si="180"/>
        <v>0</v>
      </c>
      <c r="AN714" s="113"/>
    </row>
    <row r="715" spans="2:40" x14ac:dyDescent="0.2">
      <c r="B715" s="7"/>
      <c r="C715" s="8"/>
      <c r="D715" s="8"/>
      <c r="E715" s="9"/>
      <c r="F715" s="6"/>
      <c r="G715" s="8"/>
      <c r="H715" s="32"/>
      <c r="I715" s="10" t="str">
        <f t="shared" si="177"/>
        <v>21</v>
      </c>
      <c r="J715" s="11">
        <v>1</v>
      </c>
      <c r="K715" s="11"/>
      <c r="L715" s="11"/>
      <c r="M715" s="11">
        <f t="shared" si="166"/>
        <v>0</v>
      </c>
      <c r="N715" s="11"/>
      <c r="O715" s="11">
        <f t="shared" si="167"/>
        <v>0</v>
      </c>
      <c r="P715" s="11"/>
      <c r="Q715" s="11"/>
      <c r="R715" s="11"/>
      <c r="S715" s="11">
        <f t="shared" si="168"/>
        <v>0</v>
      </c>
      <c r="T715" s="11">
        <f t="shared" si="169"/>
        <v>1666.6666666666667</v>
      </c>
      <c r="U715" s="11">
        <f t="shared" si="170"/>
        <v>0</v>
      </c>
      <c r="V715" s="24">
        <f t="shared" si="171"/>
        <v>0</v>
      </c>
      <c r="W715" s="11">
        <f>IF(V715&lt;=40000,0,
IF(V715&lt;=55000,(V715-40000)*10%,
IF(V715&lt;=70000,(V715-55000)*15%+1500,
IF(V715&lt;=200000,(V715-70000)*20%+1500+2250,
IF(V715&lt;=400000,(V715-200000)*22.5%+1500+2250+26000,
IF(V715&lt;=600000,(V715-400000)*25%+1500+2250+26000+45000,
IF(AND(V715&gt;600000,V715&lt;=1200000),(V715-400000)*25%+1500+2250+26000+45000
+IFERROR(LOOKUP(V715,{600001;700001;800001;900001},{4000;6750;10250;15250}),0),IF(V715&gt;1200000,((V715-1200000)*27.5%)+300000,0)
)))))))</f>
        <v>0</v>
      </c>
      <c r="X715" s="12">
        <f t="shared" si="172"/>
        <v>0</v>
      </c>
      <c r="Y715" s="12">
        <f t="shared" si="173"/>
        <v>0</v>
      </c>
      <c r="Z715" s="11"/>
      <c r="AA715" s="13">
        <f t="shared" si="174"/>
        <v>0</v>
      </c>
      <c r="AB715" s="12">
        <f t="shared" si="175"/>
        <v>0</v>
      </c>
      <c r="AC715" s="14">
        <f t="shared" si="178"/>
        <v>0</v>
      </c>
      <c r="AE715" s="19">
        <f t="shared" si="176"/>
        <v>0</v>
      </c>
      <c r="AF715" s="19"/>
      <c r="AG715" s="17"/>
      <c r="AK715" s="7"/>
      <c r="AL715" s="108">
        <f t="shared" si="179"/>
        <v>0</v>
      </c>
      <c r="AM715" s="108">
        <f t="shared" si="180"/>
        <v>0</v>
      </c>
      <c r="AN715" s="113"/>
    </row>
    <row r="716" spans="2:40" x14ac:dyDescent="0.2">
      <c r="B716" s="7"/>
      <c r="C716" s="8"/>
      <c r="D716" s="8"/>
      <c r="E716" s="9"/>
      <c r="F716" s="6"/>
      <c r="G716" s="8"/>
      <c r="H716" s="32"/>
      <c r="I716" s="10" t="str">
        <f t="shared" si="177"/>
        <v>21</v>
      </c>
      <c r="J716" s="11">
        <v>1</v>
      </c>
      <c r="K716" s="11"/>
      <c r="L716" s="11"/>
      <c r="M716" s="11">
        <f t="shared" si="166"/>
        <v>0</v>
      </c>
      <c r="N716" s="11"/>
      <c r="O716" s="11">
        <f t="shared" si="167"/>
        <v>0</v>
      </c>
      <c r="P716" s="11"/>
      <c r="Q716" s="11"/>
      <c r="R716" s="11"/>
      <c r="S716" s="11">
        <f t="shared" si="168"/>
        <v>0</v>
      </c>
      <c r="T716" s="11">
        <f t="shared" si="169"/>
        <v>1666.6666666666667</v>
      </c>
      <c r="U716" s="11">
        <f t="shared" si="170"/>
        <v>0</v>
      </c>
      <c r="V716" s="24">
        <f t="shared" si="171"/>
        <v>0</v>
      </c>
      <c r="W716" s="11">
        <f>IF(V716&lt;=40000,0,
IF(V716&lt;=55000,(V716-40000)*10%,
IF(V716&lt;=70000,(V716-55000)*15%+1500,
IF(V716&lt;=200000,(V716-70000)*20%+1500+2250,
IF(V716&lt;=400000,(V716-200000)*22.5%+1500+2250+26000,
IF(V716&lt;=600000,(V716-400000)*25%+1500+2250+26000+45000,
IF(AND(V716&gt;600000,V716&lt;=1200000),(V716-400000)*25%+1500+2250+26000+45000
+IFERROR(LOOKUP(V716,{600001;700001;800001;900001},{4000;6750;10250;15250}),0),IF(V716&gt;1200000,((V716-1200000)*27.5%)+300000,0)
)))))))</f>
        <v>0</v>
      </c>
      <c r="X716" s="12">
        <f t="shared" si="172"/>
        <v>0</v>
      </c>
      <c r="Y716" s="12">
        <f t="shared" si="173"/>
        <v>0</v>
      </c>
      <c r="Z716" s="11"/>
      <c r="AA716" s="13">
        <f t="shared" si="174"/>
        <v>0</v>
      </c>
      <c r="AB716" s="12">
        <f t="shared" si="175"/>
        <v>0</v>
      </c>
      <c r="AC716" s="14">
        <f t="shared" si="178"/>
        <v>0</v>
      </c>
      <c r="AE716" s="19">
        <f t="shared" si="176"/>
        <v>0</v>
      </c>
      <c r="AF716" s="19"/>
      <c r="AG716" s="17"/>
      <c r="AK716" s="7"/>
      <c r="AL716" s="108">
        <f t="shared" si="179"/>
        <v>0</v>
      </c>
      <c r="AM716" s="108">
        <f t="shared" si="180"/>
        <v>0</v>
      </c>
      <c r="AN716" s="113"/>
    </row>
    <row r="717" spans="2:40" x14ac:dyDescent="0.2">
      <c r="B717" s="7"/>
      <c r="C717" s="8"/>
      <c r="D717" s="8"/>
      <c r="E717" s="9"/>
      <c r="F717" s="6"/>
      <c r="G717" s="8"/>
      <c r="H717" s="32"/>
      <c r="I717" s="10" t="str">
        <f t="shared" si="177"/>
        <v>21</v>
      </c>
      <c r="J717" s="11">
        <v>1</v>
      </c>
      <c r="K717" s="11"/>
      <c r="L717" s="11"/>
      <c r="M717" s="11">
        <f t="shared" si="166"/>
        <v>0</v>
      </c>
      <c r="N717" s="11"/>
      <c r="O717" s="11">
        <f t="shared" si="167"/>
        <v>0</v>
      </c>
      <c r="P717" s="11"/>
      <c r="Q717" s="11"/>
      <c r="R717" s="11"/>
      <c r="S717" s="11">
        <f t="shared" si="168"/>
        <v>0</v>
      </c>
      <c r="T717" s="11">
        <f t="shared" si="169"/>
        <v>1666.6666666666667</v>
      </c>
      <c r="U717" s="11">
        <f t="shared" si="170"/>
        <v>0</v>
      </c>
      <c r="V717" s="24">
        <f t="shared" si="171"/>
        <v>0</v>
      </c>
      <c r="W717" s="11">
        <f>IF(V717&lt;=40000,0,
IF(V717&lt;=55000,(V717-40000)*10%,
IF(V717&lt;=70000,(V717-55000)*15%+1500,
IF(V717&lt;=200000,(V717-70000)*20%+1500+2250,
IF(V717&lt;=400000,(V717-200000)*22.5%+1500+2250+26000,
IF(V717&lt;=600000,(V717-400000)*25%+1500+2250+26000+45000,
IF(AND(V717&gt;600000,V717&lt;=1200000),(V717-400000)*25%+1500+2250+26000+45000
+IFERROR(LOOKUP(V717,{600001;700001;800001;900001},{4000;6750;10250;15250}),0),IF(V717&gt;1200000,((V717-1200000)*27.5%)+300000,0)
)))))))</f>
        <v>0</v>
      </c>
      <c r="X717" s="12">
        <f t="shared" si="172"/>
        <v>0</v>
      </c>
      <c r="Y717" s="12">
        <f t="shared" si="173"/>
        <v>0</v>
      </c>
      <c r="Z717" s="11"/>
      <c r="AA717" s="13">
        <f t="shared" si="174"/>
        <v>0</v>
      </c>
      <c r="AB717" s="12">
        <f t="shared" si="175"/>
        <v>0</v>
      </c>
      <c r="AC717" s="14">
        <f t="shared" si="178"/>
        <v>0</v>
      </c>
      <c r="AE717" s="19">
        <f t="shared" si="176"/>
        <v>0</v>
      </c>
      <c r="AF717" s="19"/>
      <c r="AG717" s="17"/>
      <c r="AK717" s="7"/>
      <c r="AL717" s="108">
        <f t="shared" si="179"/>
        <v>0</v>
      </c>
      <c r="AM717" s="108">
        <f t="shared" si="180"/>
        <v>0</v>
      </c>
      <c r="AN717" s="113"/>
    </row>
    <row r="718" spans="2:40" x14ac:dyDescent="0.2">
      <c r="B718" s="7"/>
      <c r="C718" s="8"/>
      <c r="D718" s="8"/>
      <c r="E718" s="9"/>
      <c r="F718" s="6"/>
      <c r="G718" s="8"/>
      <c r="H718" s="32"/>
      <c r="I718" s="10" t="str">
        <f t="shared" si="177"/>
        <v>21</v>
      </c>
      <c r="J718" s="11">
        <v>1</v>
      </c>
      <c r="K718" s="11"/>
      <c r="L718" s="11"/>
      <c r="M718" s="11">
        <f t="shared" si="166"/>
        <v>0</v>
      </c>
      <c r="N718" s="11"/>
      <c r="O718" s="11">
        <f t="shared" si="167"/>
        <v>0</v>
      </c>
      <c r="P718" s="11"/>
      <c r="Q718" s="11"/>
      <c r="R718" s="11"/>
      <c r="S718" s="11">
        <f t="shared" si="168"/>
        <v>0</v>
      </c>
      <c r="T718" s="11">
        <f t="shared" si="169"/>
        <v>1666.6666666666667</v>
      </c>
      <c r="U718" s="11">
        <f t="shared" si="170"/>
        <v>0</v>
      </c>
      <c r="V718" s="24">
        <f t="shared" si="171"/>
        <v>0</v>
      </c>
      <c r="W718" s="11">
        <f>IF(V718&lt;=40000,0,
IF(V718&lt;=55000,(V718-40000)*10%,
IF(V718&lt;=70000,(V718-55000)*15%+1500,
IF(V718&lt;=200000,(V718-70000)*20%+1500+2250,
IF(V718&lt;=400000,(V718-200000)*22.5%+1500+2250+26000,
IF(V718&lt;=600000,(V718-400000)*25%+1500+2250+26000+45000,
IF(AND(V718&gt;600000,V718&lt;=1200000),(V718-400000)*25%+1500+2250+26000+45000
+IFERROR(LOOKUP(V718,{600001;700001;800001;900001},{4000;6750;10250;15250}),0),IF(V718&gt;1200000,((V718-1200000)*27.5%)+300000,0)
)))))))</f>
        <v>0</v>
      </c>
      <c r="X718" s="12">
        <f t="shared" si="172"/>
        <v>0</v>
      </c>
      <c r="Y718" s="12">
        <f t="shared" si="173"/>
        <v>0</v>
      </c>
      <c r="Z718" s="11"/>
      <c r="AA718" s="13">
        <f t="shared" si="174"/>
        <v>0</v>
      </c>
      <c r="AB718" s="12">
        <f t="shared" si="175"/>
        <v>0</v>
      </c>
      <c r="AC718" s="14">
        <f t="shared" si="178"/>
        <v>0</v>
      </c>
      <c r="AE718" s="19">
        <f t="shared" si="176"/>
        <v>0</v>
      </c>
      <c r="AF718" s="19"/>
      <c r="AG718" s="17"/>
      <c r="AK718" s="7"/>
      <c r="AL718" s="108">
        <f t="shared" si="179"/>
        <v>0</v>
      </c>
      <c r="AM718" s="108">
        <f t="shared" si="180"/>
        <v>0</v>
      </c>
      <c r="AN718" s="113"/>
    </row>
    <row r="719" spans="2:40" x14ac:dyDescent="0.2">
      <c r="B719" s="7"/>
      <c r="C719" s="8"/>
      <c r="D719" s="8"/>
      <c r="E719" s="9"/>
      <c r="F719" s="6"/>
      <c r="G719" s="8"/>
      <c r="H719" s="32"/>
      <c r="I719" s="10" t="str">
        <f t="shared" si="177"/>
        <v>21</v>
      </c>
      <c r="J719" s="11">
        <v>1</v>
      </c>
      <c r="K719" s="11"/>
      <c r="L719" s="11"/>
      <c r="M719" s="11">
        <f t="shared" si="166"/>
        <v>0</v>
      </c>
      <c r="N719" s="11"/>
      <c r="O719" s="11">
        <f t="shared" si="167"/>
        <v>0</v>
      </c>
      <c r="P719" s="11"/>
      <c r="Q719" s="11"/>
      <c r="R719" s="11"/>
      <c r="S719" s="11">
        <f t="shared" si="168"/>
        <v>0</v>
      </c>
      <c r="T719" s="11">
        <f t="shared" si="169"/>
        <v>1666.6666666666667</v>
      </c>
      <c r="U719" s="11">
        <f t="shared" si="170"/>
        <v>0</v>
      </c>
      <c r="V719" s="24">
        <f t="shared" si="171"/>
        <v>0</v>
      </c>
      <c r="W719" s="11">
        <f>IF(V719&lt;=40000,0,
IF(V719&lt;=55000,(V719-40000)*10%,
IF(V719&lt;=70000,(V719-55000)*15%+1500,
IF(V719&lt;=200000,(V719-70000)*20%+1500+2250,
IF(V719&lt;=400000,(V719-200000)*22.5%+1500+2250+26000,
IF(V719&lt;=600000,(V719-400000)*25%+1500+2250+26000+45000,
IF(AND(V719&gt;600000,V719&lt;=1200000),(V719-400000)*25%+1500+2250+26000+45000
+IFERROR(LOOKUP(V719,{600001;700001;800001;900001},{4000;6750;10250;15250}),0),IF(V719&gt;1200000,((V719-1200000)*27.5%)+300000,0)
)))))))</f>
        <v>0</v>
      </c>
      <c r="X719" s="12">
        <f t="shared" si="172"/>
        <v>0</v>
      </c>
      <c r="Y719" s="12">
        <f t="shared" si="173"/>
        <v>0</v>
      </c>
      <c r="Z719" s="11"/>
      <c r="AA719" s="13">
        <f t="shared" si="174"/>
        <v>0</v>
      </c>
      <c r="AB719" s="12">
        <f t="shared" si="175"/>
        <v>0</v>
      </c>
      <c r="AC719" s="14">
        <f t="shared" si="178"/>
        <v>0</v>
      </c>
      <c r="AE719" s="19">
        <f t="shared" si="176"/>
        <v>0</v>
      </c>
      <c r="AF719" s="19"/>
      <c r="AG719" s="17"/>
      <c r="AK719" s="7"/>
      <c r="AL719" s="108">
        <f t="shared" si="179"/>
        <v>0</v>
      </c>
      <c r="AM719" s="108">
        <f t="shared" si="180"/>
        <v>0</v>
      </c>
      <c r="AN719" s="113"/>
    </row>
    <row r="720" spans="2:40" x14ac:dyDescent="0.2">
      <c r="B720" s="7"/>
      <c r="C720" s="8"/>
      <c r="D720" s="8"/>
      <c r="E720" s="9"/>
      <c r="F720" s="6"/>
      <c r="G720" s="8"/>
      <c r="H720" s="32"/>
      <c r="I720" s="10" t="str">
        <f t="shared" si="177"/>
        <v>21</v>
      </c>
      <c r="J720" s="11">
        <v>1</v>
      </c>
      <c r="K720" s="11"/>
      <c r="L720" s="11"/>
      <c r="M720" s="11">
        <f t="shared" si="166"/>
        <v>0</v>
      </c>
      <c r="N720" s="11"/>
      <c r="O720" s="11">
        <f t="shared" si="167"/>
        <v>0</v>
      </c>
      <c r="P720" s="11"/>
      <c r="Q720" s="11"/>
      <c r="R720" s="11"/>
      <c r="S720" s="11">
        <f t="shared" si="168"/>
        <v>0</v>
      </c>
      <c r="T720" s="11">
        <f t="shared" si="169"/>
        <v>1666.6666666666667</v>
      </c>
      <c r="U720" s="11">
        <f t="shared" si="170"/>
        <v>0</v>
      </c>
      <c r="V720" s="24">
        <f t="shared" si="171"/>
        <v>0</v>
      </c>
      <c r="W720" s="11">
        <f>IF(V720&lt;=40000,0,
IF(V720&lt;=55000,(V720-40000)*10%,
IF(V720&lt;=70000,(V720-55000)*15%+1500,
IF(V720&lt;=200000,(V720-70000)*20%+1500+2250,
IF(V720&lt;=400000,(V720-200000)*22.5%+1500+2250+26000,
IF(V720&lt;=600000,(V720-400000)*25%+1500+2250+26000+45000,
IF(AND(V720&gt;600000,V720&lt;=1200000),(V720-400000)*25%+1500+2250+26000+45000
+IFERROR(LOOKUP(V720,{600001;700001;800001;900001},{4000;6750;10250;15250}),0),IF(V720&gt;1200000,((V720-1200000)*27.5%)+300000,0)
)))))))</f>
        <v>0</v>
      </c>
      <c r="X720" s="12">
        <f t="shared" si="172"/>
        <v>0</v>
      </c>
      <c r="Y720" s="12">
        <f t="shared" si="173"/>
        <v>0</v>
      </c>
      <c r="Z720" s="11"/>
      <c r="AA720" s="13">
        <f t="shared" si="174"/>
        <v>0</v>
      </c>
      <c r="AB720" s="12">
        <f t="shared" si="175"/>
        <v>0</v>
      </c>
      <c r="AC720" s="14">
        <f t="shared" si="178"/>
        <v>0</v>
      </c>
      <c r="AE720" s="19">
        <f t="shared" si="176"/>
        <v>0</v>
      </c>
      <c r="AF720" s="19"/>
      <c r="AG720" s="17"/>
      <c r="AK720" s="7"/>
      <c r="AL720" s="108">
        <f t="shared" si="179"/>
        <v>0</v>
      </c>
      <c r="AM720" s="108">
        <f t="shared" si="180"/>
        <v>0</v>
      </c>
      <c r="AN720" s="113"/>
    </row>
    <row r="721" spans="2:40" x14ac:dyDescent="0.2">
      <c r="B721" s="7"/>
      <c r="C721" s="8"/>
      <c r="D721" s="8"/>
      <c r="E721" s="9"/>
      <c r="F721" s="6"/>
      <c r="G721" s="8"/>
      <c r="H721" s="32"/>
      <c r="I721" s="10" t="str">
        <f t="shared" si="177"/>
        <v>21</v>
      </c>
      <c r="J721" s="11">
        <v>1</v>
      </c>
      <c r="K721" s="11"/>
      <c r="L721" s="11"/>
      <c r="M721" s="11">
        <f t="shared" si="166"/>
        <v>0</v>
      </c>
      <c r="N721" s="11"/>
      <c r="O721" s="11">
        <f t="shared" si="167"/>
        <v>0</v>
      </c>
      <c r="P721" s="11"/>
      <c r="Q721" s="11"/>
      <c r="R721" s="11"/>
      <c r="S721" s="11">
        <f t="shared" si="168"/>
        <v>0</v>
      </c>
      <c r="T721" s="11">
        <f t="shared" si="169"/>
        <v>1666.6666666666667</v>
      </c>
      <c r="U721" s="11">
        <f t="shared" si="170"/>
        <v>0</v>
      </c>
      <c r="V721" s="24">
        <f t="shared" si="171"/>
        <v>0</v>
      </c>
      <c r="W721" s="11">
        <f>IF(V721&lt;=40000,0,
IF(V721&lt;=55000,(V721-40000)*10%,
IF(V721&lt;=70000,(V721-55000)*15%+1500,
IF(V721&lt;=200000,(V721-70000)*20%+1500+2250,
IF(V721&lt;=400000,(V721-200000)*22.5%+1500+2250+26000,
IF(V721&lt;=600000,(V721-400000)*25%+1500+2250+26000+45000,
IF(AND(V721&gt;600000,V721&lt;=1200000),(V721-400000)*25%+1500+2250+26000+45000
+IFERROR(LOOKUP(V721,{600001;700001;800001;900001},{4000;6750;10250;15250}),0),IF(V721&gt;1200000,((V721-1200000)*27.5%)+300000,0)
)))))))</f>
        <v>0</v>
      </c>
      <c r="X721" s="12">
        <f t="shared" si="172"/>
        <v>0</v>
      </c>
      <c r="Y721" s="12">
        <f t="shared" si="173"/>
        <v>0</v>
      </c>
      <c r="Z721" s="11"/>
      <c r="AA721" s="13">
        <f t="shared" si="174"/>
        <v>0</v>
      </c>
      <c r="AB721" s="12">
        <f t="shared" si="175"/>
        <v>0</v>
      </c>
      <c r="AC721" s="14">
        <f t="shared" si="178"/>
        <v>0</v>
      </c>
      <c r="AE721" s="19">
        <f t="shared" si="176"/>
        <v>0</v>
      </c>
      <c r="AF721" s="19"/>
      <c r="AG721" s="17"/>
      <c r="AK721" s="7"/>
      <c r="AL721" s="108">
        <f t="shared" si="179"/>
        <v>0</v>
      </c>
      <c r="AM721" s="108">
        <f t="shared" si="180"/>
        <v>0</v>
      </c>
      <c r="AN721" s="113"/>
    </row>
    <row r="722" spans="2:40" x14ac:dyDescent="0.2">
      <c r="B722" s="7"/>
      <c r="C722" s="8"/>
      <c r="D722" s="8"/>
      <c r="E722" s="9"/>
      <c r="F722" s="6"/>
      <c r="G722" s="8"/>
      <c r="H722" s="32"/>
      <c r="I722" s="10" t="str">
        <f t="shared" si="177"/>
        <v>21</v>
      </c>
      <c r="J722" s="11">
        <v>1</v>
      </c>
      <c r="K722" s="11"/>
      <c r="L722" s="11"/>
      <c r="M722" s="11">
        <f t="shared" si="166"/>
        <v>0</v>
      </c>
      <c r="N722" s="11"/>
      <c r="O722" s="11">
        <f t="shared" si="167"/>
        <v>0</v>
      </c>
      <c r="P722" s="11"/>
      <c r="Q722" s="11"/>
      <c r="R722" s="11"/>
      <c r="S722" s="11">
        <f t="shared" si="168"/>
        <v>0</v>
      </c>
      <c r="T722" s="11">
        <f t="shared" si="169"/>
        <v>1666.6666666666667</v>
      </c>
      <c r="U722" s="11">
        <f t="shared" si="170"/>
        <v>0</v>
      </c>
      <c r="V722" s="24">
        <f t="shared" si="171"/>
        <v>0</v>
      </c>
      <c r="W722" s="11">
        <f>IF(V722&lt;=40000,0,
IF(V722&lt;=55000,(V722-40000)*10%,
IF(V722&lt;=70000,(V722-55000)*15%+1500,
IF(V722&lt;=200000,(V722-70000)*20%+1500+2250,
IF(V722&lt;=400000,(V722-200000)*22.5%+1500+2250+26000,
IF(V722&lt;=600000,(V722-400000)*25%+1500+2250+26000+45000,
IF(AND(V722&gt;600000,V722&lt;=1200000),(V722-400000)*25%+1500+2250+26000+45000
+IFERROR(LOOKUP(V722,{600001;700001;800001;900001},{4000;6750;10250;15250}),0),IF(V722&gt;1200000,((V722-1200000)*27.5%)+300000,0)
)))))))</f>
        <v>0</v>
      </c>
      <c r="X722" s="12">
        <f t="shared" si="172"/>
        <v>0</v>
      </c>
      <c r="Y722" s="12">
        <f t="shared" si="173"/>
        <v>0</v>
      </c>
      <c r="Z722" s="11"/>
      <c r="AA722" s="13">
        <f t="shared" si="174"/>
        <v>0</v>
      </c>
      <c r="AB722" s="12">
        <f t="shared" si="175"/>
        <v>0</v>
      </c>
      <c r="AC722" s="14">
        <f t="shared" si="178"/>
        <v>0</v>
      </c>
      <c r="AE722" s="19">
        <f t="shared" si="176"/>
        <v>0</v>
      </c>
      <c r="AF722" s="19"/>
      <c r="AG722" s="17"/>
      <c r="AK722" s="7"/>
      <c r="AL722" s="108">
        <f t="shared" si="179"/>
        <v>0</v>
      </c>
      <c r="AM722" s="108">
        <f t="shared" si="180"/>
        <v>0</v>
      </c>
      <c r="AN722" s="113"/>
    </row>
    <row r="723" spans="2:40" x14ac:dyDescent="0.2">
      <c r="B723" s="7"/>
      <c r="C723" s="8"/>
      <c r="D723" s="8"/>
      <c r="E723" s="9"/>
      <c r="F723" s="6"/>
      <c r="G723" s="8"/>
      <c r="H723" s="32"/>
      <c r="I723" s="10" t="str">
        <f t="shared" si="177"/>
        <v>21</v>
      </c>
      <c r="J723" s="11">
        <v>1</v>
      </c>
      <c r="K723" s="11"/>
      <c r="L723" s="11"/>
      <c r="M723" s="11">
        <f t="shared" si="166"/>
        <v>0</v>
      </c>
      <c r="N723" s="11"/>
      <c r="O723" s="11">
        <f t="shared" si="167"/>
        <v>0</v>
      </c>
      <c r="P723" s="11"/>
      <c r="Q723" s="11"/>
      <c r="R723" s="11"/>
      <c r="S723" s="11">
        <f t="shared" si="168"/>
        <v>0</v>
      </c>
      <c r="T723" s="11">
        <f t="shared" si="169"/>
        <v>1666.6666666666667</v>
      </c>
      <c r="U723" s="11">
        <f t="shared" si="170"/>
        <v>0</v>
      </c>
      <c r="V723" s="24">
        <f t="shared" si="171"/>
        <v>0</v>
      </c>
      <c r="W723" s="11">
        <f>IF(V723&lt;=40000,0,
IF(V723&lt;=55000,(V723-40000)*10%,
IF(V723&lt;=70000,(V723-55000)*15%+1500,
IF(V723&lt;=200000,(V723-70000)*20%+1500+2250,
IF(V723&lt;=400000,(V723-200000)*22.5%+1500+2250+26000,
IF(V723&lt;=600000,(V723-400000)*25%+1500+2250+26000+45000,
IF(AND(V723&gt;600000,V723&lt;=1200000),(V723-400000)*25%+1500+2250+26000+45000
+IFERROR(LOOKUP(V723,{600001;700001;800001;900001},{4000;6750;10250;15250}),0),IF(V723&gt;1200000,((V723-1200000)*27.5%)+300000,0)
)))))))</f>
        <v>0</v>
      </c>
      <c r="X723" s="12">
        <f t="shared" si="172"/>
        <v>0</v>
      </c>
      <c r="Y723" s="12">
        <f t="shared" si="173"/>
        <v>0</v>
      </c>
      <c r="Z723" s="11"/>
      <c r="AA723" s="13">
        <f t="shared" si="174"/>
        <v>0</v>
      </c>
      <c r="AB723" s="12">
        <f t="shared" si="175"/>
        <v>0</v>
      </c>
      <c r="AC723" s="14">
        <f t="shared" si="178"/>
        <v>0</v>
      </c>
      <c r="AE723" s="19">
        <f t="shared" si="176"/>
        <v>0</v>
      </c>
      <c r="AF723" s="19"/>
      <c r="AG723" s="17"/>
      <c r="AK723" s="7"/>
      <c r="AL723" s="108">
        <f t="shared" si="179"/>
        <v>0</v>
      </c>
      <c r="AM723" s="108">
        <f t="shared" si="180"/>
        <v>0</v>
      </c>
      <c r="AN723" s="113"/>
    </row>
    <row r="724" spans="2:40" x14ac:dyDescent="0.2">
      <c r="B724" s="7"/>
      <c r="C724" s="8"/>
      <c r="D724" s="8"/>
      <c r="E724" s="9"/>
      <c r="F724" s="6"/>
      <c r="G724" s="8"/>
      <c r="H724" s="32"/>
      <c r="I724" s="10" t="str">
        <f t="shared" si="177"/>
        <v>21</v>
      </c>
      <c r="J724" s="11">
        <v>1</v>
      </c>
      <c r="K724" s="11"/>
      <c r="L724" s="11"/>
      <c r="M724" s="11">
        <f t="shared" si="166"/>
        <v>0</v>
      </c>
      <c r="N724" s="11"/>
      <c r="O724" s="11">
        <f t="shared" si="167"/>
        <v>0</v>
      </c>
      <c r="P724" s="11"/>
      <c r="Q724" s="11"/>
      <c r="R724" s="11"/>
      <c r="S724" s="11">
        <f t="shared" si="168"/>
        <v>0</v>
      </c>
      <c r="T724" s="11">
        <f t="shared" si="169"/>
        <v>1666.6666666666667</v>
      </c>
      <c r="U724" s="11">
        <f t="shared" si="170"/>
        <v>0</v>
      </c>
      <c r="V724" s="24">
        <f t="shared" si="171"/>
        <v>0</v>
      </c>
      <c r="W724" s="11">
        <f>IF(V724&lt;=40000,0,
IF(V724&lt;=55000,(V724-40000)*10%,
IF(V724&lt;=70000,(V724-55000)*15%+1500,
IF(V724&lt;=200000,(V724-70000)*20%+1500+2250,
IF(V724&lt;=400000,(V724-200000)*22.5%+1500+2250+26000,
IF(V724&lt;=600000,(V724-400000)*25%+1500+2250+26000+45000,
IF(AND(V724&gt;600000,V724&lt;=1200000),(V724-400000)*25%+1500+2250+26000+45000
+IFERROR(LOOKUP(V724,{600001;700001;800001;900001},{4000;6750;10250;15250}),0),IF(V724&gt;1200000,((V724-1200000)*27.5%)+300000,0)
)))))))</f>
        <v>0</v>
      </c>
      <c r="X724" s="12">
        <f t="shared" si="172"/>
        <v>0</v>
      </c>
      <c r="Y724" s="12">
        <f t="shared" si="173"/>
        <v>0</v>
      </c>
      <c r="Z724" s="11"/>
      <c r="AA724" s="13">
        <f t="shared" si="174"/>
        <v>0</v>
      </c>
      <c r="AB724" s="12">
        <f t="shared" si="175"/>
        <v>0</v>
      </c>
      <c r="AC724" s="14">
        <f t="shared" si="178"/>
        <v>0</v>
      </c>
      <c r="AE724" s="19">
        <f t="shared" si="176"/>
        <v>0</v>
      </c>
      <c r="AF724" s="19"/>
      <c r="AG724" s="17"/>
      <c r="AK724" s="7"/>
      <c r="AL724" s="108">
        <f t="shared" si="179"/>
        <v>0</v>
      </c>
      <c r="AM724" s="108">
        <f t="shared" si="180"/>
        <v>0</v>
      </c>
      <c r="AN724" s="113"/>
    </row>
    <row r="725" spans="2:40" x14ac:dyDescent="0.2">
      <c r="B725" s="7"/>
      <c r="C725" s="8"/>
      <c r="D725" s="8"/>
      <c r="E725" s="9"/>
      <c r="F725" s="6"/>
      <c r="G725" s="8"/>
      <c r="H725" s="32"/>
      <c r="I725" s="10" t="str">
        <f t="shared" si="177"/>
        <v>21</v>
      </c>
      <c r="J725" s="11">
        <v>1</v>
      </c>
      <c r="K725" s="11"/>
      <c r="L725" s="11"/>
      <c r="M725" s="11">
        <f t="shared" si="166"/>
        <v>0</v>
      </c>
      <c r="N725" s="11"/>
      <c r="O725" s="11">
        <f t="shared" si="167"/>
        <v>0</v>
      </c>
      <c r="P725" s="11"/>
      <c r="Q725" s="11"/>
      <c r="R725" s="11"/>
      <c r="S725" s="11">
        <f t="shared" si="168"/>
        <v>0</v>
      </c>
      <c r="T725" s="11">
        <f t="shared" si="169"/>
        <v>1666.6666666666667</v>
      </c>
      <c r="U725" s="11">
        <f t="shared" si="170"/>
        <v>0</v>
      </c>
      <c r="V725" s="24">
        <f t="shared" si="171"/>
        <v>0</v>
      </c>
      <c r="W725" s="11">
        <f>IF(V725&lt;=40000,0,
IF(V725&lt;=55000,(V725-40000)*10%,
IF(V725&lt;=70000,(V725-55000)*15%+1500,
IF(V725&lt;=200000,(V725-70000)*20%+1500+2250,
IF(V725&lt;=400000,(V725-200000)*22.5%+1500+2250+26000,
IF(V725&lt;=600000,(V725-400000)*25%+1500+2250+26000+45000,
IF(AND(V725&gt;600000,V725&lt;=1200000),(V725-400000)*25%+1500+2250+26000+45000
+IFERROR(LOOKUP(V725,{600001;700001;800001;900001},{4000;6750;10250;15250}),0),IF(V725&gt;1200000,((V725-1200000)*27.5%)+300000,0)
)))))))</f>
        <v>0</v>
      </c>
      <c r="X725" s="12">
        <f t="shared" si="172"/>
        <v>0</v>
      </c>
      <c r="Y725" s="12">
        <f t="shared" si="173"/>
        <v>0</v>
      </c>
      <c r="Z725" s="11"/>
      <c r="AA725" s="13">
        <f t="shared" si="174"/>
        <v>0</v>
      </c>
      <c r="AB725" s="12">
        <f t="shared" si="175"/>
        <v>0</v>
      </c>
      <c r="AC725" s="14">
        <f t="shared" si="178"/>
        <v>0</v>
      </c>
      <c r="AE725" s="19">
        <f t="shared" si="176"/>
        <v>0</v>
      </c>
      <c r="AF725" s="19"/>
      <c r="AG725" s="17"/>
      <c r="AK725" s="7"/>
      <c r="AL725" s="108">
        <f t="shared" si="179"/>
        <v>0</v>
      </c>
      <c r="AM725" s="108">
        <f t="shared" si="180"/>
        <v>0</v>
      </c>
      <c r="AN725" s="113"/>
    </row>
    <row r="726" spans="2:40" x14ac:dyDescent="0.2">
      <c r="B726" s="7"/>
      <c r="C726" s="8"/>
      <c r="D726" s="8"/>
      <c r="E726" s="9"/>
      <c r="F726" s="6"/>
      <c r="G726" s="8"/>
      <c r="H726" s="32"/>
      <c r="I726" s="10" t="str">
        <f t="shared" si="177"/>
        <v>21</v>
      </c>
      <c r="J726" s="11">
        <v>1</v>
      </c>
      <c r="K726" s="11"/>
      <c r="L726" s="11"/>
      <c r="M726" s="11">
        <f t="shared" si="166"/>
        <v>0</v>
      </c>
      <c r="N726" s="11"/>
      <c r="O726" s="11">
        <f t="shared" si="167"/>
        <v>0</v>
      </c>
      <c r="P726" s="11"/>
      <c r="Q726" s="11"/>
      <c r="R726" s="11"/>
      <c r="S726" s="11">
        <f t="shared" si="168"/>
        <v>0</v>
      </c>
      <c r="T726" s="11">
        <f t="shared" si="169"/>
        <v>1666.6666666666667</v>
      </c>
      <c r="U726" s="11">
        <f t="shared" si="170"/>
        <v>0</v>
      </c>
      <c r="V726" s="24">
        <f t="shared" si="171"/>
        <v>0</v>
      </c>
      <c r="W726" s="11">
        <f>IF(V726&lt;=40000,0,
IF(V726&lt;=55000,(V726-40000)*10%,
IF(V726&lt;=70000,(V726-55000)*15%+1500,
IF(V726&lt;=200000,(V726-70000)*20%+1500+2250,
IF(V726&lt;=400000,(V726-200000)*22.5%+1500+2250+26000,
IF(V726&lt;=600000,(V726-400000)*25%+1500+2250+26000+45000,
IF(AND(V726&gt;600000,V726&lt;=1200000),(V726-400000)*25%+1500+2250+26000+45000
+IFERROR(LOOKUP(V726,{600001;700001;800001;900001},{4000;6750;10250;15250}),0),IF(V726&gt;1200000,((V726-1200000)*27.5%)+300000,0)
)))))))</f>
        <v>0</v>
      </c>
      <c r="X726" s="12">
        <f t="shared" si="172"/>
        <v>0</v>
      </c>
      <c r="Y726" s="12">
        <f t="shared" si="173"/>
        <v>0</v>
      </c>
      <c r="Z726" s="11"/>
      <c r="AA726" s="13">
        <f t="shared" si="174"/>
        <v>0</v>
      </c>
      <c r="AB726" s="12">
        <f t="shared" si="175"/>
        <v>0</v>
      </c>
      <c r="AC726" s="14">
        <f t="shared" si="178"/>
        <v>0</v>
      </c>
      <c r="AE726" s="19">
        <f t="shared" si="176"/>
        <v>0</v>
      </c>
      <c r="AF726" s="19"/>
      <c r="AG726" s="17"/>
      <c r="AK726" s="7"/>
      <c r="AL726" s="108">
        <f t="shared" si="179"/>
        <v>0</v>
      </c>
      <c r="AM726" s="108">
        <f t="shared" si="180"/>
        <v>0</v>
      </c>
      <c r="AN726" s="113"/>
    </row>
    <row r="727" spans="2:40" x14ac:dyDescent="0.2">
      <c r="B727" s="7"/>
      <c r="C727" s="8"/>
      <c r="D727" s="8"/>
      <c r="E727" s="9"/>
      <c r="F727" s="6"/>
      <c r="G727" s="8"/>
      <c r="H727" s="32"/>
      <c r="I727" s="10" t="str">
        <f t="shared" si="177"/>
        <v>21</v>
      </c>
      <c r="J727" s="11">
        <v>1</v>
      </c>
      <c r="K727" s="11"/>
      <c r="L727" s="11"/>
      <c r="M727" s="11">
        <f t="shared" si="166"/>
        <v>0</v>
      </c>
      <c r="N727" s="11"/>
      <c r="O727" s="11">
        <f t="shared" si="167"/>
        <v>0</v>
      </c>
      <c r="P727" s="11"/>
      <c r="Q727" s="11"/>
      <c r="R727" s="11"/>
      <c r="S727" s="11">
        <f t="shared" si="168"/>
        <v>0</v>
      </c>
      <c r="T727" s="11">
        <f t="shared" si="169"/>
        <v>1666.6666666666667</v>
      </c>
      <c r="U727" s="11">
        <f t="shared" si="170"/>
        <v>0</v>
      </c>
      <c r="V727" s="24">
        <f t="shared" si="171"/>
        <v>0</v>
      </c>
      <c r="W727" s="11">
        <f>IF(V727&lt;=40000,0,
IF(V727&lt;=55000,(V727-40000)*10%,
IF(V727&lt;=70000,(V727-55000)*15%+1500,
IF(V727&lt;=200000,(V727-70000)*20%+1500+2250,
IF(V727&lt;=400000,(V727-200000)*22.5%+1500+2250+26000,
IF(V727&lt;=600000,(V727-400000)*25%+1500+2250+26000+45000,
IF(AND(V727&gt;600000,V727&lt;=1200000),(V727-400000)*25%+1500+2250+26000+45000
+IFERROR(LOOKUP(V727,{600001;700001;800001;900001},{4000;6750;10250;15250}),0),IF(V727&gt;1200000,((V727-1200000)*27.5%)+300000,0)
)))))))</f>
        <v>0</v>
      </c>
      <c r="X727" s="12">
        <f t="shared" si="172"/>
        <v>0</v>
      </c>
      <c r="Y727" s="12">
        <f t="shared" si="173"/>
        <v>0</v>
      </c>
      <c r="Z727" s="11"/>
      <c r="AA727" s="13">
        <f t="shared" si="174"/>
        <v>0</v>
      </c>
      <c r="AB727" s="12">
        <f t="shared" si="175"/>
        <v>0</v>
      </c>
      <c r="AC727" s="14">
        <f t="shared" si="178"/>
        <v>0</v>
      </c>
      <c r="AE727" s="19">
        <f t="shared" si="176"/>
        <v>0</v>
      </c>
      <c r="AF727" s="19"/>
      <c r="AG727" s="17"/>
      <c r="AK727" s="7"/>
      <c r="AL727" s="108">
        <f t="shared" si="179"/>
        <v>0</v>
      </c>
      <c r="AM727" s="108">
        <f t="shared" si="180"/>
        <v>0</v>
      </c>
      <c r="AN727" s="113"/>
    </row>
    <row r="728" spans="2:40" x14ac:dyDescent="0.2">
      <c r="B728" s="7"/>
      <c r="C728" s="8"/>
      <c r="D728" s="8"/>
      <c r="E728" s="9"/>
      <c r="F728" s="6"/>
      <c r="G728" s="8"/>
      <c r="H728" s="32"/>
      <c r="I728" s="10" t="str">
        <f t="shared" si="177"/>
        <v>21</v>
      </c>
      <c r="J728" s="11">
        <v>1</v>
      </c>
      <c r="K728" s="11"/>
      <c r="L728" s="11"/>
      <c r="M728" s="11">
        <f t="shared" si="166"/>
        <v>0</v>
      </c>
      <c r="N728" s="11"/>
      <c r="O728" s="11">
        <f t="shared" si="167"/>
        <v>0</v>
      </c>
      <c r="P728" s="11"/>
      <c r="Q728" s="11"/>
      <c r="R728" s="11"/>
      <c r="S728" s="11">
        <f t="shared" si="168"/>
        <v>0</v>
      </c>
      <c r="T728" s="11">
        <f t="shared" si="169"/>
        <v>1666.6666666666667</v>
      </c>
      <c r="U728" s="11">
        <f t="shared" si="170"/>
        <v>0</v>
      </c>
      <c r="V728" s="24">
        <f t="shared" si="171"/>
        <v>0</v>
      </c>
      <c r="W728" s="11">
        <f>IF(V728&lt;=40000,0,
IF(V728&lt;=55000,(V728-40000)*10%,
IF(V728&lt;=70000,(V728-55000)*15%+1500,
IF(V728&lt;=200000,(V728-70000)*20%+1500+2250,
IF(V728&lt;=400000,(V728-200000)*22.5%+1500+2250+26000,
IF(V728&lt;=600000,(V728-400000)*25%+1500+2250+26000+45000,
IF(AND(V728&gt;600000,V728&lt;=1200000),(V728-400000)*25%+1500+2250+26000+45000
+IFERROR(LOOKUP(V728,{600001;700001;800001;900001},{4000;6750;10250;15250}),0),IF(V728&gt;1200000,((V728-1200000)*27.5%)+300000,0)
)))))))</f>
        <v>0</v>
      </c>
      <c r="X728" s="12">
        <f t="shared" si="172"/>
        <v>0</v>
      </c>
      <c r="Y728" s="12">
        <f t="shared" si="173"/>
        <v>0</v>
      </c>
      <c r="Z728" s="11"/>
      <c r="AA728" s="13">
        <f t="shared" si="174"/>
        <v>0</v>
      </c>
      <c r="AB728" s="12">
        <f t="shared" si="175"/>
        <v>0</v>
      </c>
      <c r="AC728" s="14">
        <f t="shared" si="178"/>
        <v>0</v>
      </c>
      <c r="AE728" s="19">
        <f t="shared" si="176"/>
        <v>0</v>
      </c>
      <c r="AF728" s="19"/>
      <c r="AG728" s="17"/>
      <c r="AK728" s="7"/>
      <c r="AL728" s="108">
        <f t="shared" si="179"/>
        <v>0</v>
      </c>
      <c r="AM728" s="108">
        <f t="shared" si="180"/>
        <v>0</v>
      </c>
      <c r="AN728" s="113"/>
    </row>
    <row r="729" spans="2:40" x14ac:dyDescent="0.2">
      <c r="B729" s="7"/>
      <c r="C729" s="8"/>
      <c r="D729" s="8"/>
      <c r="E729" s="9"/>
      <c r="F729" s="6"/>
      <c r="G729" s="8"/>
      <c r="H729" s="32"/>
      <c r="I729" s="10" t="str">
        <f t="shared" si="177"/>
        <v>21</v>
      </c>
      <c r="J729" s="11">
        <v>1</v>
      </c>
      <c r="K729" s="11"/>
      <c r="L729" s="11"/>
      <c r="M729" s="11">
        <f t="shared" si="166"/>
        <v>0</v>
      </c>
      <c r="N729" s="11"/>
      <c r="O729" s="11">
        <f t="shared" si="167"/>
        <v>0</v>
      </c>
      <c r="P729" s="11"/>
      <c r="Q729" s="11"/>
      <c r="R729" s="11"/>
      <c r="S729" s="11">
        <f t="shared" si="168"/>
        <v>0</v>
      </c>
      <c r="T729" s="11">
        <f t="shared" si="169"/>
        <v>1666.6666666666667</v>
      </c>
      <c r="U729" s="11">
        <f t="shared" si="170"/>
        <v>0</v>
      </c>
      <c r="V729" s="24">
        <f t="shared" si="171"/>
        <v>0</v>
      </c>
      <c r="W729" s="11">
        <f>IF(V729&lt;=40000,0,
IF(V729&lt;=55000,(V729-40000)*10%,
IF(V729&lt;=70000,(V729-55000)*15%+1500,
IF(V729&lt;=200000,(V729-70000)*20%+1500+2250,
IF(V729&lt;=400000,(V729-200000)*22.5%+1500+2250+26000,
IF(V729&lt;=600000,(V729-400000)*25%+1500+2250+26000+45000,
IF(AND(V729&gt;600000,V729&lt;=1200000),(V729-400000)*25%+1500+2250+26000+45000
+IFERROR(LOOKUP(V729,{600001;700001;800001;900001},{4000;6750;10250;15250}),0),IF(V729&gt;1200000,((V729-1200000)*27.5%)+300000,0)
)))))))</f>
        <v>0</v>
      </c>
      <c r="X729" s="12">
        <f t="shared" si="172"/>
        <v>0</v>
      </c>
      <c r="Y729" s="12">
        <f t="shared" si="173"/>
        <v>0</v>
      </c>
      <c r="Z729" s="11"/>
      <c r="AA729" s="13">
        <f t="shared" si="174"/>
        <v>0</v>
      </c>
      <c r="AB729" s="12">
        <f t="shared" si="175"/>
        <v>0</v>
      </c>
      <c r="AC729" s="14">
        <f t="shared" si="178"/>
        <v>0</v>
      </c>
      <c r="AE729" s="19">
        <f t="shared" si="176"/>
        <v>0</v>
      </c>
      <c r="AF729" s="19"/>
      <c r="AG729" s="17"/>
      <c r="AK729" s="7"/>
      <c r="AL729" s="108">
        <f t="shared" si="179"/>
        <v>0</v>
      </c>
      <c r="AM729" s="108">
        <f t="shared" si="180"/>
        <v>0</v>
      </c>
      <c r="AN729" s="113"/>
    </row>
    <row r="730" spans="2:40" x14ac:dyDescent="0.2">
      <c r="B730" s="7"/>
      <c r="C730" s="8"/>
      <c r="D730" s="8"/>
      <c r="E730" s="9"/>
      <c r="F730" s="6"/>
      <c r="G730" s="8"/>
      <c r="H730" s="32"/>
      <c r="I730" s="10" t="str">
        <f t="shared" si="177"/>
        <v>21</v>
      </c>
      <c r="J730" s="11">
        <v>1</v>
      </c>
      <c r="K730" s="11"/>
      <c r="L730" s="11"/>
      <c r="M730" s="11">
        <f t="shared" si="166"/>
        <v>0</v>
      </c>
      <c r="N730" s="11"/>
      <c r="O730" s="11">
        <f t="shared" si="167"/>
        <v>0</v>
      </c>
      <c r="P730" s="11"/>
      <c r="Q730" s="11"/>
      <c r="R730" s="11"/>
      <c r="S730" s="11">
        <f t="shared" si="168"/>
        <v>0</v>
      </c>
      <c r="T730" s="11">
        <f t="shared" si="169"/>
        <v>1666.6666666666667</v>
      </c>
      <c r="U730" s="11">
        <f t="shared" si="170"/>
        <v>0</v>
      </c>
      <c r="V730" s="24">
        <f t="shared" si="171"/>
        <v>0</v>
      </c>
      <c r="W730" s="11">
        <f>IF(V730&lt;=40000,0,
IF(V730&lt;=55000,(V730-40000)*10%,
IF(V730&lt;=70000,(V730-55000)*15%+1500,
IF(V730&lt;=200000,(V730-70000)*20%+1500+2250,
IF(V730&lt;=400000,(V730-200000)*22.5%+1500+2250+26000,
IF(V730&lt;=600000,(V730-400000)*25%+1500+2250+26000+45000,
IF(AND(V730&gt;600000,V730&lt;=1200000),(V730-400000)*25%+1500+2250+26000+45000
+IFERROR(LOOKUP(V730,{600001;700001;800001;900001},{4000;6750;10250;15250}),0),IF(V730&gt;1200000,((V730-1200000)*27.5%)+300000,0)
)))))))</f>
        <v>0</v>
      </c>
      <c r="X730" s="12">
        <f t="shared" si="172"/>
        <v>0</v>
      </c>
      <c r="Y730" s="12">
        <f t="shared" si="173"/>
        <v>0</v>
      </c>
      <c r="Z730" s="11"/>
      <c r="AA730" s="13">
        <f t="shared" si="174"/>
        <v>0</v>
      </c>
      <c r="AB730" s="12">
        <f t="shared" si="175"/>
        <v>0</v>
      </c>
      <c r="AC730" s="14">
        <f t="shared" si="178"/>
        <v>0</v>
      </c>
      <c r="AE730" s="19">
        <f t="shared" si="176"/>
        <v>0</v>
      </c>
      <c r="AF730" s="19"/>
      <c r="AG730" s="17"/>
      <c r="AK730" s="7"/>
      <c r="AL730" s="108">
        <f t="shared" si="179"/>
        <v>0</v>
      </c>
      <c r="AM730" s="108">
        <f t="shared" si="180"/>
        <v>0</v>
      </c>
      <c r="AN730" s="113"/>
    </row>
    <row r="731" spans="2:40" x14ac:dyDescent="0.2">
      <c r="B731" s="7"/>
      <c r="C731" s="8"/>
      <c r="D731" s="8"/>
      <c r="E731" s="9"/>
      <c r="F731" s="6"/>
      <c r="G731" s="8"/>
      <c r="H731" s="32"/>
      <c r="I731" s="10" t="str">
        <f t="shared" si="177"/>
        <v>21</v>
      </c>
      <c r="J731" s="11">
        <v>1</v>
      </c>
      <c r="K731" s="11"/>
      <c r="L731" s="11"/>
      <c r="M731" s="11">
        <f t="shared" si="166"/>
        <v>0</v>
      </c>
      <c r="N731" s="11"/>
      <c r="O731" s="11">
        <f t="shared" si="167"/>
        <v>0</v>
      </c>
      <c r="P731" s="11"/>
      <c r="Q731" s="11"/>
      <c r="R731" s="11"/>
      <c r="S731" s="11">
        <f t="shared" si="168"/>
        <v>0</v>
      </c>
      <c r="T731" s="11">
        <f t="shared" si="169"/>
        <v>1666.6666666666667</v>
      </c>
      <c r="U731" s="11">
        <f t="shared" si="170"/>
        <v>0</v>
      </c>
      <c r="V731" s="24">
        <f t="shared" si="171"/>
        <v>0</v>
      </c>
      <c r="W731" s="11">
        <f>IF(V731&lt;=40000,0,
IF(V731&lt;=55000,(V731-40000)*10%,
IF(V731&lt;=70000,(V731-55000)*15%+1500,
IF(V731&lt;=200000,(V731-70000)*20%+1500+2250,
IF(V731&lt;=400000,(V731-200000)*22.5%+1500+2250+26000,
IF(V731&lt;=600000,(V731-400000)*25%+1500+2250+26000+45000,
IF(AND(V731&gt;600000,V731&lt;=1200000),(V731-400000)*25%+1500+2250+26000+45000
+IFERROR(LOOKUP(V731,{600001;700001;800001;900001},{4000;6750;10250;15250}),0),IF(V731&gt;1200000,((V731-1200000)*27.5%)+300000,0)
)))))))</f>
        <v>0</v>
      </c>
      <c r="X731" s="12">
        <f t="shared" si="172"/>
        <v>0</v>
      </c>
      <c r="Y731" s="12">
        <f t="shared" si="173"/>
        <v>0</v>
      </c>
      <c r="Z731" s="11"/>
      <c r="AA731" s="13">
        <f t="shared" si="174"/>
        <v>0</v>
      </c>
      <c r="AB731" s="12">
        <f t="shared" si="175"/>
        <v>0</v>
      </c>
      <c r="AC731" s="14">
        <f t="shared" si="178"/>
        <v>0</v>
      </c>
      <c r="AE731" s="19">
        <f t="shared" si="176"/>
        <v>0</v>
      </c>
      <c r="AF731" s="19"/>
      <c r="AG731" s="17"/>
      <c r="AK731" s="7"/>
      <c r="AL731" s="108">
        <f t="shared" si="179"/>
        <v>0</v>
      </c>
      <c r="AM731" s="108">
        <f t="shared" si="180"/>
        <v>0</v>
      </c>
      <c r="AN731" s="113"/>
    </row>
    <row r="732" spans="2:40" x14ac:dyDescent="0.2">
      <c r="B732" s="7"/>
      <c r="C732" s="8"/>
      <c r="D732" s="8"/>
      <c r="E732" s="9"/>
      <c r="F732" s="6"/>
      <c r="G732" s="8"/>
      <c r="H732" s="32"/>
      <c r="I732" s="10" t="str">
        <f t="shared" si="177"/>
        <v>21</v>
      </c>
      <c r="J732" s="11">
        <v>1</v>
      </c>
      <c r="K732" s="11"/>
      <c r="L732" s="11"/>
      <c r="M732" s="11">
        <f t="shared" si="166"/>
        <v>0</v>
      </c>
      <c r="N732" s="11"/>
      <c r="O732" s="11">
        <f t="shared" si="167"/>
        <v>0</v>
      </c>
      <c r="P732" s="11"/>
      <c r="Q732" s="11"/>
      <c r="R732" s="11"/>
      <c r="S732" s="11">
        <f t="shared" si="168"/>
        <v>0</v>
      </c>
      <c r="T732" s="11">
        <f t="shared" si="169"/>
        <v>1666.6666666666667</v>
      </c>
      <c r="U732" s="11">
        <f t="shared" si="170"/>
        <v>0</v>
      </c>
      <c r="V732" s="24">
        <f t="shared" si="171"/>
        <v>0</v>
      </c>
      <c r="W732" s="11">
        <f>IF(V732&lt;=40000,0,
IF(V732&lt;=55000,(V732-40000)*10%,
IF(V732&lt;=70000,(V732-55000)*15%+1500,
IF(V732&lt;=200000,(V732-70000)*20%+1500+2250,
IF(V732&lt;=400000,(V732-200000)*22.5%+1500+2250+26000,
IF(V732&lt;=600000,(V732-400000)*25%+1500+2250+26000+45000,
IF(AND(V732&gt;600000,V732&lt;=1200000),(V732-400000)*25%+1500+2250+26000+45000
+IFERROR(LOOKUP(V732,{600001;700001;800001;900001},{4000;6750;10250;15250}),0),IF(V732&gt;1200000,((V732-1200000)*27.5%)+300000,0)
)))))))</f>
        <v>0</v>
      </c>
      <c r="X732" s="12">
        <f t="shared" si="172"/>
        <v>0</v>
      </c>
      <c r="Y732" s="12">
        <f t="shared" si="173"/>
        <v>0</v>
      </c>
      <c r="Z732" s="11"/>
      <c r="AA732" s="13">
        <f t="shared" si="174"/>
        <v>0</v>
      </c>
      <c r="AB732" s="12">
        <f t="shared" si="175"/>
        <v>0</v>
      </c>
      <c r="AC732" s="14">
        <f t="shared" si="178"/>
        <v>0</v>
      </c>
      <c r="AE732" s="19">
        <f t="shared" si="176"/>
        <v>0</v>
      </c>
      <c r="AF732" s="19"/>
      <c r="AG732" s="17"/>
      <c r="AK732" s="7"/>
      <c r="AL732" s="108">
        <f t="shared" si="179"/>
        <v>0</v>
      </c>
      <c r="AM732" s="108">
        <f t="shared" si="180"/>
        <v>0</v>
      </c>
      <c r="AN732" s="113"/>
    </row>
    <row r="733" spans="2:40" x14ac:dyDescent="0.2">
      <c r="B733" s="7"/>
      <c r="C733" s="8"/>
      <c r="D733" s="8"/>
      <c r="E733" s="9"/>
      <c r="F733" s="6"/>
      <c r="G733" s="8"/>
      <c r="H733" s="32"/>
      <c r="I733" s="10" t="str">
        <f t="shared" si="177"/>
        <v>21</v>
      </c>
      <c r="J733" s="11">
        <v>1</v>
      </c>
      <c r="K733" s="11"/>
      <c r="L733" s="11"/>
      <c r="M733" s="11">
        <f t="shared" ref="M733:M796" si="181">SUM(K733:L733)</f>
        <v>0</v>
      </c>
      <c r="N733" s="11"/>
      <c r="O733" s="11">
        <f t="shared" ref="O733:O796" si="182">+N733+M733</f>
        <v>0</v>
      </c>
      <c r="P733" s="11"/>
      <c r="Q733" s="11"/>
      <c r="R733" s="11"/>
      <c r="S733" s="11">
        <f t="shared" ref="S733:S796" si="183">O733-P733-Q733-R733</f>
        <v>0</v>
      </c>
      <c r="T733" s="11">
        <f t="shared" ref="T733:T796" si="184">IF(J733&gt;0,(20000/12*J733),0)</f>
        <v>1666.6666666666667</v>
      </c>
      <c r="U733" s="11">
        <f t="shared" ref="U733:U796" si="185">IF(AND(J733&gt;0,S733-T733&gt;0),S733-T733,0)</f>
        <v>0</v>
      </c>
      <c r="V733" s="24">
        <f t="shared" ref="V733:V796" si="186">IF(J733=0,0,(U733/J733*12))</f>
        <v>0</v>
      </c>
      <c r="W733" s="11">
        <f>IF(V733&lt;=40000,0,
IF(V733&lt;=55000,(V733-40000)*10%,
IF(V733&lt;=70000,(V733-55000)*15%+1500,
IF(V733&lt;=200000,(V733-70000)*20%+1500+2250,
IF(V733&lt;=400000,(V733-200000)*22.5%+1500+2250+26000,
IF(V733&lt;=600000,(V733-400000)*25%+1500+2250+26000+45000,
IF(AND(V733&gt;600000,V733&lt;=1200000),(V733-400000)*25%+1500+2250+26000+45000
+IFERROR(LOOKUP(V733,{600001;700001;800001;900001},{4000;6750;10250;15250}),0),IF(V733&gt;1200000,((V733-1200000)*27.5%)+300000,0)
)))))))</f>
        <v>0</v>
      </c>
      <c r="X733" s="12">
        <f t="shared" ref="X733:X796" si="187">N733*0.1</f>
        <v>0</v>
      </c>
      <c r="Y733" s="12">
        <f t="shared" ref="Y733:Y796" si="188">(W733/12*J733)-X733</f>
        <v>0</v>
      </c>
      <c r="Z733" s="11"/>
      <c r="AA733" s="13">
        <f t="shared" ref="AA733:AA796" si="189">+O733-P733-Y733-Z733</f>
        <v>0</v>
      </c>
      <c r="AB733" s="12">
        <f t="shared" ref="AB733:AB796" si="190">(P733/0.11)*18.75%</f>
        <v>0</v>
      </c>
      <c r="AC733" s="14">
        <f t="shared" si="178"/>
        <v>0</v>
      </c>
      <c r="AE733" s="19">
        <f t="shared" ref="AE733:AE796" si="191">+AD733-AC733</f>
        <v>0</v>
      </c>
      <c r="AF733" s="19"/>
      <c r="AG733" s="17"/>
      <c r="AK733" s="7"/>
      <c r="AL733" s="108">
        <f t="shared" si="179"/>
        <v>0</v>
      </c>
      <c r="AM733" s="108">
        <f t="shared" si="180"/>
        <v>0</v>
      </c>
      <c r="AN733" s="113"/>
    </row>
    <row r="734" spans="2:40" x14ac:dyDescent="0.2">
      <c r="B734" s="7"/>
      <c r="C734" s="8"/>
      <c r="D734" s="8"/>
      <c r="E734" s="9"/>
      <c r="F734" s="6"/>
      <c r="G734" s="8"/>
      <c r="H734" s="32"/>
      <c r="I734" s="10" t="str">
        <f t="shared" si="177"/>
        <v>21</v>
      </c>
      <c r="J734" s="11">
        <v>1</v>
      </c>
      <c r="K734" s="11"/>
      <c r="L734" s="11"/>
      <c r="M734" s="11">
        <f t="shared" si="181"/>
        <v>0</v>
      </c>
      <c r="N734" s="11"/>
      <c r="O734" s="11">
        <f t="shared" si="182"/>
        <v>0</v>
      </c>
      <c r="P734" s="11"/>
      <c r="Q734" s="11"/>
      <c r="R734" s="11"/>
      <c r="S734" s="11">
        <f t="shared" si="183"/>
        <v>0</v>
      </c>
      <c r="T734" s="11">
        <f t="shared" si="184"/>
        <v>1666.6666666666667</v>
      </c>
      <c r="U734" s="11">
        <f t="shared" si="185"/>
        <v>0</v>
      </c>
      <c r="V734" s="24">
        <f t="shared" si="186"/>
        <v>0</v>
      </c>
      <c r="W734" s="11">
        <f>IF(V734&lt;=40000,0,
IF(V734&lt;=55000,(V734-40000)*10%,
IF(V734&lt;=70000,(V734-55000)*15%+1500,
IF(V734&lt;=200000,(V734-70000)*20%+1500+2250,
IF(V734&lt;=400000,(V734-200000)*22.5%+1500+2250+26000,
IF(V734&lt;=600000,(V734-400000)*25%+1500+2250+26000+45000,
IF(AND(V734&gt;600000,V734&lt;=1200000),(V734-400000)*25%+1500+2250+26000+45000
+IFERROR(LOOKUP(V734,{600001;700001;800001;900001},{4000;6750;10250;15250}),0),IF(V734&gt;1200000,((V734-1200000)*27.5%)+300000,0)
)))))))</f>
        <v>0</v>
      </c>
      <c r="X734" s="12">
        <f t="shared" si="187"/>
        <v>0</v>
      </c>
      <c r="Y734" s="12">
        <f t="shared" si="188"/>
        <v>0</v>
      </c>
      <c r="Z734" s="11"/>
      <c r="AA734" s="13">
        <f t="shared" si="189"/>
        <v>0</v>
      </c>
      <c r="AB734" s="12">
        <f t="shared" si="190"/>
        <v>0</v>
      </c>
      <c r="AC734" s="14">
        <f t="shared" si="178"/>
        <v>0</v>
      </c>
      <c r="AE734" s="19">
        <f t="shared" si="191"/>
        <v>0</v>
      </c>
      <c r="AF734" s="19"/>
      <c r="AG734" s="17"/>
      <c r="AK734" s="7"/>
      <c r="AL734" s="108">
        <f t="shared" si="179"/>
        <v>0</v>
      </c>
      <c r="AM734" s="108">
        <f t="shared" si="180"/>
        <v>0</v>
      </c>
      <c r="AN734" s="113"/>
    </row>
    <row r="735" spans="2:40" x14ac:dyDescent="0.2">
      <c r="B735" s="7"/>
      <c r="C735" s="8"/>
      <c r="D735" s="8"/>
      <c r="E735" s="9"/>
      <c r="F735" s="6"/>
      <c r="G735" s="8"/>
      <c r="H735" s="32"/>
      <c r="I735" s="10" t="str">
        <f t="shared" si="177"/>
        <v>21</v>
      </c>
      <c r="J735" s="11">
        <v>1</v>
      </c>
      <c r="K735" s="11"/>
      <c r="L735" s="11"/>
      <c r="M735" s="11">
        <f t="shared" si="181"/>
        <v>0</v>
      </c>
      <c r="N735" s="11"/>
      <c r="O735" s="11">
        <f t="shared" si="182"/>
        <v>0</v>
      </c>
      <c r="P735" s="11"/>
      <c r="Q735" s="11"/>
      <c r="R735" s="11"/>
      <c r="S735" s="11">
        <f t="shared" si="183"/>
        <v>0</v>
      </c>
      <c r="T735" s="11">
        <f t="shared" si="184"/>
        <v>1666.6666666666667</v>
      </c>
      <c r="U735" s="11">
        <f t="shared" si="185"/>
        <v>0</v>
      </c>
      <c r="V735" s="24">
        <f t="shared" si="186"/>
        <v>0</v>
      </c>
      <c r="W735" s="11">
        <f>IF(V735&lt;=40000,0,
IF(V735&lt;=55000,(V735-40000)*10%,
IF(V735&lt;=70000,(V735-55000)*15%+1500,
IF(V735&lt;=200000,(V735-70000)*20%+1500+2250,
IF(V735&lt;=400000,(V735-200000)*22.5%+1500+2250+26000,
IF(V735&lt;=600000,(V735-400000)*25%+1500+2250+26000+45000,
IF(AND(V735&gt;600000,V735&lt;=1200000),(V735-400000)*25%+1500+2250+26000+45000
+IFERROR(LOOKUP(V735,{600001;700001;800001;900001},{4000;6750;10250;15250}),0),IF(V735&gt;1200000,((V735-1200000)*27.5%)+300000,0)
)))))))</f>
        <v>0</v>
      </c>
      <c r="X735" s="12">
        <f t="shared" si="187"/>
        <v>0</v>
      </c>
      <c r="Y735" s="12">
        <f t="shared" si="188"/>
        <v>0</v>
      </c>
      <c r="Z735" s="11"/>
      <c r="AA735" s="13">
        <f t="shared" si="189"/>
        <v>0</v>
      </c>
      <c r="AB735" s="12">
        <f t="shared" si="190"/>
        <v>0</v>
      </c>
      <c r="AC735" s="14">
        <f t="shared" si="178"/>
        <v>0</v>
      </c>
      <c r="AE735" s="19">
        <f t="shared" si="191"/>
        <v>0</v>
      </c>
      <c r="AF735" s="19"/>
      <c r="AG735" s="17"/>
      <c r="AK735" s="7"/>
      <c r="AL735" s="108">
        <f t="shared" si="179"/>
        <v>0</v>
      </c>
      <c r="AM735" s="108">
        <f t="shared" si="180"/>
        <v>0</v>
      </c>
      <c r="AN735" s="113"/>
    </row>
    <row r="736" spans="2:40" x14ac:dyDescent="0.2">
      <c r="B736" s="7"/>
      <c r="C736" s="8"/>
      <c r="D736" s="8"/>
      <c r="E736" s="9"/>
      <c r="F736" s="6"/>
      <c r="G736" s="8"/>
      <c r="H736" s="32"/>
      <c r="I736" s="10" t="str">
        <f t="shared" si="177"/>
        <v>21</v>
      </c>
      <c r="J736" s="11">
        <v>1</v>
      </c>
      <c r="K736" s="11"/>
      <c r="L736" s="11"/>
      <c r="M736" s="11">
        <f t="shared" si="181"/>
        <v>0</v>
      </c>
      <c r="N736" s="11"/>
      <c r="O736" s="11">
        <f t="shared" si="182"/>
        <v>0</v>
      </c>
      <c r="P736" s="11"/>
      <c r="Q736" s="11"/>
      <c r="R736" s="11"/>
      <c r="S736" s="11">
        <f t="shared" si="183"/>
        <v>0</v>
      </c>
      <c r="T736" s="11">
        <f t="shared" si="184"/>
        <v>1666.6666666666667</v>
      </c>
      <c r="U736" s="11">
        <f t="shared" si="185"/>
        <v>0</v>
      </c>
      <c r="V736" s="24">
        <f t="shared" si="186"/>
        <v>0</v>
      </c>
      <c r="W736" s="11">
        <f>IF(V736&lt;=40000,0,
IF(V736&lt;=55000,(V736-40000)*10%,
IF(V736&lt;=70000,(V736-55000)*15%+1500,
IF(V736&lt;=200000,(V736-70000)*20%+1500+2250,
IF(V736&lt;=400000,(V736-200000)*22.5%+1500+2250+26000,
IF(V736&lt;=600000,(V736-400000)*25%+1500+2250+26000+45000,
IF(AND(V736&gt;600000,V736&lt;=1200000),(V736-400000)*25%+1500+2250+26000+45000
+IFERROR(LOOKUP(V736,{600001;700001;800001;900001},{4000;6750;10250;15250}),0),IF(V736&gt;1200000,((V736-1200000)*27.5%)+300000,0)
)))))))</f>
        <v>0</v>
      </c>
      <c r="X736" s="12">
        <f t="shared" si="187"/>
        <v>0</v>
      </c>
      <c r="Y736" s="12">
        <f t="shared" si="188"/>
        <v>0</v>
      </c>
      <c r="Z736" s="11"/>
      <c r="AA736" s="13">
        <f t="shared" si="189"/>
        <v>0</v>
      </c>
      <c r="AB736" s="12">
        <f t="shared" si="190"/>
        <v>0</v>
      </c>
      <c r="AC736" s="14">
        <f t="shared" si="178"/>
        <v>0</v>
      </c>
      <c r="AE736" s="19">
        <f t="shared" si="191"/>
        <v>0</v>
      </c>
      <c r="AF736" s="19"/>
      <c r="AG736" s="17"/>
      <c r="AK736" s="7"/>
      <c r="AL736" s="108">
        <f t="shared" si="179"/>
        <v>0</v>
      </c>
      <c r="AM736" s="108">
        <f t="shared" si="180"/>
        <v>0</v>
      </c>
      <c r="AN736" s="113"/>
    </row>
    <row r="737" spans="2:40" x14ac:dyDescent="0.2">
      <c r="B737" s="7"/>
      <c r="C737" s="8"/>
      <c r="D737" s="8"/>
      <c r="E737" s="9"/>
      <c r="F737" s="6"/>
      <c r="G737" s="8"/>
      <c r="H737" s="32"/>
      <c r="I737" s="10" t="str">
        <f t="shared" si="177"/>
        <v>21</v>
      </c>
      <c r="J737" s="11">
        <v>1</v>
      </c>
      <c r="K737" s="11"/>
      <c r="L737" s="11"/>
      <c r="M737" s="11">
        <f t="shared" si="181"/>
        <v>0</v>
      </c>
      <c r="N737" s="11"/>
      <c r="O737" s="11">
        <f t="shared" si="182"/>
        <v>0</v>
      </c>
      <c r="P737" s="11"/>
      <c r="Q737" s="11"/>
      <c r="R737" s="11"/>
      <c r="S737" s="11">
        <f t="shared" si="183"/>
        <v>0</v>
      </c>
      <c r="T737" s="11">
        <f t="shared" si="184"/>
        <v>1666.6666666666667</v>
      </c>
      <c r="U737" s="11">
        <f t="shared" si="185"/>
        <v>0</v>
      </c>
      <c r="V737" s="24">
        <f t="shared" si="186"/>
        <v>0</v>
      </c>
      <c r="W737" s="11">
        <f>IF(V737&lt;=40000,0,
IF(V737&lt;=55000,(V737-40000)*10%,
IF(V737&lt;=70000,(V737-55000)*15%+1500,
IF(V737&lt;=200000,(V737-70000)*20%+1500+2250,
IF(V737&lt;=400000,(V737-200000)*22.5%+1500+2250+26000,
IF(V737&lt;=600000,(V737-400000)*25%+1500+2250+26000+45000,
IF(AND(V737&gt;600000,V737&lt;=1200000),(V737-400000)*25%+1500+2250+26000+45000
+IFERROR(LOOKUP(V737,{600001;700001;800001;900001},{4000;6750;10250;15250}),0),IF(V737&gt;1200000,((V737-1200000)*27.5%)+300000,0)
)))))))</f>
        <v>0</v>
      </c>
      <c r="X737" s="12">
        <f t="shared" si="187"/>
        <v>0</v>
      </c>
      <c r="Y737" s="12">
        <f t="shared" si="188"/>
        <v>0</v>
      </c>
      <c r="Z737" s="11"/>
      <c r="AA737" s="13">
        <f t="shared" si="189"/>
        <v>0</v>
      </c>
      <c r="AB737" s="12">
        <f t="shared" si="190"/>
        <v>0</v>
      </c>
      <c r="AC737" s="14">
        <f t="shared" si="178"/>
        <v>0</v>
      </c>
      <c r="AE737" s="19">
        <f t="shared" si="191"/>
        <v>0</v>
      </c>
      <c r="AF737" s="19"/>
      <c r="AG737" s="17"/>
      <c r="AK737" s="7"/>
      <c r="AL737" s="108">
        <f t="shared" si="179"/>
        <v>0</v>
      </c>
      <c r="AM737" s="108">
        <f t="shared" si="180"/>
        <v>0</v>
      </c>
      <c r="AN737" s="113"/>
    </row>
    <row r="738" spans="2:40" x14ac:dyDescent="0.2">
      <c r="B738" s="7"/>
      <c r="C738" s="8"/>
      <c r="D738" s="8"/>
      <c r="E738" s="9"/>
      <c r="F738" s="6"/>
      <c r="G738" s="8"/>
      <c r="H738" s="32"/>
      <c r="I738" s="10" t="str">
        <f t="shared" si="177"/>
        <v>21</v>
      </c>
      <c r="J738" s="11">
        <v>1</v>
      </c>
      <c r="K738" s="11"/>
      <c r="L738" s="11"/>
      <c r="M738" s="11">
        <f t="shared" si="181"/>
        <v>0</v>
      </c>
      <c r="N738" s="11"/>
      <c r="O738" s="11">
        <f t="shared" si="182"/>
        <v>0</v>
      </c>
      <c r="P738" s="11"/>
      <c r="Q738" s="11"/>
      <c r="R738" s="11"/>
      <c r="S738" s="11">
        <f t="shared" si="183"/>
        <v>0</v>
      </c>
      <c r="T738" s="11">
        <f t="shared" si="184"/>
        <v>1666.6666666666667</v>
      </c>
      <c r="U738" s="11">
        <f t="shared" si="185"/>
        <v>0</v>
      </c>
      <c r="V738" s="24">
        <f t="shared" si="186"/>
        <v>0</v>
      </c>
      <c r="W738" s="11">
        <f>IF(V738&lt;=40000,0,
IF(V738&lt;=55000,(V738-40000)*10%,
IF(V738&lt;=70000,(V738-55000)*15%+1500,
IF(V738&lt;=200000,(V738-70000)*20%+1500+2250,
IF(V738&lt;=400000,(V738-200000)*22.5%+1500+2250+26000,
IF(V738&lt;=600000,(V738-400000)*25%+1500+2250+26000+45000,
IF(AND(V738&gt;600000,V738&lt;=1200000),(V738-400000)*25%+1500+2250+26000+45000
+IFERROR(LOOKUP(V738,{600001;700001;800001;900001},{4000;6750;10250;15250}),0),IF(V738&gt;1200000,((V738-1200000)*27.5%)+300000,0)
)))))))</f>
        <v>0</v>
      </c>
      <c r="X738" s="12">
        <f t="shared" si="187"/>
        <v>0</v>
      </c>
      <c r="Y738" s="12">
        <f t="shared" si="188"/>
        <v>0</v>
      </c>
      <c r="Z738" s="11"/>
      <c r="AA738" s="13">
        <f t="shared" si="189"/>
        <v>0</v>
      </c>
      <c r="AB738" s="12">
        <f t="shared" si="190"/>
        <v>0</v>
      </c>
      <c r="AC738" s="14">
        <f t="shared" si="178"/>
        <v>0</v>
      </c>
      <c r="AE738" s="19">
        <f t="shared" si="191"/>
        <v>0</v>
      </c>
      <c r="AF738" s="19"/>
      <c r="AG738" s="17"/>
      <c r="AK738" s="7"/>
      <c r="AL738" s="108">
        <f t="shared" si="179"/>
        <v>0</v>
      </c>
      <c r="AM738" s="108">
        <f t="shared" si="180"/>
        <v>0</v>
      </c>
      <c r="AN738" s="113"/>
    </row>
    <row r="739" spans="2:40" x14ac:dyDescent="0.2">
      <c r="B739" s="7"/>
      <c r="C739" s="8"/>
      <c r="D739" s="8"/>
      <c r="E739" s="9"/>
      <c r="F739" s="6"/>
      <c r="G739" s="8"/>
      <c r="H739" s="32"/>
      <c r="I739" s="10" t="str">
        <f t="shared" si="177"/>
        <v>21</v>
      </c>
      <c r="J739" s="11">
        <v>1</v>
      </c>
      <c r="K739" s="11"/>
      <c r="L739" s="11"/>
      <c r="M739" s="11">
        <f t="shared" si="181"/>
        <v>0</v>
      </c>
      <c r="N739" s="11"/>
      <c r="O739" s="11">
        <f t="shared" si="182"/>
        <v>0</v>
      </c>
      <c r="P739" s="11"/>
      <c r="Q739" s="11"/>
      <c r="R739" s="11"/>
      <c r="S739" s="11">
        <f t="shared" si="183"/>
        <v>0</v>
      </c>
      <c r="T739" s="11">
        <f t="shared" si="184"/>
        <v>1666.6666666666667</v>
      </c>
      <c r="U739" s="11">
        <f t="shared" si="185"/>
        <v>0</v>
      </c>
      <c r="V739" s="24">
        <f t="shared" si="186"/>
        <v>0</v>
      </c>
      <c r="W739" s="11">
        <f>IF(V739&lt;=40000,0,
IF(V739&lt;=55000,(V739-40000)*10%,
IF(V739&lt;=70000,(V739-55000)*15%+1500,
IF(V739&lt;=200000,(V739-70000)*20%+1500+2250,
IF(V739&lt;=400000,(V739-200000)*22.5%+1500+2250+26000,
IF(V739&lt;=600000,(V739-400000)*25%+1500+2250+26000+45000,
IF(AND(V739&gt;600000,V739&lt;=1200000),(V739-400000)*25%+1500+2250+26000+45000
+IFERROR(LOOKUP(V739,{600001;700001;800001;900001},{4000;6750;10250;15250}),0),IF(V739&gt;1200000,((V739-1200000)*27.5%)+300000,0)
)))))))</f>
        <v>0</v>
      </c>
      <c r="X739" s="12">
        <f t="shared" si="187"/>
        <v>0</v>
      </c>
      <c r="Y739" s="12">
        <f t="shared" si="188"/>
        <v>0</v>
      </c>
      <c r="Z739" s="11"/>
      <c r="AA739" s="13">
        <f t="shared" si="189"/>
        <v>0</v>
      </c>
      <c r="AB739" s="12">
        <f t="shared" si="190"/>
        <v>0</v>
      </c>
      <c r="AC739" s="14">
        <f t="shared" si="178"/>
        <v>0</v>
      </c>
      <c r="AE739" s="19">
        <f t="shared" si="191"/>
        <v>0</v>
      </c>
      <c r="AF739" s="19"/>
      <c r="AG739" s="17"/>
      <c r="AK739" s="7"/>
      <c r="AL739" s="108">
        <f t="shared" si="179"/>
        <v>0</v>
      </c>
      <c r="AM739" s="108">
        <f t="shared" si="180"/>
        <v>0</v>
      </c>
      <c r="AN739" s="113"/>
    </row>
    <row r="740" spans="2:40" x14ac:dyDescent="0.2">
      <c r="B740" s="7"/>
      <c r="C740" s="8"/>
      <c r="D740" s="8"/>
      <c r="E740" s="9"/>
      <c r="F740" s="6"/>
      <c r="G740" s="8"/>
      <c r="H740" s="32"/>
      <c r="I740" s="10" t="str">
        <f t="shared" si="177"/>
        <v>21</v>
      </c>
      <c r="J740" s="11">
        <v>1</v>
      </c>
      <c r="K740" s="11"/>
      <c r="L740" s="11"/>
      <c r="M740" s="11">
        <f t="shared" si="181"/>
        <v>0</v>
      </c>
      <c r="N740" s="11"/>
      <c r="O740" s="11">
        <f t="shared" si="182"/>
        <v>0</v>
      </c>
      <c r="P740" s="11"/>
      <c r="Q740" s="11"/>
      <c r="R740" s="11"/>
      <c r="S740" s="11">
        <f t="shared" si="183"/>
        <v>0</v>
      </c>
      <c r="T740" s="11">
        <f t="shared" si="184"/>
        <v>1666.6666666666667</v>
      </c>
      <c r="U740" s="11">
        <f t="shared" si="185"/>
        <v>0</v>
      </c>
      <c r="V740" s="24">
        <f t="shared" si="186"/>
        <v>0</v>
      </c>
      <c r="W740" s="11">
        <f>IF(V740&lt;=40000,0,
IF(V740&lt;=55000,(V740-40000)*10%,
IF(V740&lt;=70000,(V740-55000)*15%+1500,
IF(V740&lt;=200000,(V740-70000)*20%+1500+2250,
IF(V740&lt;=400000,(V740-200000)*22.5%+1500+2250+26000,
IF(V740&lt;=600000,(V740-400000)*25%+1500+2250+26000+45000,
IF(AND(V740&gt;600000,V740&lt;=1200000),(V740-400000)*25%+1500+2250+26000+45000
+IFERROR(LOOKUP(V740,{600001;700001;800001;900001},{4000;6750;10250;15250}),0),IF(V740&gt;1200000,((V740-1200000)*27.5%)+300000,0)
)))))))</f>
        <v>0</v>
      </c>
      <c r="X740" s="12">
        <f t="shared" si="187"/>
        <v>0</v>
      </c>
      <c r="Y740" s="12">
        <f t="shared" si="188"/>
        <v>0</v>
      </c>
      <c r="Z740" s="11"/>
      <c r="AA740" s="13">
        <f t="shared" si="189"/>
        <v>0</v>
      </c>
      <c r="AB740" s="12">
        <f t="shared" si="190"/>
        <v>0</v>
      </c>
      <c r="AC740" s="14">
        <f t="shared" si="178"/>
        <v>0</v>
      </c>
      <c r="AE740" s="19">
        <f t="shared" si="191"/>
        <v>0</v>
      </c>
      <c r="AF740" s="19"/>
      <c r="AG740" s="17"/>
      <c r="AK740" s="7"/>
      <c r="AL740" s="108">
        <f t="shared" si="179"/>
        <v>0</v>
      </c>
      <c r="AM740" s="108">
        <f t="shared" si="180"/>
        <v>0</v>
      </c>
      <c r="AN740" s="113"/>
    </row>
    <row r="741" spans="2:40" x14ac:dyDescent="0.2">
      <c r="B741" s="7"/>
      <c r="C741" s="8"/>
      <c r="D741" s="8"/>
      <c r="E741" s="9"/>
      <c r="F741" s="6"/>
      <c r="G741" s="8"/>
      <c r="H741" s="32"/>
      <c r="I741" s="10" t="str">
        <f t="shared" si="177"/>
        <v>21</v>
      </c>
      <c r="J741" s="11">
        <v>1</v>
      </c>
      <c r="K741" s="11"/>
      <c r="L741" s="11"/>
      <c r="M741" s="11">
        <f t="shared" si="181"/>
        <v>0</v>
      </c>
      <c r="N741" s="11"/>
      <c r="O741" s="11">
        <f t="shared" si="182"/>
        <v>0</v>
      </c>
      <c r="P741" s="11"/>
      <c r="Q741" s="11"/>
      <c r="R741" s="11"/>
      <c r="S741" s="11">
        <f t="shared" si="183"/>
        <v>0</v>
      </c>
      <c r="T741" s="11">
        <f t="shared" si="184"/>
        <v>1666.6666666666667</v>
      </c>
      <c r="U741" s="11">
        <f t="shared" si="185"/>
        <v>0</v>
      </c>
      <c r="V741" s="24">
        <f t="shared" si="186"/>
        <v>0</v>
      </c>
      <c r="W741" s="11">
        <f>IF(V741&lt;=40000,0,
IF(V741&lt;=55000,(V741-40000)*10%,
IF(V741&lt;=70000,(V741-55000)*15%+1500,
IF(V741&lt;=200000,(V741-70000)*20%+1500+2250,
IF(V741&lt;=400000,(V741-200000)*22.5%+1500+2250+26000,
IF(V741&lt;=600000,(V741-400000)*25%+1500+2250+26000+45000,
IF(AND(V741&gt;600000,V741&lt;=1200000),(V741-400000)*25%+1500+2250+26000+45000
+IFERROR(LOOKUP(V741,{600001;700001;800001;900001},{4000;6750;10250;15250}),0),IF(V741&gt;1200000,((V741-1200000)*27.5%)+300000,0)
)))))))</f>
        <v>0</v>
      </c>
      <c r="X741" s="12">
        <f t="shared" si="187"/>
        <v>0</v>
      </c>
      <c r="Y741" s="12">
        <f t="shared" si="188"/>
        <v>0</v>
      </c>
      <c r="Z741" s="11"/>
      <c r="AA741" s="13">
        <f t="shared" si="189"/>
        <v>0</v>
      </c>
      <c r="AB741" s="12">
        <f t="shared" si="190"/>
        <v>0</v>
      </c>
      <c r="AC741" s="14">
        <f t="shared" si="178"/>
        <v>0</v>
      </c>
      <c r="AE741" s="19">
        <f t="shared" si="191"/>
        <v>0</v>
      </c>
      <c r="AF741" s="19"/>
      <c r="AG741" s="17"/>
      <c r="AK741" s="7"/>
      <c r="AL741" s="108">
        <f t="shared" si="179"/>
        <v>0</v>
      </c>
      <c r="AM741" s="108">
        <f t="shared" si="180"/>
        <v>0</v>
      </c>
      <c r="AN741" s="113"/>
    </row>
    <row r="742" spans="2:40" x14ac:dyDescent="0.2">
      <c r="B742" s="7"/>
      <c r="C742" s="8"/>
      <c r="D742" s="8"/>
      <c r="E742" s="9"/>
      <c r="F742" s="6"/>
      <c r="G742" s="8"/>
      <c r="H742" s="32"/>
      <c r="I742" s="10" t="str">
        <f t="shared" si="177"/>
        <v>21</v>
      </c>
      <c r="J742" s="11">
        <v>1</v>
      </c>
      <c r="K742" s="11"/>
      <c r="L742" s="11"/>
      <c r="M742" s="11">
        <f t="shared" si="181"/>
        <v>0</v>
      </c>
      <c r="N742" s="11"/>
      <c r="O742" s="11">
        <f t="shared" si="182"/>
        <v>0</v>
      </c>
      <c r="P742" s="11"/>
      <c r="Q742" s="11"/>
      <c r="R742" s="11"/>
      <c r="S742" s="11">
        <f t="shared" si="183"/>
        <v>0</v>
      </c>
      <c r="T742" s="11">
        <f t="shared" si="184"/>
        <v>1666.6666666666667</v>
      </c>
      <c r="U742" s="11">
        <f t="shared" si="185"/>
        <v>0</v>
      </c>
      <c r="V742" s="24">
        <f t="shared" si="186"/>
        <v>0</v>
      </c>
      <c r="W742" s="11">
        <f>IF(V742&lt;=40000,0,
IF(V742&lt;=55000,(V742-40000)*10%,
IF(V742&lt;=70000,(V742-55000)*15%+1500,
IF(V742&lt;=200000,(V742-70000)*20%+1500+2250,
IF(V742&lt;=400000,(V742-200000)*22.5%+1500+2250+26000,
IF(V742&lt;=600000,(V742-400000)*25%+1500+2250+26000+45000,
IF(AND(V742&gt;600000,V742&lt;=1200000),(V742-400000)*25%+1500+2250+26000+45000
+IFERROR(LOOKUP(V742,{600001;700001;800001;900001},{4000;6750;10250;15250}),0),IF(V742&gt;1200000,((V742-1200000)*27.5%)+300000,0)
)))))))</f>
        <v>0</v>
      </c>
      <c r="X742" s="12">
        <f t="shared" si="187"/>
        <v>0</v>
      </c>
      <c r="Y742" s="12">
        <f t="shared" si="188"/>
        <v>0</v>
      </c>
      <c r="Z742" s="11"/>
      <c r="AA742" s="13">
        <f t="shared" si="189"/>
        <v>0</v>
      </c>
      <c r="AB742" s="12">
        <f t="shared" si="190"/>
        <v>0</v>
      </c>
      <c r="AC742" s="14">
        <f t="shared" si="178"/>
        <v>0</v>
      </c>
      <c r="AE742" s="19">
        <f t="shared" si="191"/>
        <v>0</v>
      </c>
      <c r="AF742" s="19"/>
      <c r="AG742" s="17"/>
      <c r="AK742" s="7"/>
      <c r="AL742" s="108">
        <f t="shared" si="179"/>
        <v>0</v>
      </c>
      <c r="AM742" s="108">
        <f t="shared" si="180"/>
        <v>0</v>
      </c>
      <c r="AN742" s="113"/>
    </row>
    <row r="743" spans="2:40" x14ac:dyDescent="0.2">
      <c r="B743" s="7"/>
      <c r="C743" s="8"/>
      <c r="D743" s="8"/>
      <c r="E743" s="9"/>
      <c r="F743" s="6"/>
      <c r="G743" s="8"/>
      <c r="H743" s="32"/>
      <c r="I743" s="10" t="str">
        <f t="shared" si="177"/>
        <v>21</v>
      </c>
      <c r="J743" s="11">
        <v>1</v>
      </c>
      <c r="K743" s="11"/>
      <c r="L743" s="11"/>
      <c r="M743" s="11">
        <f t="shared" si="181"/>
        <v>0</v>
      </c>
      <c r="N743" s="11"/>
      <c r="O743" s="11">
        <f t="shared" si="182"/>
        <v>0</v>
      </c>
      <c r="P743" s="11"/>
      <c r="Q743" s="11"/>
      <c r="R743" s="11"/>
      <c r="S743" s="11">
        <f t="shared" si="183"/>
        <v>0</v>
      </c>
      <c r="T743" s="11">
        <f t="shared" si="184"/>
        <v>1666.6666666666667</v>
      </c>
      <c r="U743" s="11">
        <f t="shared" si="185"/>
        <v>0</v>
      </c>
      <c r="V743" s="24">
        <f t="shared" si="186"/>
        <v>0</v>
      </c>
      <c r="W743" s="11">
        <f>IF(V743&lt;=40000,0,
IF(V743&lt;=55000,(V743-40000)*10%,
IF(V743&lt;=70000,(V743-55000)*15%+1500,
IF(V743&lt;=200000,(V743-70000)*20%+1500+2250,
IF(V743&lt;=400000,(V743-200000)*22.5%+1500+2250+26000,
IF(V743&lt;=600000,(V743-400000)*25%+1500+2250+26000+45000,
IF(AND(V743&gt;600000,V743&lt;=1200000),(V743-400000)*25%+1500+2250+26000+45000
+IFERROR(LOOKUP(V743,{600001;700001;800001;900001},{4000;6750;10250;15250}),0),IF(V743&gt;1200000,((V743-1200000)*27.5%)+300000,0)
)))))))</f>
        <v>0</v>
      </c>
      <c r="X743" s="12">
        <f t="shared" si="187"/>
        <v>0</v>
      </c>
      <c r="Y743" s="12">
        <f t="shared" si="188"/>
        <v>0</v>
      </c>
      <c r="Z743" s="11"/>
      <c r="AA743" s="13">
        <f t="shared" si="189"/>
        <v>0</v>
      </c>
      <c r="AB743" s="12">
        <f t="shared" si="190"/>
        <v>0</v>
      </c>
      <c r="AC743" s="14">
        <f t="shared" si="178"/>
        <v>0</v>
      </c>
      <c r="AE743" s="19">
        <f t="shared" si="191"/>
        <v>0</v>
      </c>
      <c r="AF743" s="19"/>
      <c r="AG743" s="17"/>
      <c r="AK743" s="7"/>
      <c r="AL743" s="108">
        <f t="shared" si="179"/>
        <v>0</v>
      </c>
      <c r="AM743" s="108">
        <f t="shared" si="180"/>
        <v>0</v>
      </c>
      <c r="AN743" s="113"/>
    </row>
    <row r="744" spans="2:40" x14ac:dyDescent="0.2">
      <c r="B744" s="7"/>
      <c r="C744" s="8"/>
      <c r="D744" s="8"/>
      <c r="E744" s="9"/>
      <c r="F744" s="6"/>
      <c r="G744" s="8"/>
      <c r="H744" s="32"/>
      <c r="I744" s="10" t="str">
        <f t="shared" si="177"/>
        <v>21</v>
      </c>
      <c r="J744" s="11">
        <v>1</v>
      </c>
      <c r="K744" s="11"/>
      <c r="L744" s="11"/>
      <c r="M744" s="11">
        <f t="shared" si="181"/>
        <v>0</v>
      </c>
      <c r="N744" s="11"/>
      <c r="O744" s="11">
        <f t="shared" si="182"/>
        <v>0</v>
      </c>
      <c r="P744" s="11"/>
      <c r="Q744" s="11"/>
      <c r="R744" s="11"/>
      <c r="S744" s="11">
        <f t="shared" si="183"/>
        <v>0</v>
      </c>
      <c r="T744" s="11">
        <f t="shared" si="184"/>
        <v>1666.6666666666667</v>
      </c>
      <c r="U744" s="11">
        <f t="shared" si="185"/>
        <v>0</v>
      </c>
      <c r="V744" s="24">
        <f t="shared" si="186"/>
        <v>0</v>
      </c>
      <c r="W744" s="11">
        <f>IF(V744&lt;=40000,0,
IF(V744&lt;=55000,(V744-40000)*10%,
IF(V744&lt;=70000,(V744-55000)*15%+1500,
IF(V744&lt;=200000,(V744-70000)*20%+1500+2250,
IF(V744&lt;=400000,(V744-200000)*22.5%+1500+2250+26000,
IF(V744&lt;=600000,(V744-400000)*25%+1500+2250+26000+45000,
IF(AND(V744&gt;600000,V744&lt;=1200000),(V744-400000)*25%+1500+2250+26000+45000
+IFERROR(LOOKUP(V744,{600001;700001;800001;900001},{4000;6750;10250;15250}),0),IF(V744&gt;1200000,((V744-1200000)*27.5%)+300000,0)
)))))))</f>
        <v>0</v>
      </c>
      <c r="X744" s="12">
        <f t="shared" si="187"/>
        <v>0</v>
      </c>
      <c r="Y744" s="12">
        <f t="shared" si="188"/>
        <v>0</v>
      </c>
      <c r="Z744" s="11"/>
      <c r="AA744" s="13">
        <f t="shared" si="189"/>
        <v>0</v>
      </c>
      <c r="AB744" s="12">
        <f t="shared" si="190"/>
        <v>0</v>
      </c>
      <c r="AC744" s="14">
        <f t="shared" si="178"/>
        <v>0</v>
      </c>
      <c r="AE744" s="19">
        <f t="shared" si="191"/>
        <v>0</v>
      </c>
      <c r="AF744" s="19"/>
      <c r="AG744" s="17"/>
      <c r="AK744" s="7"/>
      <c r="AL744" s="108">
        <f t="shared" si="179"/>
        <v>0</v>
      </c>
      <c r="AM744" s="108">
        <f t="shared" si="180"/>
        <v>0</v>
      </c>
      <c r="AN744" s="113"/>
    </row>
    <row r="745" spans="2:40" x14ac:dyDescent="0.2">
      <c r="B745" s="7"/>
      <c r="C745" s="8"/>
      <c r="D745" s="8"/>
      <c r="E745" s="9"/>
      <c r="F745" s="6"/>
      <c r="G745" s="8"/>
      <c r="H745" s="32"/>
      <c r="I745" s="10" t="str">
        <f t="shared" si="177"/>
        <v>21</v>
      </c>
      <c r="J745" s="11">
        <v>1</v>
      </c>
      <c r="K745" s="11"/>
      <c r="L745" s="11"/>
      <c r="M745" s="11">
        <f t="shared" si="181"/>
        <v>0</v>
      </c>
      <c r="N745" s="11"/>
      <c r="O745" s="11">
        <f t="shared" si="182"/>
        <v>0</v>
      </c>
      <c r="P745" s="11"/>
      <c r="Q745" s="11"/>
      <c r="R745" s="11"/>
      <c r="S745" s="11">
        <f t="shared" si="183"/>
        <v>0</v>
      </c>
      <c r="T745" s="11">
        <f t="shared" si="184"/>
        <v>1666.6666666666667</v>
      </c>
      <c r="U745" s="11">
        <f t="shared" si="185"/>
        <v>0</v>
      </c>
      <c r="V745" s="24">
        <f t="shared" si="186"/>
        <v>0</v>
      </c>
      <c r="W745" s="11">
        <f>IF(V745&lt;=40000,0,
IF(V745&lt;=55000,(V745-40000)*10%,
IF(V745&lt;=70000,(V745-55000)*15%+1500,
IF(V745&lt;=200000,(V745-70000)*20%+1500+2250,
IF(V745&lt;=400000,(V745-200000)*22.5%+1500+2250+26000,
IF(V745&lt;=600000,(V745-400000)*25%+1500+2250+26000+45000,
IF(AND(V745&gt;600000,V745&lt;=1200000),(V745-400000)*25%+1500+2250+26000+45000
+IFERROR(LOOKUP(V745,{600001;700001;800001;900001},{4000;6750;10250;15250}),0),IF(V745&gt;1200000,((V745-1200000)*27.5%)+300000,0)
)))))))</f>
        <v>0</v>
      </c>
      <c r="X745" s="12">
        <f t="shared" si="187"/>
        <v>0</v>
      </c>
      <c r="Y745" s="12">
        <f t="shared" si="188"/>
        <v>0</v>
      </c>
      <c r="Z745" s="11"/>
      <c r="AA745" s="13">
        <f t="shared" si="189"/>
        <v>0</v>
      </c>
      <c r="AB745" s="12">
        <f t="shared" si="190"/>
        <v>0</v>
      </c>
      <c r="AC745" s="14">
        <f t="shared" si="178"/>
        <v>0</v>
      </c>
      <c r="AE745" s="19">
        <f t="shared" si="191"/>
        <v>0</v>
      </c>
      <c r="AF745" s="19"/>
      <c r="AG745" s="17"/>
      <c r="AK745" s="7"/>
      <c r="AL745" s="108">
        <f t="shared" si="179"/>
        <v>0</v>
      </c>
      <c r="AM745" s="108">
        <f t="shared" si="180"/>
        <v>0</v>
      </c>
      <c r="AN745" s="113"/>
    </row>
    <row r="746" spans="2:40" x14ac:dyDescent="0.2">
      <c r="B746" s="7"/>
      <c r="C746" s="8"/>
      <c r="D746" s="8"/>
      <c r="E746" s="9"/>
      <c r="F746" s="6"/>
      <c r="G746" s="8"/>
      <c r="H746" s="32"/>
      <c r="I746" s="10" t="str">
        <f t="shared" si="177"/>
        <v>21</v>
      </c>
      <c r="J746" s="11">
        <v>1</v>
      </c>
      <c r="K746" s="11"/>
      <c r="L746" s="11"/>
      <c r="M746" s="11">
        <f t="shared" si="181"/>
        <v>0</v>
      </c>
      <c r="N746" s="11"/>
      <c r="O746" s="11">
        <f t="shared" si="182"/>
        <v>0</v>
      </c>
      <c r="P746" s="11"/>
      <c r="Q746" s="11"/>
      <c r="R746" s="11"/>
      <c r="S746" s="11">
        <f t="shared" si="183"/>
        <v>0</v>
      </c>
      <c r="T746" s="11">
        <f t="shared" si="184"/>
        <v>1666.6666666666667</v>
      </c>
      <c r="U746" s="11">
        <f t="shared" si="185"/>
        <v>0</v>
      </c>
      <c r="V746" s="24">
        <f t="shared" si="186"/>
        <v>0</v>
      </c>
      <c r="W746" s="11">
        <f>IF(V746&lt;=40000,0,
IF(V746&lt;=55000,(V746-40000)*10%,
IF(V746&lt;=70000,(V746-55000)*15%+1500,
IF(V746&lt;=200000,(V746-70000)*20%+1500+2250,
IF(V746&lt;=400000,(V746-200000)*22.5%+1500+2250+26000,
IF(V746&lt;=600000,(V746-400000)*25%+1500+2250+26000+45000,
IF(AND(V746&gt;600000,V746&lt;=1200000),(V746-400000)*25%+1500+2250+26000+45000
+IFERROR(LOOKUP(V746,{600001;700001;800001;900001},{4000;6750;10250;15250}),0),IF(V746&gt;1200000,((V746-1200000)*27.5%)+300000,0)
)))))))</f>
        <v>0</v>
      </c>
      <c r="X746" s="12">
        <f t="shared" si="187"/>
        <v>0</v>
      </c>
      <c r="Y746" s="12">
        <f t="shared" si="188"/>
        <v>0</v>
      </c>
      <c r="Z746" s="11"/>
      <c r="AA746" s="13">
        <f t="shared" si="189"/>
        <v>0</v>
      </c>
      <c r="AB746" s="12">
        <f t="shared" si="190"/>
        <v>0</v>
      </c>
      <c r="AC746" s="14">
        <f t="shared" si="178"/>
        <v>0</v>
      </c>
      <c r="AE746" s="19">
        <f t="shared" si="191"/>
        <v>0</v>
      </c>
      <c r="AF746" s="19"/>
      <c r="AG746" s="17"/>
      <c r="AK746" s="7"/>
      <c r="AL746" s="108">
        <f t="shared" si="179"/>
        <v>0</v>
      </c>
      <c r="AM746" s="108">
        <f t="shared" si="180"/>
        <v>0</v>
      </c>
      <c r="AN746" s="113"/>
    </row>
    <row r="747" spans="2:40" x14ac:dyDescent="0.2">
      <c r="B747" s="7"/>
      <c r="C747" s="8"/>
      <c r="D747" s="8"/>
      <c r="E747" s="9"/>
      <c r="F747" s="6"/>
      <c r="G747" s="8"/>
      <c r="H747" s="32"/>
      <c r="I747" s="10" t="str">
        <f t="shared" si="177"/>
        <v>21</v>
      </c>
      <c r="J747" s="11">
        <v>1</v>
      </c>
      <c r="K747" s="11"/>
      <c r="L747" s="11"/>
      <c r="M747" s="11">
        <f t="shared" si="181"/>
        <v>0</v>
      </c>
      <c r="N747" s="11"/>
      <c r="O747" s="11">
        <f t="shared" si="182"/>
        <v>0</v>
      </c>
      <c r="P747" s="11"/>
      <c r="Q747" s="11"/>
      <c r="R747" s="11"/>
      <c r="S747" s="11">
        <f t="shared" si="183"/>
        <v>0</v>
      </c>
      <c r="T747" s="11">
        <f t="shared" si="184"/>
        <v>1666.6666666666667</v>
      </c>
      <c r="U747" s="11">
        <f t="shared" si="185"/>
        <v>0</v>
      </c>
      <c r="V747" s="24">
        <f t="shared" si="186"/>
        <v>0</v>
      </c>
      <c r="W747" s="11">
        <f>IF(V747&lt;=40000,0,
IF(V747&lt;=55000,(V747-40000)*10%,
IF(V747&lt;=70000,(V747-55000)*15%+1500,
IF(V747&lt;=200000,(V747-70000)*20%+1500+2250,
IF(V747&lt;=400000,(V747-200000)*22.5%+1500+2250+26000,
IF(V747&lt;=600000,(V747-400000)*25%+1500+2250+26000+45000,
IF(AND(V747&gt;600000,V747&lt;=1200000),(V747-400000)*25%+1500+2250+26000+45000
+IFERROR(LOOKUP(V747,{600001;700001;800001;900001},{4000;6750;10250;15250}),0),IF(V747&gt;1200000,((V747-1200000)*27.5%)+300000,0)
)))))))</f>
        <v>0</v>
      </c>
      <c r="X747" s="12">
        <f t="shared" si="187"/>
        <v>0</v>
      </c>
      <c r="Y747" s="12">
        <f t="shared" si="188"/>
        <v>0</v>
      </c>
      <c r="Z747" s="11"/>
      <c r="AA747" s="13">
        <f t="shared" si="189"/>
        <v>0</v>
      </c>
      <c r="AB747" s="12">
        <f t="shared" si="190"/>
        <v>0</v>
      </c>
      <c r="AC747" s="14">
        <f t="shared" si="178"/>
        <v>0</v>
      </c>
      <c r="AE747" s="19">
        <f t="shared" si="191"/>
        <v>0</v>
      </c>
      <c r="AF747" s="19"/>
      <c r="AG747" s="17"/>
      <c r="AK747" s="7"/>
      <c r="AL747" s="108">
        <f t="shared" si="179"/>
        <v>0</v>
      </c>
      <c r="AM747" s="108">
        <f t="shared" si="180"/>
        <v>0</v>
      </c>
      <c r="AN747" s="113"/>
    </row>
    <row r="748" spans="2:40" x14ac:dyDescent="0.2">
      <c r="B748" s="7"/>
      <c r="C748" s="8"/>
      <c r="D748" s="8"/>
      <c r="E748" s="9"/>
      <c r="F748" s="6"/>
      <c r="G748" s="8"/>
      <c r="H748" s="32"/>
      <c r="I748" s="10" t="str">
        <f t="shared" si="177"/>
        <v>21</v>
      </c>
      <c r="J748" s="11">
        <v>1</v>
      </c>
      <c r="K748" s="11"/>
      <c r="L748" s="11"/>
      <c r="M748" s="11">
        <f t="shared" si="181"/>
        <v>0</v>
      </c>
      <c r="N748" s="11"/>
      <c r="O748" s="11">
        <f t="shared" si="182"/>
        <v>0</v>
      </c>
      <c r="P748" s="11"/>
      <c r="Q748" s="11"/>
      <c r="R748" s="11"/>
      <c r="S748" s="11">
        <f t="shared" si="183"/>
        <v>0</v>
      </c>
      <c r="T748" s="11">
        <f t="shared" si="184"/>
        <v>1666.6666666666667</v>
      </c>
      <c r="U748" s="11">
        <f t="shared" si="185"/>
        <v>0</v>
      </c>
      <c r="V748" s="24">
        <f t="shared" si="186"/>
        <v>0</v>
      </c>
      <c r="W748" s="11">
        <f>IF(V748&lt;=40000,0,
IF(V748&lt;=55000,(V748-40000)*10%,
IF(V748&lt;=70000,(V748-55000)*15%+1500,
IF(V748&lt;=200000,(V748-70000)*20%+1500+2250,
IF(V748&lt;=400000,(V748-200000)*22.5%+1500+2250+26000,
IF(V748&lt;=600000,(V748-400000)*25%+1500+2250+26000+45000,
IF(AND(V748&gt;600000,V748&lt;=1200000),(V748-400000)*25%+1500+2250+26000+45000
+IFERROR(LOOKUP(V748,{600001;700001;800001;900001},{4000;6750;10250;15250}),0),IF(V748&gt;1200000,((V748-1200000)*27.5%)+300000,0)
)))))))</f>
        <v>0</v>
      </c>
      <c r="X748" s="12">
        <f t="shared" si="187"/>
        <v>0</v>
      </c>
      <c r="Y748" s="12">
        <f t="shared" si="188"/>
        <v>0</v>
      </c>
      <c r="Z748" s="11"/>
      <c r="AA748" s="13">
        <f t="shared" si="189"/>
        <v>0</v>
      </c>
      <c r="AB748" s="12">
        <f t="shared" si="190"/>
        <v>0</v>
      </c>
      <c r="AC748" s="14">
        <f t="shared" si="178"/>
        <v>0</v>
      </c>
      <c r="AE748" s="19">
        <f t="shared" si="191"/>
        <v>0</v>
      </c>
      <c r="AF748" s="19"/>
      <c r="AG748" s="17"/>
      <c r="AK748" s="7"/>
      <c r="AL748" s="108">
        <f t="shared" si="179"/>
        <v>0</v>
      </c>
      <c r="AM748" s="108">
        <f t="shared" si="180"/>
        <v>0</v>
      </c>
      <c r="AN748" s="113"/>
    </row>
    <row r="749" spans="2:40" x14ac:dyDescent="0.2">
      <c r="B749" s="7"/>
      <c r="C749" s="8"/>
      <c r="D749" s="8"/>
      <c r="E749" s="9"/>
      <c r="F749" s="6"/>
      <c r="G749" s="8"/>
      <c r="H749" s="32"/>
      <c r="I749" s="10" t="str">
        <f t="shared" si="177"/>
        <v>21</v>
      </c>
      <c r="J749" s="11">
        <v>1</v>
      </c>
      <c r="K749" s="11"/>
      <c r="L749" s="11"/>
      <c r="M749" s="11">
        <f t="shared" si="181"/>
        <v>0</v>
      </c>
      <c r="N749" s="11"/>
      <c r="O749" s="11">
        <f t="shared" si="182"/>
        <v>0</v>
      </c>
      <c r="P749" s="11"/>
      <c r="Q749" s="11"/>
      <c r="R749" s="11"/>
      <c r="S749" s="11">
        <f t="shared" si="183"/>
        <v>0</v>
      </c>
      <c r="T749" s="11">
        <f t="shared" si="184"/>
        <v>1666.6666666666667</v>
      </c>
      <c r="U749" s="11">
        <f t="shared" si="185"/>
        <v>0</v>
      </c>
      <c r="V749" s="24">
        <f t="shared" si="186"/>
        <v>0</v>
      </c>
      <c r="W749" s="11">
        <f>IF(V749&lt;=40000,0,
IF(V749&lt;=55000,(V749-40000)*10%,
IF(V749&lt;=70000,(V749-55000)*15%+1500,
IF(V749&lt;=200000,(V749-70000)*20%+1500+2250,
IF(V749&lt;=400000,(V749-200000)*22.5%+1500+2250+26000,
IF(V749&lt;=600000,(V749-400000)*25%+1500+2250+26000+45000,
IF(AND(V749&gt;600000,V749&lt;=1200000),(V749-400000)*25%+1500+2250+26000+45000
+IFERROR(LOOKUP(V749,{600001;700001;800001;900001},{4000;6750;10250;15250}),0),IF(V749&gt;1200000,((V749-1200000)*27.5%)+300000,0)
)))))))</f>
        <v>0</v>
      </c>
      <c r="X749" s="12">
        <f t="shared" si="187"/>
        <v>0</v>
      </c>
      <c r="Y749" s="12">
        <f t="shared" si="188"/>
        <v>0</v>
      </c>
      <c r="Z749" s="11"/>
      <c r="AA749" s="13">
        <f t="shared" si="189"/>
        <v>0</v>
      </c>
      <c r="AB749" s="12">
        <f t="shared" si="190"/>
        <v>0</v>
      </c>
      <c r="AC749" s="14">
        <f t="shared" si="178"/>
        <v>0</v>
      </c>
      <c r="AE749" s="19">
        <f t="shared" si="191"/>
        <v>0</v>
      </c>
      <c r="AF749" s="19"/>
      <c r="AG749" s="17"/>
      <c r="AK749" s="7"/>
      <c r="AL749" s="108">
        <f t="shared" si="179"/>
        <v>0</v>
      </c>
      <c r="AM749" s="108">
        <f t="shared" si="180"/>
        <v>0</v>
      </c>
      <c r="AN749" s="113"/>
    </row>
    <row r="750" spans="2:40" x14ac:dyDescent="0.2">
      <c r="B750" s="7"/>
      <c r="C750" s="8"/>
      <c r="D750" s="8"/>
      <c r="E750" s="9"/>
      <c r="F750" s="6"/>
      <c r="G750" s="8"/>
      <c r="H750" s="32"/>
      <c r="I750" s="10" t="str">
        <f t="shared" si="177"/>
        <v>21</v>
      </c>
      <c r="J750" s="11">
        <v>1</v>
      </c>
      <c r="K750" s="11"/>
      <c r="L750" s="11"/>
      <c r="M750" s="11">
        <f t="shared" si="181"/>
        <v>0</v>
      </c>
      <c r="N750" s="11"/>
      <c r="O750" s="11">
        <f t="shared" si="182"/>
        <v>0</v>
      </c>
      <c r="P750" s="11"/>
      <c r="Q750" s="11"/>
      <c r="R750" s="11"/>
      <c r="S750" s="11">
        <f t="shared" si="183"/>
        <v>0</v>
      </c>
      <c r="T750" s="11">
        <f t="shared" si="184"/>
        <v>1666.6666666666667</v>
      </c>
      <c r="U750" s="11">
        <f t="shared" si="185"/>
        <v>0</v>
      </c>
      <c r="V750" s="24">
        <f t="shared" si="186"/>
        <v>0</v>
      </c>
      <c r="W750" s="11">
        <f>IF(V750&lt;=40000,0,
IF(V750&lt;=55000,(V750-40000)*10%,
IF(V750&lt;=70000,(V750-55000)*15%+1500,
IF(V750&lt;=200000,(V750-70000)*20%+1500+2250,
IF(V750&lt;=400000,(V750-200000)*22.5%+1500+2250+26000,
IF(V750&lt;=600000,(V750-400000)*25%+1500+2250+26000+45000,
IF(AND(V750&gt;600000,V750&lt;=1200000),(V750-400000)*25%+1500+2250+26000+45000
+IFERROR(LOOKUP(V750,{600001;700001;800001;900001},{4000;6750;10250;15250}),0),IF(V750&gt;1200000,((V750-1200000)*27.5%)+300000,0)
)))))))</f>
        <v>0</v>
      </c>
      <c r="X750" s="12">
        <f t="shared" si="187"/>
        <v>0</v>
      </c>
      <c r="Y750" s="12">
        <f t="shared" si="188"/>
        <v>0</v>
      </c>
      <c r="Z750" s="11"/>
      <c r="AA750" s="13">
        <f t="shared" si="189"/>
        <v>0</v>
      </c>
      <c r="AB750" s="12">
        <f t="shared" si="190"/>
        <v>0</v>
      </c>
      <c r="AC750" s="14">
        <f t="shared" si="178"/>
        <v>0</v>
      </c>
      <c r="AE750" s="19">
        <f t="shared" si="191"/>
        <v>0</v>
      </c>
      <c r="AF750" s="19"/>
      <c r="AG750" s="17"/>
      <c r="AK750" s="7"/>
      <c r="AL750" s="108">
        <f t="shared" si="179"/>
        <v>0</v>
      </c>
      <c r="AM750" s="108">
        <f t="shared" si="180"/>
        <v>0</v>
      </c>
      <c r="AN750" s="113"/>
    </row>
    <row r="751" spans="2:40" x14ac:dyDescent="0.2">
      <c r="B751" s="7"/>
      <c r="C751" s="8"/>
      <c r="D751" s="8"/>
      <c r="E751" s="9"/>
      <c r="F751" s="6"/>
      <c r="G751" s="8"/>
      <c r="H751" s="32"/>
      <c r="I751" s="10" t="str">
        <f t="shared" si="177"/>
        <v>21</v>
      </c>
      <c r="J751" s="11">
        <v>1</v>
      </c>
      <c r="K751" s="11"/>
      <c r="L751" s="11"/>
      <c r="M751" s="11">
        <f t="shared" si="181"/>
        <v>0</v>
      </c>
      <c r="N751" s="11"/>
      <c r="O751" s="11">
        <f t="shared" si="182"/>
        <v>0</v>
      </c>
      <c r="P751" s="11"/>
      <c r="Q751" s="11"/>
      <c r="R751" s="11"/>
      <c r="S751" s="11">
        <f t="shared" si="183"/>
        <v>0</v>
      </c>
      <c r="T751" s="11">
        <f t="shared" si="184"/>
        <v>1666.6666666666667</v>
      </c>
      <c r="U751" s="11">
        <f t="shared" si="185"/>
        <v>0</v>
      </c>
      <c r="V751" s="24">
        <f t="shared" si="186"/>
        <v>0</v>
      </c>
      <c r="W751" s="11">
        <f>IF(V751&lt;=40000,0,
IF(V751&lt;=55000,(V751-40000)*10%,
IF(V751&lt;=70000,(V751-55000)*15%+1500,
IF(V751&lt;=200000,(V751-70000)*20%+1500+2250,
IF(V751&lt;=400000,(V751-200000)*22.5%+1500+2250+26000,
IF(V751&lt;=600000,(V751-400000)*25%+1500+2250+26000+45000,
IF(AND(V751&gt;600000,V751&lt;=1200000),(V751-400000)*25%+1500+2250+26000+45000
+IFERROR(LOOKUP(V751,{600001;700001;800001;900001},{4000;6750;10250;15250}),0),IF(V751&gt;1200000,((V751-1200000)*27.5%)+300000,0)
)))))))</f>
        <v>0</v>
      </c>
      <c r="X751" s="12">
        <f t="shared" si="187"/>
        <v>0</v>
      </c>
      <c r="Y751" s="12">
        <f t="shared" si="188"/>
        <v>0</v>
      </c>
      <c r="Z751" s="11"/>
      <c r="AA751" s="13">
        <f t="shared" si="189"/>
        <v>0</v>
      </c>
      <c r="AB751" s="12">
        <f t="shared" si="190"/>
        <v>0</v>
      </c>
      <c r="AC751" s="14">
        <f t="shared" si="178"/>
        <v>0</v>
      </c>
      <c r="AE751" s="19">
        <f t="shared" si="191"/>
        <v>0</v>
      </c>
      <c r="AF751" s="19"/>
      <c r="AG751" s="17"/>
      <c r="AK751" s="7"/>
      <c r="AL751" s="108">
        <f t="shared" si="179"/>
        <v>0</v>
      </c>
      <c r="AM751" s="108">
        <f t="shared" si="180"/>
        <v>0</v>
      </c>
      <c r="AN751" s="113"/>
    </row>
    <row r="752" spans="2:40" x14ac:dyDescent="0.2">
      <c r="B752" s="7"/>
      <c r="C752" s="8"/>
      <c r="D752" s="8"/>
      <c r="E752" s="9"/>
      <c r="F752" s="6"/>
      <c r="G752" s="8"/>
      <c r="H752" s="32"/>
      <c r="I752" s="10" t="str">
        <f t="shared" si="177"/>
        <v>21</v>
      </c>
      <c r="J752" s="11">
        <v>1</v>
      </c>
      <c r="K752" s="11"/>
      <c r="L752" s="11"/>
      <c r="M752" s="11">
        <f t="shared" si="181"/>
        <v>0</v>
      </c>
      <c r="N752" s="11"/>
      <c r="O752" s="11">
        <f t="shared" si="182"/>
        <v>0</v>
      </c>
      <c r="P752" s="11"/>
      <c r="Q752" s="11"/>
      <c r="R752" s="11"/>
      <c r="S752" s="11">
        <f t="shared" si="183"/>
        <v>0</v>
      </c>
      <c r="T752" s="11">
        <f t="shared" si="184"/>
        <v>1666.6666666666667</v>
      </c>
      <c r="U752" s="11">
        <f t="shared" si="185"/>
        <v>0</v>
      </c>
      <c r="V752" s="24">
        <f t="shared" si="186"/>
        <v>0</v>
      </c>
      <c r="W752" s="11">
        <f>IF(V752&lt;=40000,0,
IF(V752&lt;=55000,(V752-40000)*10%,
IF(V752&lt;=70000,(V752-55000)*15%+1500,
IF(V752&lt;=200000,(V752-70000)*20%+1500+2250,
IF(V752&lt;=400000,(V752-200000)*22.5%+1500+2250+26000,
IF(V752&lt;=600000,(V752-400000)*25%+1500+2250+26000+45000,
IF(AND(V752&gt;600000,V752&lt;=1200000),(V752-400000)*25%+1500+2250+26000+45000
+IFERROR(LOOKUP(V752,{600001;700001;800001;900001},{4000;6750;10250;15250}),0),IF(V752&gt;1200000,((V752-1200000)*27.5%)+300000,0)
)))))))</f>
        <v>0</v>
      </c>
      <c r="X752" s="12">
        <f t="shared" si="187"/>
        <v>0</v>
      </c>
      <c r="Y752" s="12">
        <f t="shared" si="188"/>
        <v>0</v>
      </c>
      <c r="Z752" s="11"/>
      <c r="AA752" s="13">
        <f t="shared" si="189"/>
        <v>0</v>
      </c>
      <c r="AB752" s="12">
        <f t="shared" si="190"/>
        <v>0</v>
      </c>
      <c r="AC752" s="14">
        <f t="shared" si="178"/>
        <v>0</v>
      </c>
      <c r="AE752" s="19">
        <f t="shared" si="191"/>
        <v>0</v>
      </c>
      <c r="AF752" s="19"/>
      <c r="AG752" s="17"/>
      <c r="AK752" s="7"/>
      <c r="AL752" s="108">
        <f t="shared" si="179"/>
        <v>0</v>
      </c>
      <c r="AM752" s="108">
        <f t="shared" si="180"/>
        <v>0</v>
      </c>
      <c r="AN752" s="113"/>
    </row>
    <row r="753" spans="2:40" x14ac:dyDescent="0.2">
      <c r="B753" s="7"/>
      <c r="C753" s="8"/>
      <c r="D753" s="8"/>
      <c r="E753" s="9"/>
      <c r="F753" s="6"/>
      <c r="G753" s="8"/>
      <c r="H753" s="32"/>
      <c r="I753" s="10" t="str">
        <f t="shared" si="177"/>
        <v>21</v>
      </c>
      <c r="J753" s="11">
        <v>1</v>
      </c>
      <c r="K753" s="11"/>
      <c r="L753" s="11"/>
      <c r="M753" s="11">
        <f t="shared" si="181"/>
        <v>0</v>
      </c>
      <c r="N753" s="11"/>
      <c r="O753" s="11">
        <f t="shared" si="182"/>
        <v>0</v>
      </c>
      <c r="P753" s="11"/>
      <c r="Q753" s="11"/>
      <c r="R753" s="11"/>
      <c r="S753" s="11">
        <f t="shared" si="183"/>
        <v>0</v>
      </c>
      <c r="T753" s="11">
        <f t="shared" si="184"/>
        <v>1666.6666666666667</v>
      </c>
      <c r="U753" s="11">
        <f t="shared" si="185"/>
        <v>0</v>
      </c>
      <c r="V753" s="24">
        <f t="shared" si="186"/>
        <v>0</v>
      </c>
      <c r="W753" s="11">
        <f>IF(V753&lt;=40000,0,
IF(V753&lt;=55000,(V753-40000)*10%,
IF(V753&lt;=70000,(V753-55000)*15%+1500,
IF(V753&lt;=200000,(V753-70000)*20%+1500+2250,
IF(V753&lt;=400000,(V753-200000)*22.5%+1500+2250+26000,
IF(V753&lt;=600000,(V753-400000)*25%+1500+2250+26000+45000,
IF(AND(V753&gt;600000,V753&lt;=1200000),(V753-400000)*25%+1500+2250+26000+45000
+IFERROR(LOOKUP(V753,{600001;700001;800001;900001},{4000;6750;10250;15250}),0),IF(V753&gt;1200000,((V753-1200000)*27.5%)+300000,0)
)))))))</f>
        <v>0</v>
      </c>
      <c r="X753" s="12">
        <f t="shared" si="187"/>
        <v>0</v>
      </c>
      <c r="Y753" s="12">
        <f t="shared" si="188"/>
        <v>0</v>
      </c>
      <c r="Z753" s="11"/>
      <c r="AA753" s="13">
        <f t="shared" si="189"/>
        <v>0</v>
      </c>
      <c r="AB753" s="12">
        <f t="shared" si="190"/>
        <v>0</v>
      </c>
      <c r="AC753" s="14">
        <f t="shared" si="178"/>
        <v>0</v>
      </c>
      <c r="AE753" s="19">
        <f t="shared" si="191"/>
        <v>0</v>
      </c>
      <c r="AF753" s="19"/>
      <c r="AG753" s="17"/>
      <c r="AK753" s="7"/>
      <c r="AL753" s="108">
        <f t="shared" si="179"/>
        <v>0</v>
      </c>
      <c r="AM753" s="108">
        <f t="shared" si="180"/>
        <v>0</v>
      </c>
      <c r="AN753" s="113"/>
    </row>
    <row r="754" spans="2:40" x14ac:dyDescent="0.2">
      <c r="B754" s="7"/>
      <c r="C754" s="8"/>
      <c r="D754" s="8"/>
      <c r="E754" s="9"/>
      <c r="F754" s="6"/>
      <c r="G754" s="8"/>
      <c r="H754" s="32"/>
      <c r="I754" s="10" t="str">
        <f t="shared" si="177"/>
        <v>21</v>
      </c>
      <c r="J754" s="11">
        <v>1</v>
      </c>
      <c r="K754" s="11"/>
      <c r="L754" s="11"/>
      <c r="M754" s="11">
        <f t="shared" si="181"/>
        <v>0</v>
      </c>
      <c r="N754" s="11"/>
      <c r="O754" s="11">
        <f t="shared" si="182"/>
        <v>0</v>
      </c>
      <c r="P754" s="11"/>
      <c r="Q754" s="11"/>
      <c r="R754" s="11"/>
      <c r="S754" s="11">
        <f t="shared" si="183"/>
        <v>0</v>
      </c>
      <c r="T754" s="11">
        <f t="shared" si="184"/>
        <v>1666.6666666666667</v>
      </c>
      <c r="U754" s="11">
        <f t="shared" si="185"/>
        <v>0</v>
      </c>
      <c r="V754" s="24">
        <f t="shared" si="186"/>
        <v>0</v>
      </c>
      <c r="W754" s="11">
        <f>IF(V754&lt;=40000,0,
IF(V754&lt;=55000,(V754-40000)*10%,
IF(V754&lt;=70000,(V754-55000)*15%+1500,
IF(V754&lt;=200000,(V754-70000)*20%+1500+2250,
IF(V754&lt;=400000,(V754-200000)*22.5%+1500+2250+26000,
IF(V754&lt;=600000,(V754-400000)*25%+1500+2250+26000+45000,
IF(AND(V754&gt;600000,V754&lt;=1200000),(V754-400000)*25%+1500+2250+26000+45000
+IFERROR(LOOKUP(V754,{600001;700001;800001;900001},{4000;6750;10250;15250}),0),IF(V754&gt;1200000,((V754-1200000)*27.5%)+300000,0)
)))))))</f>
        <v>0</v>
      </c>
      <c r="X754" s="12">
        <f t="shared" si="187"/>
        <v>0</v>
      </c>
      <c r="Y754" s="12">
        <f t="shared" si="188"/>
        <v>0</v>
      </c>
      <c r="Z754" s="11"/>
      <c r="AA754" s="13">
        <f t="shared" si="189"/>
        <v>0</v>
      </c>
      <c r="AB754" s="12">
        <f t="shared" si="190"/>
        <v>0</v>
      </c>
      <c r="AC754" s="14">
        <f t="shared" si="178"/>
        <v>0</v>
      </c>
      <c r="AE754" s="19">
        <f t="shared" si="191"/>
        <v>0</v>
      </c>
      <c r="AF754" s="19"/>
      <c r="AG754" s="17"/>
      <c r="AK754" s="7"/>
      <c r="AL754" s="108">
        <f t="shared" si="179"/>
        <v>0</v>
      </c>
      <c r="AM754" s="108">
        <f t="shared" si="180"/>
        <v>0</v>
      </c>
      <c r="AN754" s="113"/>
    </row>
    <row r="755" spans="2:40" x14ac:dyDescent="0.2">
      <c r="B755" s="7"/>
      <c r="C755" s="8"/>
      <c r="D755" s="8"/>
      <c r="E755" s="9"/>
      <c r="F755" s="6"/>
      <c r="G755" s="8"/>
      <c r="H755" s="32"/>
      <c r="I755" s="10" t="str">
        <f t="shared" si="177"/>
        <v>21</v>
      </c>
      <c r="J755" s="11">
        <v>1</v>
      </c>
      <c r="K755" s="11"/>
      <c r="L755" s="11"/>
      <c r="M755" s="11">
        <f t="shared" si="181"/>
        <v>0</v>
      </c>
      <c r="N755" s="11"/>
      <c r="O755" s="11">
        <f t="shared" si="182"/>
        <v>0</v>
      </c>
      <c r="P755" s="11"/>
      <c r="Q755" s="11"/>
      <c r="R755" s="11"/>
      <c r="S755" s="11">
        <f t="shared" si="183"/>
        <v>0</v>
      </c>
      <c r="T755" s="11">
        <f t="shared" si="184"/>
        <v>1666.6666666666667</v>
      </c>
      <c r="U755" s="11">
        <f t="shared" si="185"/>
        <v>0</v>
      </c>
      <c r="V755" s="24">
        <f t="shared" si="186"/>
        <v>0</v>
      </c>
      <c r="W755" s="11">
        <f>IF(V755&lt;=40000,0,
IF(V755&lt;=55000,(V755-40000)*10%,
IF(V755&lt;=70000,(V755-55000)*15%+1500,
IF(V755&lt;=200000,(V755-70000)*20%+1500+2250,
IF(V755&lt;=400000,(V755-200000)*22.5%+1500+2250+26000,
IF(V755&lt;=600000,(V755-400000)*25%+1500+2250+26000+45000,
IF(AND(V755&gt;600000,V755&lt;=1200000),(V755-400000)*25%+1500+2250+26000+45000
+IFERROR(LOOKUP(V755,{600001;700001;800001;900001},{4000;6750;10250;15250}),0),IF(V755&gt;1200000,((V755-1200000)*27.5%)+300000,0)
)))))))</f>
        <v>0</v>
      </c>
      <c r="X755" s="12">
        <f t="shared" si="187"/>
        <v>0</v>
      </c>
      <c r="Y755" s="12">
        <f t="shared" si="188"/>
        <v>0</v>
      </c>
      <c r="Z755" s="11"/>
      <c r="AA755" s="13">
        <f t="shared" si="189"/>
        <v>0</v>
      </c>
      <c r="AB755" s="12">
        <f t="shared" si="190"/>
        <v>0</v>
      </c>
      <c r="AC755" s="14">
        <f t="shared" si="178"/>
        <v>0</v>
      </c>
      <c r="AE755" s="19">
        <f t="shared" si="191"/>
        <v>0</v>
      </c>
      <c r="AF755" s="19"/>
      <c r="AG755" s="17"/>
      <c r="AK755" s="7"/>
      <c r="AL755" s="108">
        <f t="shared" si="179"/>
        <v>0</v>
      </c>
      <c r="AM755" s="108">
        <f t="shared" si="180"/>
        <v>0</v>
      </c>
      <c r="AN755" s="113"/>
    </row>
    <row r="756" spans="2:40" x14ac:dyDescent="0.2">
      <c r="B756" s="7"/>
      <c r="C756" s="8"/>
      <c r="D756" s="8"/>
      <c r="E756" s="9"/>
      <c r="F756" s="6"/>
      <c r="G756" s="8"/>
      <c r="H756" s="32"/>
      <c r="I756" s="10" t="str">
        <f t="shared" si="177"/>
        <v>21</v>
      </c>
      <c r="J756" s="11">
        <v>1</v>
      </c>
      <c r="K756" s="11"/>
      <c r="L756" s="11"/>
      <c r="M756" s="11">
        <f t="shared" si="181"/>
        <v>0</v>
      </c>
      <c r="N756" s="11"/>
      <c r="O756" s="11">
        <f t="shared" si="182"/>
        <v>0</v>
      </c>
      <c r="P756" s="11"/>
      <c r="Q756" s="11"/>
      <c r="R756" s="11"/>
      <c r="S756" s="11">
        <f t="shared" si="183"/>
        <v>0</v>
      </c>
      <c r="T756" s="11">
        <f t="shared" si="184"/>
        <v>1666.6666666666667</v>
      </c>
      <c r="U756" s="11">
        <f t="shared" si="185"/>
        <v>0</v>
      </c>
      <c r="V756" s="24">
        <f t="shared" si="186"/>
        <v>0</v>
      </c>
      <c r="W756" s="11">
        <f>IF(V756&lt;=40000,0,
IF(V756&lt;=55000,(V756-40000)*10%,
IF(V756&lt;=70000,(V756-55000)*15%+1500,
IF(V756&lt;=200000,(V756-70000)*20%+1500+2250,
IF(V756&lt;=400000,(V756-200000)*22.5%+1500+2250+26000,
IF(V756&lt;=600000,(V756-400000)*25%+1500+2250+26000+45000,
IF(AND(V756&gt;600000,V756&lt;=1200000),(V756-400000)*25%+1500+2250+26000+45000
+IFERROR(LOOKUP(V756,{600001;700001;800001;900001},{4000;6750;10250;15250}),0),IF(V756&gt;1200000,((V756-1200000)*27.5%)+300000,0)
)))))))</f>
        <v>0</v>
      </c>
      <c r="X756" s="12">
        <f t="shared" si="187"/>
        <v>0</v>
      </c>
      <c r="Y756" s="12">
        <f t="shared" si="188"/>
        <v>0</v>
      </c>
      <c r="Z756" s="11"/>
      <c r="AA756" s="13">
        <f t="shared" si="189"/>
        <v>0</v>
      </c>
      <c r="AB756" s="12">
        <f t="shared" si="190"/>
        <v>0</v>
      </c>
      <c r="AC756" s="14">
        <f t="shared" si="178"/>
        <v>0</v>
      </c>
      <c r="AE756" s="19">
        <f t="shared" si="191"/>
        <v>0</v>
      </c>
      <c r="AF756" s="19"/>
      <c r="AG756" s="17"/>
      <c r="AK756" s="7"/>
      <c r="AL756" s="108">
        <f t="shared" si="179"/>
        <v>0</v>
      </c>
      <c r="AM756" s="108">
        <f t="shared" si="180"/>
        <v>0</v>
      </c>
      <c r="AN756" s="113"/>
    </row>
    <row r="757" spans="2:40" x14ac:dyDescent="0.2">
      <c r="B757" s="7"/>
      <c r="C757" s="8"/>
      <c r="D757" s="8"/>
      <c r="E757" s="9"/>
      <c r="F757" s="6"/>
      <c r="G757" s="8"/>
      <c r="H757" s="32"/>
      <c r="I757" s="10" t="str">
        <f t="shared" si="177"/>
        <v>21</v>
      </c>
      <c r="J757" s="11">
        <v>1</v>
      </c>
      <c r="K757" s="11"/>
      <c r="L757" s="11"/>
      <c r="M757" s="11">
        <f t="shared" si="181"/>
        <v>0</v>
      </c>
      <c r="N757" s="11"/>
      <c r="O757" s="11">
        <f t="shared" si="182"/>
        <v>0</v>
      </c>
      <c r="P757" s="11"/>
      <c r="Q757" s="11"/>
      <c r="R757" s="11"/>
      <c r="S757" s="11">
        <f t="shared" si="183"/>
        <v>0</v>
      </c>
      <c r="T757" s="11">
        <f t="shared" si="184"/>
        <v>1666.6666666666667</v>
      </c>
      <c r="U757" s="11">
        <f t="shared" si="185"/>
        <v>0</v>
      </c>
      <c r="V757" s="24">
        <f t="shared" si="186"/>
        <v>0</v>
      </c>
      <c r="W757" s="11">
        <f>IF(V757&lt;=40000,0,
IF(V757&lt;=55000,(V757-40000)*10%,
IF(V757&lt;=70000,(V757-55000)*15%+1500,
IF(V757&lt;=200000,(V757-70000)*20%+1500+2250,
IF(V757&lt;=400000,(V757-200000)*22.5%+1500+2250+26000,
IF(V757&lt;=600000,(V757-400000)*25%+1500+2250+26000+45000,
IF(AND(V757&gt;600000,V757&lt;=1200000),(V757-400000)*25%+1500+2250+26000+45000
+IFERROR(LOOKUP(V757,{600001;700001;800001;900001},{4000;6750;10250;15250}),0),IF(V757&gt;1200000,((V757-1200000)*27.5%)+300000,0)
)))))))</f>
        <v>0</v>
      </c>
      <c r="X757" s="12">
        <f t="shared" si="187"/>
        <v>0</v>
      </c>
      <c r="Y757" s="12">
        <f t="shared" si="188"/>
        <v>0</v>
      </c>
      <c r="Z757" s="11"/>
      <c r="AA757" s="13">
        <f t="shared" si="189"/>
        <v>0</v>
      </c>
      <c r="AB757" s="12">
        <f t="shared" si="190"/>
        <v>0</v>
      </c>
      <c r="AC757" s="14">
        <f t="shared" si="178"/>
        <v>0</v>
      </c>
      <c r="AE757" s="19">
        <f t="shared" si="191"/>
        <v>0</v>
      </c>
      <c r="AF757" s="19"/>
      <c r="AG757" s="17"/>
      <c r="AK757" s="7"/>
      <c r="AL757" s="108">
        <f t="shared" si="179"/>
        <v>0</v>
      </c>
      <c r="AM757" s="108">
        <f t="shared" si="180"/>
        <v>0</v>
      </c>
      <c r="AN757" s="113"/>
    </row>
    <row r="758" spans="2:40" x14ac:dyDescent="0.2">
      <c r="B758" s="7"/>
      <c r="C758" s="8"/>
      <c r="D758" s="8"/>
      <c r="E758" s="9"/>
      <c r="F758" s="6"/>
      <c r="G758" s="8"/>
      <c r="H758" s="32"/>
      <c r="I758" s="10" t="str">
        <f t="shared" si="177"/>
        <v>21</v>
      </c>
      <c r="J758" s="11">
        <v>1</v>
      </c>
      <c r="K758" s="11"/>
      <c r="L758" s="11"/>
      <c r="M758" s="11">
        <f t="shared" si="181"/>
        <v>0</v>
      </c>
      <c r="N758" s="11"/>
      <c r="O758" s="11">
        <f t="shared" si="182"/>
        <v>0</v>
      </c>
      <c r="P758" s="11"/>
      <c r="Q758" s="11"/>
      <c r="R758" s="11"/>
      <c r="S758" s="11">
        <f t="shared" si="183"/>
        <v>0</v>
      </c>
      <c r="T758" s="11">
        <f t="shared" si="184"/>
        <v>1666.6666666666667</v>
      </c>
      <c r="U758" s="11">
        <f t="shared" si="185"/>
        <v>0</v>
      </c>
      <c r="V758" s="24">
        <f t="shared" si="186"/>
        <v>0</v>
      </c>
      <c r="W758" s="11">
        <f>IF(V758&lt;=40000,0,
IF(V758&lt;=55000,(V758-40000)*10%,
IF(V758&lt;=70000,(V758-55000)*15%+1500,
IF(V758&lt;=200000,(V758-70000)*20%+1500+2250,
IF(V758&lt;=400000,(V758-200000)*22.5%+1500+2250+26000,
IF(V758&lt;=600000,(V758-400000)*25%+1500+2250+26000+45000,
IF(AND(V758&gt;600000,V758&lt;=1200000),(V758-400000)*25%+1500+2250+26000+45000
+IFERROR(LOOKUP(V758,{600001;700001;800001;900001},{4000;6750;10250;15250}),0),IF(V758&gt;1200000,((V758-1200000)*27.5%)+300000,0)
)))))))</f>
        <v>0</v>
      </c>
      <c r="X758" s="12">
        <f t="shared" si="187"/>
        <v>0</v>
      </c>
      <c r="Y758" s="12">
        <f t="shared" si="188"/>
        <v>0</v>
      </c>
      <c r="Z758" s="11"/>
      <c r="AA758" s="13">
        <f t="shared" si="189"/>
        <v>0</v>
      </c>
      <c r="AB758" s="12">
        <f t="shared" si="190"/>
        <v>0</v>
      </c>
      <c r="AC758" s="14">
        <f t="shared" si="178"/>
        <v>0</v>
      </c>
      <c r="AE758" s="19">
        <f t="shared" si="191"/>
        <v>0</v>
      </c>
      <c r="AF758" s="19"/>
      <c r="AG758" s="17"/>
      <c r="AK758" s="7"/>
      <c r="AL758" s="108">
        <f t="shared" si="179"/>
        <v>0</v>
      </c>
      <c r="AM758" s="108">
        <f t="shared" si="180"/>
        <v>0</v>
      </c>
      <c r="AN758" s="113"/>
    </row>
    <row r="759" spans="2:40" x14ac:dyDescent="0.2">
      <c r="B759" s="7"/>
      <c r="C759" s="8"/>
      <c r="D759" s="8"/>
      <c r="E759" s="9"/>
      <c r="F759" s="6"/>
      <c r="G759" s="8"/>
      <c r="H759" s="32"/>
      <c r="I759" s="10" t="str">
        <f t="shared" si="177"/>
        <v>21</v>
      </c>
      <c r="J759" s="11">
        <v>1</v>
      </c>
      <c r="K759" s="11"/>
      <c r="L759" s="11"/>
      <c r="M759" s="11">
        <f t="shared" si="181"/>
        <v>0</v>
      </c>
      <c r="N759" s="11"/>
      <c r="O759" s="11">
        <f t="shared" si="182"/>
        <v>0</v>
      </c>
      <c r="P759" s="11"/>
      <c r="Q759" s="11"/>
      <c r="R759" s="11"/>
      <c r="S759" s="11">
        <f t="shared" si="183"/>
        <v>0</v>
      </c>
      <c r="T759" s="11">
        <f t="shared" si="184"/>
        <v>1666.6666666666667</v>
      </c>
      <c r="U759" s="11">
        <f t="shared" si="185"/>
        <v>0</v>
      </c>
      <c r="V759" s="24">
        <f t="shared" si="186"/>
        <v>0</v>
      </c>
      <c r="W759" s="11">
        <f>IF(V759&lt;=40000,0,
IF(V759&lt;=55000,(V759-40000)*10%,
IF(V759&lt;=70000,(V759-55000)*15%+1500,
IF(V759&lt;=200000,(V759-70000)*20%+1500+2250,
IF(V759&lt;=400000,(V759-200000)*22.5%+1500+2250+26000,
IF(V759&lt;=600000,(V759-400000)*25%+1500+2250+26000+45000,
IF(AND(V759&gt;600000,V759&lt;=1200000),(V759-400000)*25%+1500+2250+26000+45000
+IFERROR(LOOKUP(V759,{600001;700001;800001;900001},{4000;6750;10250;15250}),0),IF(V759&gt;1200000,((V759-1200000)*27.5%)+300000,0)
)))))))</f>
        <v>0</v>
      </c>
      <c r="X759" s="12">
        <f t="shared" si="187"/>
        <v>0</v>
      </c>
      <c r="Y759" s="12">
        <f t="shared" si="188"/>
        <v>0</v>
      </c>
      <c r="Z759" s="11"/>
      <c r="AA759" s="13">
        <f t="shared" si="189"/>
        <v>0</v>
      </c>
      <c r="AB759" s="12">
        <f t="shared" si="190"/>
        <v>0</v>
      </c>
      <c r="AC759" s="14">
        <f t="shared" si="178"/>
        <v>0</v>
      </c>
      <c r="AE759" s="19">
        <f t="shared" si="191"/>
        <v>0</v>
      </c>
      <c r="AF759" s="19"/>
      <c r="AG759" s="17"/>
      <c r="AK759" s="7"/>
      <c r="AL759" s="108">
        <f t="shared" si="179"/>
        <v>0</v>
      </c>
      <c r="AM759" s="108">
        <f t="shared" si="180"/>
        <v>0</v>
      </c>
      <c r="AN759" s="113"/>
    </row>
    <row r="760" spans="2:40" x14ac:dyDescent="0.2">
      <c r="B760" s="7"/>
      <c r="C760" s="8"/>
      <c r="D760" s="8"/>
      <c r="E760" s="9"/>
      <c r="F760" s="6"/>
      <c r="G760" s="8"/>
      <c r="H760" s="32"/>
      <c r="I760" s="10" t="str">
        <f t="shared" si="177"/>
        <v>21</v>
      </c>
      <c r="J760" s="11">
        <v>1</v>
      </c>
      <c r="K760" s="11"/>
      <c r="L760" s="11"/>
      <c r="M760" s="11">
        <f t="shared" si="181"/>
        <v>0</v>
      </c>
      <c r="N760" s="11"/>
      <c r="O760" s="11">
        <f t="shared" si="182"/>
        <v>0</v>
      </c>
      <c r="P760" s="11"/>
      <c r="Q760" s="11"/>
      <c r="R760" s="11"/>
      <c r="S760" s="11">
        <f t="shared" si="183"/>
        <v>0</v>
      </c>
      <c r="T760" s="11">
        <f t="shared" si="184"/>
        <v>1666.6666666666667</v>
      </c>
      <c r="U760" s="11">
        <f t="shared" si="185"/>
        <v>0</v>
      </c>
      <c r="V760" s="24">
        <f t="shared" si="186"/>
        <v>0</v>
      </c>
      <c r="W760" s="11">
        <f>IF(V760&lt;=40000,0,
IF(V760&lt;=55000,(V760-40000)*10%,
IF(V760&lt;=70000,(V760-55000)*15%+1500,
IF(V760&lt;=200000,(V760-70000)*20%+1500+2250,
IF(V760&lt;=400000,(V760-200000)*22.5%+1500+2250+26000,
IF(V760&lt;=600000,(V760-400000)*25%+1500+2250+26000+45000,
IF(AND(V760&gt;600000,V760&lt;=1200000),(V760-400000)*25%+1500+2250+26000+45000
+IFERROR(LOOKUP(V760,{600001;700001;800001;900001},{4000;6750;10250;15250}),0),IF(V760&gt;1200000,((V760-1200000)*27.5%)+300000,0)
)))))))</f>
        <v>0</v>
      </c>
      <c r="X760" s="12">
        <f t="shared" si="187"/>
        <v>0</v>
      </c>
      <c r="Y760" s="12">
        <f t="shared" si="188"/>
        <v>0</v>
      </c>
      <c r="Z760" s="11"/>
      <c r="AA760" s="13">
        <f t="shared" si="189"/>
        <v>0</v>
      </c>
      <c r="AB760" s="12">
        <f t="shared" si="190"/>
        <v>0</v>
      </c>
      <c r="AC760" s="14">
        <f t="shared" si="178"/>
        <v>0</v>
      </c>
      <c r="AE760" s="19">
        <f t="shared" si="191"/>
        <v>0</v>
      </c>
      <c r="AF760" s="19"/>
      <c r="AG760" s="17"/>
      <c r="AK760" s="7"/>
      <c r="AL760" s="108">
        <f t="shared" si="179"/>
        <v>0</v>
      </c>
      <c r="AM760" s="108">
        <f t="shared" si="180"/>
        <v>0</v>
      </c>
      <c r="AN760" s="113"/>
    </row>
    <row r="761" spans="2:40" x14ac:dyDescent="0.2">
      <c r="B761" s="7"/>
      <c r="C761" s="8"/>
      <c r="D761" s="8"/>
      <c r="E761" s="9"/>
      <c r="F761" s="6"/>
      <c r="G761" s="8"/>
      <c r="H761" s="32"/>
      <c r="I761" s="10" t="str">
        <f t="shared" si="177"/>
        <v>21</v>
      </c>
      <c r="J761" s="11">
        <v>1</v>
      </c>
      <c r="K761" s="11"/>
      <c r="L761" s="11"/>
      <c r="M761" s="11">
        <f t="shared" si="181"/>
        <v>0</v>
      </c>
      <c r="N761" s="11"/>
      <c r="O761" s="11">
        <f t="shared" si="182"/>
        <v>0</v>
      </c>
      <c r="P761" s="11"/>
      <c r="Q761" s="11"/>
      <c r="R761" s="11"/>
      <c r="S761" s="11">
        <f t="shared" si="183"/>
        <v>0</v>
      </c>
      <c r="T761" s="11">
        <f t="shared" si="184"/>
        <v>1666.6666666666667</v>
      </c>
      <c r="U761" s="11">
        <f t="shared" si="185"/>
        <v>0</v>
      </c>
      <c r="V761" s="24">
        <f t="shared" si="186"/>
        <v>0</v>
      </c>
      <c r="W761" s="11">
        <f>IF(V761&lt;=40000,0,
IF(V761&lt;=55000,(V761-40000)*10%,
IF(V761&lt;=70000,(V761-55000)*15%+1500,
IF(V761&lt;=200000,(V761-70000)*20%+1500+2250,
IF(V761&lt;=400000,(V761-200000)*22.5%+1500+2250+26000,
IF(V761&lt;=600000,(V761-400000)*25%+1500+2250+26000+45000,
IF(AND(V761&gt;600000,V761&lt;=1200000),(V761-400000)*25%+1500+2250+26000+45000
+IFERROR(LOOKUP(V761,{600001;700001;800001;900001},{4000;6750;10250;15250}),0),IF(V761&gt;1200000,((V761-1200000)*27.5%)+300000,0)
)))))))</f>
        <v>0</v>
      </c>
      <c r="X761" s="12">
        <f t="shared" si="187"/>
        <v>0</v>
      </c>
      <c r="Y761" s="12">
        <f t="shared" si="188"/>
        <v>0</v>
      </c>
      <c r="Z761" s="11"/>
      <c r="AA761" s="13">
        <f t="shared" si="189"/>
        <v>0</v>
      </c>
      <c r="AB761" s="12">
        <f t="shared" si="190"/>
        <v>0</v>
      </c>
      <c r="AC761" s="14">
        <f t="shared" si="178"/>
        <v>0</v>
      </c>
      <c r="AE761" s="19">
        <f t="shared" si="191"/>
        <v>0</v>
      </c>
      <c r="AF761" s="19"/>
      <c r="AG761" s="17"/>
      <c r="AK761" s="7"/>
      <c r="AL761" s="108">
        <f t="shared" si="179"/>
        <v>0</v>
      </c>
      <c r="AM761" s="108">
        <f t="shared" si="180"/>
        <v>0</v>
      </c>
      <c r="AN761" s="113"/>
    </row>
    <row r="762" spans="2:40" x14ac:dyDescent="0.2">
      <c r="B762" s="7"/>
      <c r="C762" s="8"/>
      <c r="D762" s="8"/>
      <c r="E762" s="9"/>
      <c r="F762" s="6"/>
      <c r="G762" s="8"/>
      <c r="H762" s="32"/>
      <c r="I762" s="10" t="str">
        <f t="shared" si="177"/>
        <v>21</v>
      </c>
      <c r="J762" s="11">
        <v>1</v>
      </c>
      <c r="K762" s="11"/>
      <c r="L762" s="11"/>
      <c r="M762" s="11">
        <f t="shared" si="181"/>
        <v>0</v>
      </c>
      <c r="N762" s="11"/>
      <c r="O762" s="11">
        <f t="shared" si="182"/>
        <v>0</v>
      </c>
      <c r="P762" s="11"/>
      <c r="Q762" s="11"/>
      <c r="R762" s="11"/>
      <c r="S762" s="11">
        <f t="shared" si="183"/>
        <v>0</v>
      </c>
      <c r="T762" s="11">
        <f t="shared" si="184"/>
        <v>1666.6666666666667</v>
      </c>
      <c r="U762" s="11">
        <f t="shared" si="185"/>
        <v>0</v>
      </c>
      <c r="V762" s="24">
        <f t="shared" si="186"/>
        <v>0</v>
      </c>
      <c r="W762" s="11">
        <f>IF(V762&lt;=40000,0,
IF(V762&lt;=55000,(V762-40000)*10%,
IF(V762&lt;=70000,(V762-55000)*15%+1500,
IF(V762&lt;=200000,(V762-70000)*20%+1500+2250,
IF(V762&lt;=400000,(V762-200000)*22.5%+1500+2250+26000,
IF(V762&lt;=600000,(V762-400000)*25%+1500+2250+26000+45000,
IF(AND(V762&gt;600000,V762&lt;=1200000),(V762-400000)*25%+1500+2250+26000+45000
+IFERROR(LOOKUP(V762,{600001;700001;800001;900001},{4000;6750;10250;15250}),0),IF(V762&gt;1200000,((V762-1200000)*27.5%)+300000,0)
)))))))</f>
        <v>0</v>
      </c>
      <c r="X762" s="12">
        <f t="shared" si="187"/>
        <v>0</v>
      </c>
      <c r="Y762" s="12">
        <f t="shared" si="188"/>
        <v>0</v>
      </c>
      <c r="Z762" s="11"/>
      <c r="AA762" s="13">
        <f t="shared" si="189"/>
        <v>0</v>
      </c>
      <c r="AB762" s="12">
        <f t="shared" si="190"/>
        <v>0</v>
      </c>
      <c r="AC762" s="14">
        <f t="shared" si="178"/>
        <v>0</v>
      </c>
      <c r="AE762" s="19">
        <f t="shared" si="191"/>
        <v>0</v>
      </c>
      <c r="AF762" s="19"/>
      <c r="AG762" s="17"/>
      <c r="AK762" s="7"/>
      <c r="AL762" s="108">
        <f t="shared" si="179"/>
        <v>0</v>
      </c>
      <c r="AM762" s="108">
        <f t="shared" si="180"/>
        <v>0</v>
      </c>
      <c r="AN762" s="113"/>
    </row>
    <row r="763" spans="2:40" x14ac:dyDescent="0.2">
      <c r="B763" s="7"/>
      <c r="C763" s="8"/>
      <c r="D763" s="8"/>
      <c r="E763" s="9"/>
      <c r="F763" s="6"/>
      <c r="G763" s="8"/>
      <c r="H763" s="32"/>
      <c r="I763" s="10" t="str">
        <f t="shared" si="177"/>
        <v>21</v>
      </c>
      <c r="J763" s="11">
        <v>1</v>
      </c>
      <c r="K763" s="11"/>
      <c r="L763" s="11"/>
      <c r="M763" s="11">
        <f t="shared" si="181"/>
        <v>0</v>
      </c>
      <c r="N763" s="11"/>
      <c r="O763" s="11">
        <f t="shared" si="182"/>
        <v>0</v>
      </c>
      <c r="P763" s="11"/>
      <c r="Q763" s="11"/>
      <c r="R763" s="11"/>
      <c r="S763" s="11">
        <f t="shared" si="183"/>
        <v>0</v>
      </c>
      <c r="T763" s="11">
        <f t="shared" si="184"/>
        <v>1666.6666666666667</v>
      </c>
      <c r="U763" s="11">
        <f t="shared" si="185"/>
        <v>0</v>
      </c>
      <c r="V763" s="24">
        <f t="shared" si="186"/>
        <v>0</v>
      </c>
      <c r="W763" s="11">
        <f>IF(V763&lt;=40000,0,
IF(V763&lt;=55000,(V763-40000)*10%,
IF(V763&lt;=70000,(V763-55000)*15%+1500,
IF(V763&lt;=200000,(V763-70000)*20%+1500+2250,
IF(V763&lt;=400000,(V763-200000)*22.5%+1500+2250+26000,
IF(V763&lt;=600000,(V763-400000)*25%+1500+2250+26000+45000,
IF(AND(V763&gt;600000,V763&lt;=1200000),(V763-400000)*25%+1500+2250+26000+45000
+IFERROR(LOOKUP(V763,{600001;700001;800001;900001},{4000;6750;10250;15250}),0),IF(V763&gt;1200000,((V763-1200000)*27.5%)+300000,0)
)))))))</f>
        <v>0</v>
      </c>
      <c r="X763" s="12">
        <f t="shared" si="187"/>
        <v>0</v>
      </c>
      <c r="Y763" s="12">
        <f t="shared" si="188"/>
        <v>0</v>
      </c>
      <c r="Z763" s="11"/>
      <c r="AA763" s="13">
        <f t="shared" si="189"/>
        <v>0</v>
      </c>
      <c r="AB763" s="12">
        <f t="shared" si="190"/>
        <v>0</v>
      </c>
      <c r="AC763" s="14">
        <f t="shared" si="178"/>
        <v>0</v>
      </c>
      <c r="AE763" s="19">
        <f t="shared" si="191"/>
        <v>0</v>
      </c>
      <c r="AF763" s="19"/>
      <c r="AG763" s="17"/>
      <c r="AK763" s="7"/>
      <c r="AL763" s="108">
        <f t="shared" si="179"/>
        <v>0</v>
      </c>
      <c r="AM763" s="108">
        <f t="shared" si="180"/>
        <v>0</v>
      </c>
      <c r="AN763" s="113"/>
    </row>
    <row r="764" spans="2:40" x14ac:dyDescent="0.2">
      <c r="B764" s="7"/>
      <c r="C764" s="8"/>
      <c r="D764" s="8"/>
      <c r="E764" s="9"/>
      <c r="F764" s="6"/>
      <c r="G764" s="8"/>
      <c r="H764" s="32"/>
      <c r="I764" s="10" t="str">
        <f t="shared" si="177"/>
        <v>21</v>
      </c>
      <c r="J764" s="11">
        <v>1</v>
      </c>
      <c r="K764" s="11"/>
      <c r="L764" s="11"/>
      <c r="M764" s="11">
        <f t="shared" si="181"/>
        <v>0</v>
      </c>
      <c r="N764" s="11"/>
      <c r="O764" s="11">
        <f t="shared" si="182"/>
        <v>0</v>
      </c>
      <c r="P764" s="11"/>
      <c r="Q764" s="11"/>
      <c r="R764" s="11"/>
      <c r="S764" s="11">
        <f t="shared" si="183"/>
        <v>0</v>
      </c>
      <c r="T764" s="11">
        <f t="shared" si="184"/>
        <v>1666.6666666666667</v>
      </c>
      <c r="U764" s="11">
        <f t="shared" si="185"/>
        <v>0</v>
      </c>
      <c r="V764" s="24">
        <f t="shared" si="186"/>
        <v>0</v>
      </c>
      <c r="W764" s="11">
        <f>IF(V764&lt;=40000,0,
IF(V764&lt;=55000,(V764-40000)*10%,
IF(V764&lt;=70000,(V764-55000)*15%+1500,
IF(V764&lt;=200000,(V764-70000)*20%+1500+2250,
IF(V764&lt;=400000,(V764-200000)*22.5%+1500+2250+26000,
IF(V764&lt;=600000,(V764-400000)*25%+1500+2250+26000+45000,
IF(AND(V764&gt;600000,V764&lt;=1200000),(V764-400000)*25%+1500+2250+26000+45000
+IFERROR(LOOKUP(V764,{600001;700001;800001;900001},{4000;6750;10250;15250}),0),IF(V764&gt;1200000,((V764-1200000)*27.5%)+300000,0)
)))))))</f>
        <v>0</v>
      </c>
      <c r="X764" s="12">
        <f t="shared" si="187"/>
        <v>0</v>
      </c>
      <c r="Y764" s="12">
        <f t="shared" si="188"/>
        <v>0</v>
      </c>
      <c r="Z764" s="11"/>
      <c r="AA764" s="13">
        <f t="shared" si="189"/>
        <v>0</v>
      </c>
      <c r="AB764" s="12">
        <f t="shared" si="190"/>
        <v>0</v>
      </c>
      <c r="AC764" s="14">
        <f t="shared" si="178"/>
        <v>0</v>
      </c>
      <c r="AE764" s="19">
        <f t="shared" si="191"/>
        <v>0</v>
      </c>
      <c r="AF764" s="19"/>
      <c r="AG764" s="17"/>
      <c r="AK764" s="7"/>
      <c r="AL764" s="108">
        <f t="shared" si="179"/>
        <v>0</v>
      </c>
      <c r="AM764" s="108">
        <f t="shared" si="180"/>
        <v>0</v>
      </c>
      <c r="AN764" s="113"/>
    </row>
    <row r="765" spans="2:40" x14ac:dyDescent="0.2">
      <c r="B765" s="7"/>
      <c r="C765" s="8"/>
      <c r="D765" s="8"/>
      <c r="E765" s="9"/>
      <c r="F765" s="6"/>
      <c r="G765" s="8"/>
      <c r="H765" s="32"/>
      <c r="I765" s="10" t="str">
        <f t="shared" si="177"/>
        <v>21</v>
      </c>
      <c r="J765" s="11">
        <v>1</v>
      </c>
      <c r="K765" s="11"/>
      <c r="L765" s="11"/>
      <c r="M765" s="11">
        <f t="shared" si="181"/>
        <v>0</v>
      </c>
      <c r="N765" s="11"/>
      <c r="O765" s="11">
        <f t="shared" si="182"/>
        <v>0</v>
      </c>
      <c r="P765" s="11"/>
      <c r="Q765" s="11"/>
      <c r="R765" s="11"/>
      <c r="S765" s="11">
        <f t="shared" si="183"/>
        <v>0</v>
      </c>
      <c r="T765" s="11">
        <f t="shared" si="184"/>
        <v>1666.6666666666667</v>
      </c>
      <c r="U765" s="11">
        <f t="shared" si="185"/>
        <v>0</v>
      </c>
      <c r="V765" s="24">
        <f t="shared" si="186"/>
        <v>0</v>
      </c>
      <c r="W765" s="11">
        <f>IF(V765&lt;=40000,0,
IF(V765&lt;=55000,(V765-40000)*10%,
IF(V765&lt;=70000,(V765-55000)*15%+1500,
IF(V765&lt;=200000,(V765-70000)*20%+1500+2250,
IF(V765&lt;=400000,(V765-200000)*22.5%+1500+2250+26000,
IF(V765&lt;=600000,(V765-400000)*25%+1500+2250+26000+45000,
IF(AND(V765&gt;600000,V765&lt;=1200000),(V765-400000)*25%+1500+2250+26000+45000
+IFERROR(LOOKUP(V765,{600001;700001;800001;900001},{4000;6750;10250;15250}),0),IF(V765&gt;1200000,((V765-1200000)*27.5%)+300000,0)
)))))))</f>
        <v>0</v>
      </c>
      <c r="X765" s="12">
        <f t="shared" si="187"/>
        <v>0</v>
      </c>
      <c r="Y765" s="12">
        <f t="shared" si="188"/>
        <v>0</v>
      </c>
      <c r="Z765" s="11"/>
      <c r="AA765" s="13">
        <f t="shared" si="189"/>
        <v>0</v>
      </c>
      <c r="AB765" s="12">
        <f t="shared" si="190"/>
        <v>0</v>
      </c>
      <c r="AC765" s="14">
        <f t="shared" si="178"/>
        <v>0</v>
      </c>
      <c r="AE765" s="19">
        <f t="shared" si="191"/>
        <v>0</v>
      </c>
      <c r="AF765" s="19"/>
      <c r="AG765" s="17"/>
      <c r="AK765" s="7"/>
      <c r="AL765" s="108">
        <f t="shared" si="179"/>
        <v>0</v>
      </c>
      <c r="AM765" s="108">
        <f t="shared" si="180"/>
        <v>0</v>
      </c>
      <c r="AN765" s="113"/>
    </row>
    <row r="766" spans="2:40" x14ac:dyDescent="0.2">
      <c r="B766" s="7"/>
      <c r="C766" s="8"/>
      <c r="D766" s="8"/>
      <c r="E766" s="9"/>
      <c r="F766" s="6"/>
      <c r="G766" s="8"/>
      <c r="H766" s="32"/>
      <c r="I766" s="10" t="str">
        <f t="shared" si="177"/>
        <v>21</v>
      </c>
      <c r="J766" s="11">
        <v>1</v>
      </c>
      <c r="K766" s="11"/>
      <c r="L766" s="11"/>
      <c r="M766" s="11">
        <f t="shared" si="181"/>
        <v>0</v>
      </c>
      <c r="N766" s="11"/>
      <c r="O766" s="11">
        <f t="shared" si="182"/>
        <v>0</v>
      </c>
      <c r="P766" s="11"/>
      <c r="Q766" s="11"/>
      <c r="R766" s="11"/>
      <c r="S766" s="11">
        <f t="shared" si="183"/>
        <v>0</v>
      </c>
      <c r="T766" s="11">
        <f t="shared" si="184"/>
        <v>1666.6666666666667</v>
      </c>
      <c r="U766" s="11">
        <f t="shared" si="185"/>
        <v>0</v>
      </c>
      <c r="V766" s="24">
        <f t="shared" si="186"/>
        <v>0</v>
      </c>
      <c r="W766" s="11">
        <f>IF(V766&lt;=40000,0,
IF(V766&lt;=55000,(V766-40000)*10%,
IF(V766&lt;=70000,(V766-55000)*15%+1500,
IF(V766&lt;=200000,(V766-70000)*20%+1500+2250,
IF(V766&lt;=400000,(V766-200000)*22.5%+1500+2250+26000,
IF(V766&lt;=600000,(V766-400000)*25%+1500+2250+26000+45000,
IF(AND(V766&gt;600000,V766&lt;=1200000),(V766-400000)*25%+1500+2250+26000+45000
+IFERROR(LOOKUP(V766,{600001;700001;800001;900001},{4000;6750;10250;15250}),0),IF(V766&gt;1200000,((V766-1200000)*27.5%)+300000,0)
)))))))</f>
        <v>0</v>
      </c>
      <c r="X766" s="12">
        <f t="shared" si="187"/>
        <v>0</v>
      </c>
      <c r="Y766" s="12">
        <f t="shared" si="188"/>
        <v>0</v>
      </c>
      <c r="Z766" s="11"/>
      <c r="AA766" s="13">
        <f t="shared" si="189"/>
        <v>0</v>
      </c>
      <c r="AB766" s="12">
        <f t="shared" si="190"/>
        <v>0</v>
      </c>
      <c r="AC766" s="14">
        <f t="shared" si="178"/>
        <v>0</v>
      </c>
      <c r="AE766" s="19">
        <f t="shared" si="191"/>
        <v>0</v>
      </c>
      <c r="AF766" s="19"/>
      <c r="AG766" s="17"/>
      <c r="AK766" s="7"/>
      <c r="AL766" s="108">
        <f t="shared" si="179"/>
        <v>0</v>
      </c>
      <c r="AM766" s="108">
        <f t="shared" si="180"/>
        <v>0</v>
      </c>
      <c r="AN766" s="113"/>
    </row>
    <row r="767" spans="2:40" x14ac:dyDescent="0.2">
      <c r="B767" s="7"/>
      <c r="C767" s="8"/>
      <c r="D767" s="8"/>
      <c r="E767" s="9"/>
      <c r="F767" s="6"/>
      <c r="G767" s="8"/>
      <c r="H767" s="32"/>
      <c r="I767" s="10" t="str">
        <f t="shared" si="177"/>
        <v>21</v>
      </c>
      <c r="J767" s="11">
        <v>1</v>
      </c>
      <c r="K767" s="11"/>
      <c r="L767" s="11"/>
      <c r="M767" s="11">
        <f t="shared" si="181"/>
        <v>0</v>
      </c>
      <c r="N767" s="11"/>
      <c r="O767" s="11">
        <f t="shared" si="182"/>
        <v>0</v>
      </c>
      <c r="P767" s="11"/>
      <c r="Q767" s="11"/>
      <c r="R767" s="11"/>
      <c r="S767" s="11">
        <f t="shared" si="183"/>
        <v>0</v>
      </c>
      <c r="T767" s="11">
        <f t="shared" si="184"/>
        <v>1666.6666666666667</v>
      </c>
      <c r="U767" s="11">
        <f t="shared" si="185"/>
        <v>0</v>
      </c>
      <c r="V767" s="24">
        <f t="shared" si="186"/>
        <v>0</v>
      </c>
      <c r="W767" s="11">
        <f>IF(V767&lt;=40000,0,
IF(V767&lt;=55000,(V767-40000)*10%,
IF(V767&lt;=70000,(V767-55000)*15%+1500,
IF(V767&lt;=200000,(V767-70000)*20%+1500+2250,
IF(V767&lt;=400000,(V767-200000)*22.5%+1500+2250+26000,
IF(V767&lt;=600000,(V767-400000)*25%+1500+2250+26000+45000,
IF(AND(V767&gt;600000,V767&lt;=1200000),(V767-400000)*25%+1500+2250+26000+45000
+IFERROR(LOOKUP(V767,{600001;700001;800001;900001},{4000;6750;10250;15250}),0),IF(V767&gt;1200000,((V767-1200000)*27.5%)+300000,0)
)))))))</f>
        <v>0</v>
      </c>
      <c r="X767" s="12">
        <f t="shared" si="187"/>
        <v>0</v>
      </c>
      <c r="Y767" s="12">
        <f t="shared" si="188"/>
        <v>0</v>
      </c>
      <c r="Z767" s="11"/>
      <c r="AA767" s="13">
        <f t="shared" si="189"/>
        <v>0</v>
      </c>
      <c r="AB767" s="12">
        <f t="shared" si="190"/>
        <v>0</v>
      </c>
      <c r="AC767" s="14">
        <f t="shared" si="178"/>
        <v>0</v>
      </c>
      <c r="AE767" s="19">
        <f t="shared" si="191"/>
        <v>0</v>
      </c>
      <c r="AF767" s="19"/>
      <c r="AG767" s="17"/>
      <c r="AK767" s="7"/>
      <c r="AL767" s="108">
        <f t="shared" si="179"/>
        <v>0</v>
      </c>
      <c r="AM767" s="108">
        <f t="shared" si="180"/>
        <v>0</v>
      </c>
      <c r="AN767" s="113"/>
    </row>
    <row r="768" spans="2:40" x14ac:dyDescent="0.2">
      <c r="B768" s="7"/>
      <c r="C768" s="8"/>
      <c r="D768" s="8"/>
      <c r="E768" s="9"/>
      <c r="F768" s="6"/>
      <c r="G768" s="8"/>
      <c r="H768" s="32"/>
      <c r="I768" s="10" t="str">
        <f t="shared" si="177"/>
        <v>21</v>
      </c>
      <c r="J768" s="11">
        <v>1</v>
      </c>
      <c r="K768" s="11"/>
      <c r="L768" s="11"/>
      <c r="M768" s="11">
        <f t="shared" si="181"/>
        <v>0</v>
      </c>
      <c r="N768" s="11"/>
      <c r="O768" s="11">
        <f t="shared" si="182"/>
        <v>0</v>
      </c>
      <c r="P768" s="11"/>
      <c r="Q768" s="11"/>
      <c r="R768" s="11"/>
      <c r="S768" s="11">
        <f t="shared" si="183"/>
        <v>0</v>
      </c>
      <c r="T768" s="11">
        <f t="shared" si="184"/>
        <v>1666.6666666666667</v>
      </c>
      <c r="U768" s="11">
        <f t="shared" si="185"/>
        <v>0</v>
      </c>
      <c r="V768" s="24">
        <f t="shared" si="186"/>
        <v>0</v>
      </c>
      <c r="W768" s="11">
        <f>IF(V768&lt;=40000,0,
IF(V768&lt;=55000,(V768-40000)*10%,
IF(V768&lt;=70000,(V768-55000)*15%+1500,
IF(V768&lt;=200000,(V768-70000)*20%+1500+2250,
IF(V768&lt;=400000,(V768-200000)*22.5%+1500+2250+26000,
IF(V768&lt;=600000,(V768-400000)*25%+1500+2250+26000+45000,
IF(AND(V768&gt;600000,V768&lt;=1200000),(V768-400000)*25%+1500+2250+26000+45000
+IFERROR(LOOKUP(V768,{600001;700001;800001;900001},{4000;6750;10250;15250}),0),IF(V768&gt;1200000,((V768-1200000)*27.5%)+300000,0)
)))))))</f>
        <v>0</v>
      </c>
      <c r="X768" s="12">
        <f t="shared" si="187"/>
        <v>0</v>
      </c>
      <c r="Y768" s="12">
        <f t="shared" si="188"/>
        <v>0</v>
      </c>
      <c r="Z768" s="11"/>
      <c r="AA768" s="13">
        <f t="shared" si="189"/>
        <v>0</v>
      </c>
      <c r="AB768" s="12">
        <f t="shared" si="190"/>
        <v>0</v>
      </c>
      <c r="AC768" s="14">
        <f t="shared" si="178"/>
        <v>0</v>
      </c>
      <c r="AE768" s="19">
        <f t="shared" si="191"/>
        <v>0</v>
      </c>
      <c r="AF768" s="19"/>
      <c r="AG768" s="17"/>
      <c r="AK768" s="7"/>
      <c r="AL768" s="108">
        <f t="shared" si="179"/>
        <v>0</v>
      </c>
      <c r="AM768" s="108">
        <f t="shared" si="180"/>
        <v>0</v>
      </c>
      <c r="AN768" s="113"/>
    </row>
    <row r="769" spans="2:40" x14ac:dyDescent="0.2">
      <c r="B769" s="7"/>
      <c r="C769" s="8"/>
      <c r="D769" s="8"/>
      <c r="E769" s="9"/>
      <c r="F769" s="6"/>
      <c r="G769" s="8"/>
      <c r="H769" s="32"/>
      <c r="I769" s="10" t="str">
        <f t="shared" si="177"/>
        <v>21</v>
      </c>
      <c r="J769" s="11">
        <v>1</v>
      </c>
      <c r="K769" s="11"/>
      <c r="L769" s="11"/>
      <c r="M769" s="11">
        <f t="shared" si="181"/>
        <v>0</v>
      </c>
      <c r="N769" s="11"/>
      <c r="O769" s="11">
        <f t="shared" si="182"/>
        <v>0</v>
      </c>
      <c r="P769" s="11"/>
      <c r="Q769" s="11"/>
      <c r="R769" s="11"/>
      <c r="S769" s="11">
        <f t="shared" si="183"/>
        <v>0</v>
      </c>
      <c r="T769" s="11">
        <f t="shared" si="184"/>
        <v>1666.6666666666667</v>
      </c>
      <c r="U769" s="11">
        <f t="shared" si="185"/>
        <v>0</v>
      </c>
      <c r="V769" s="24">
        <f t="shared" si="186"/>
        <v>0</v>
      </c>
      <c r="W769" s="11">
        <f>IF(V769&lt;=40000,0,
IF(V769&lt;=55000,(V769-40000)*10%,
IF(V769&lt;=70000,(V769-55000)*15%+1500,
IF(V769&lt;=200000,(V769-70000)*20%+1500+2250,
IF(V769&lt;=400000,(V769-200000)*22.5%+1500+2250+26000,
IF(V769&lt;=600000,(V769-400000)*25%+1500+2250+26000+45000,
IF(AND(V769&gt;600000,V769&lt;=1200000),(V769-400000)*25%+1500+2250+26000+45000
+IFERROR(LOOKUP(V769,{600001;700001;800001;900001},{4000;6750;10250;15250}),0),IF(V769&gt;1200000,((V769-1200000)*27.5%)+300000,0)
)))))))</f>
        <v>0</v>
      </c>
      <c r="X769" s="12">
        <f t="shared" si="187"/>
        <v>0</v>
      </c>
      <c r="Y769" s="12">
        <f t="shared" si="188"/>
        <v>0</v>
      </c>
      <c r="Z769" s="11"/>
      <c r="AA769" s="13">
        <f t="shared" si="189"/>
        <v>0</v>
      </c>
      <c r="AB769" s="12">
        <f t="shared" si="190"/>
        <v>0</v>
      </c>
      <c r="AC769" s="14">
        <f t="shared" si="178"/>
        <v>0</v>
      </c>
      <c r="AE769" s="19">
        <f t="shared" si="191"/>
        <v>0</v>
      </c>
      <c r="AF769" s="19"/>
      <c r="AG769" s="17"/>
      <c r="AK769" s="7"/>
      <c r="AL769" s="108">
        <f t="shared" si="179"/>
        <v>0</v>
      </c>
      <c r="AM769" s="108">
        <f t="shared" si="180"/>
        <v>0</v>
      </c>
      <c r="AN769" s="113"/>
    </row>
    <row r="770" spans="2:40" x14ac:dyDescent="0.2">
      <c r="B770" s="7"/>
      <c r="C770" s="8"/>
      <c r="D770" s="8"/>
      <c r="E770" s="9"/>
      <c r="F770" s="6"/>
      <c r="G770" s="8"/>
      <c r="H770" s="32"/>
      <c r="I770" s="10" t="str">
        <f t="shared" si="177"/>
        <v>21</v>
      </c>
      <c r="J770" s="11">
        <v>1</v>
      </c>
      <c r="K770" s="11"/>
      <c r="L770" s="11"/>
      <c r="M770" s="11">
        <f t="shared" si="181"/>
        <v>0</v>
      </c>
      <c r="N770" s="11"/>
      <c r="O770" s="11">
        <f t="shared" si="182"/>
        <v>0</v>
      </c>
      <c r="P770" s="11"/>
      <c r="Q770" s="11"/>
      <c r="R770" s="11"/>
      <c r="S770" s="11">
        <f t="shared" si="183"/>
        <v>0</v>
      </c>
      <c r="T770" s="11">
        <f t="shared" si="184"/>
        <v>1666.6666666666667</v>
      </c>
      <c r="U770" s="11">
        <f t="shared" si="185"/>
        <v>0</v>
      </c>
      <c r="V770" s="24">
        <f t="shared" si="186"/>
        <v>0</v>
      </c>
      <c r="W770" s="11">
        <f>IF(V770&lt;=40000,0,
IF(V770&lt;=55000,(V770-40000)*10%,
IF(V770&lt;=70000,(V770-55000)*15%+1500,
IF(V770&lt;=200000,(V770-70000)*20%+1500+2250,
IF(V770&lt;=400000,(V770-200000)*22.5%+1500+2250+26000,
IF(V770&lt;=600000,(V770-400000)*25%+1500+2250+26000+45000,
IF(AND(V770&gt;600000,V770&lt;=1200000),(V770-400000)*25%+1500+2250+26000+45000
+IFERROR(LOOKUP(V770,{600001;700001;800001;900001},{4000;6750;10250;15250}),0),IF(V770&gt;1200000,((V770-1200000)*27.5%)+300000,0)
)))))))</f>
        <v>0</v>
      </c>
      <c r="X770" s="12">
        <f t="shared" si="187"/>
        <v>0</v>
      </c>
      <c r="Y770" s="12">
        <f t="shared" si="188"/>
        <v>0</v>
      </c>
      <c r="Z770" s="11"/>
      <c r="AA770" s="13">
        <f t="shared" si="189"/>
        <v>0</v>
      </c>
      <c r="AB770" s="12">
        <f t="shared" si="190"/>
        <v>0</v>
      </c>
      <c r="AC770" s="14">
        <f t="shared" si="178"/>
        <v>0</v>
      </c>
      <c r="AE770" s="19">
        <f t="shared" si="191"/>
        <v>0</v>
      </c>
      <c r="AF770" s="19"/>
      <c r="AG770" s="17"/>
      <c r="AK770" s="7"/>
      <c r="AL770" s="108">
        <f t="shared" si="179"/>
        <v>0</v>
      </c>
      <c r="AM770" s="108">
        <f t="shared" si="180"/>
        <v>0</v>
      </c>
      <c r="AN770" s="113"/>
    </row>
    <row r="771" spans="2:40" x14ac:dyDescent="0.2">
      <c r="B771" s="7"/>
      <c r="C771" s="8"/>
      <c r="D771" s="8"/>
      <c r="E771" s="9"/>
      <c r="F771" s="6"/>
      <c r="G771" s="8"/>
      <c r="H771" s="32"/>
      <c r="I771" s="10" t="str">
        <f t="shared" si="177"/>
        <v>21</v>
      </c>
      <c r="J771" s="11">
        <v>1</v>
      </c>
      <c r="K771" s="11"/>
      <c r="L771" s="11"/>
      <c r="M771" s="11">
        <f t="shared" si="181"/>
        <v>0</v>
      </c>
      <c r="N771" s="11"/>
      <c r="O771" s="11">
        <f t="shared" si="182"/>
        <v>0</v>
      </c>
      <c r="P771" s="11"/>
      <c r="Q771" s="11"/>
      <c r="R771" s="11"/>
      <c r="S771" s="11">
        <f t="shared" si="183"/>
        <v>0</v>
      </c>
      <c r="T771" s="11">
        <f t="shared" si="184"/>
        <v>1666.6666666666667</v>
      </c>
      <c r="U771" s="11">
        <f t="shared" si="185"/>
        <v>0</v>
      </c>
      <c r="V771" s="24">
        <f t="shared" si="186"/>
        <v>0</v>
      </c>
      <c r="W771" s="11">
        <f>IF(V771&lt;=40000,0,
IF(V771&lt;=55000,(V771-40000)*10%,
IF(V771&lt;=70000,(V771-55000)*15%+1500,
IF(V771&lt;=200000,(V771-70000)*20%+1500+2250,
IF(V771&lt;=400000,(V771-200000)*22.5%+1500+2250+26000,
IF(V771&lt;=600000,(V771-400000)*25%+1500+2250+26000+45000,
IF(AND(V771&gt;600000,V771&lt;=1200000),(V771-400000)*25%+1500+2250+26000+45000
+IFERROR(LOOKUP(V771,{600001;700001;800001;900001},{4000;6750;10250;15250}),0),IF(V771&gt;1200000,((V771-1200000)*27.5%)+300000,0)
)))))))</f>
        <v>0</v>
      </c>
      <c r="X771" s="12">
        <f t="shared" si="187"/>
        <v>0</v>
      </c>
      <c r="Y771" s="12">
        <f t="shared" si="188"/>
        <v>0</v>
      </c>
      <c r="Z771" s="11"/>
      <c r="AA771" s="13">
        <f t="shared" si="189"/>
        <v>0</v>
      </c>
      <c r="AB771" s="12">
        <f t="shared" si="190"/>
        <v>0</v>
      </c>
      <c r="AC771" s="14">
        <f t="shared" si="178"/>
        <v>0</v>
      </c>
      <c r="AE771" s="19">
        <f t="shared" si="191"/>
        <v>0</v>
      </c>
      <c r="AF771" s="19"/>
      <c r="AG771" s="17"/>
      <c r="AK771" s="7"/>
      <c r="AL771" s="108">
        <f t="shared" si="179"/>
        <v>0</v>
      </c>
      <c r="AM771" s="108">
        <f t="shared" si="180"/>
        <v>0</v>
      </c>
      <c r="AN771" s="113"/>
    </row>
    <row r="772" spans="2:40" x14ac:dyDescent="0.2">
      <c r="B772" s="7"/>
      <c r="C772" s="8"/>
      <c r="D772" s="8"/>
      <c r="E772" s="9"/>
      <c r="F772" s="6"/>
      <c r="G772" s="8"/>
      <c r="H772" s="32"/>
      <c r="I772" s="10" t="str">
        <f t="shared" si="177"/>
        <v>21</v>
      </c>
      <c r="J772" s="11">
        <v>1</v>
      </c>
      <c r="K772" s="11"/>
      <c r="L772" s="11"/>
      <c r="M772" s="11">
        <f t="shared" si="181"/>
        <v>0</v>
      </c>
      <c r="N772" s="11"/>
      <c r="O772" s="11">
        <f t="shared" si="182"/>
        <v>0</v>
      </c>
      <c r="P772" s="11"/>
      <c r="Q772" s="11"/>
      <c r="R772" s="11"/>
      <c r="S772" s="11">
        <f t="shared" si="183"/>
        <v>0</v>
      </c>
      <c r="T772" s="11">
        <f t="shared" si="184"/>
        <v>1666.6666666666667</v>
      </c>
      <c r="U772" s="11">
        <f t="shared" si="185"/>
        <v>0</v>
      </c>
      <c r="V772" s="24">
        <f t="shared" si="186"/>
        <v>0</v>
      </c>
      <c r="W772" s="11">
        <f>IF(V772&lt;=40000,0,
IF(V772&lt;=55000,(V772-40000)*10%,
IF(V772&lt;=70000,(V772-55000)*15%+1500,
IF(V772&lt;=200000,(V772-70000)*20%+1500+2250,
IF(V772&lt;=400000,(V772-200000)*22.5%+1500+2250+26000,
IF(V772&lt;=600000,(V772-400000)*25%+1500+2250+26000+45000,
IF(AND(V772&gt;600000,V772&lt;=1200000),(V772-400000)*25%+1500+2250+26000+45000
+IFERROR(LOOKUP(V772,{600001;700001;800001;900001},{4000;6750;10250;15250}),0),IF(V772&gt;1200000,((V772-1200000)*27.5%)+300000,0)
)))))))</f>
        <v>0</v>
      </c>
      <c r="X772" s="12">
        <f t="shared" si="187"/>
        <v>0</v>
      </c>
      <c r="Y772" s="12">
        <f t="shared" si="188"/>
        <v>0</v>
      </c>
      <c r="Z772" s="11"/>
      <c r="AA772" s="13">
        <f t="shared" si="189"/>
        <v>0</v>
      </c>
      <c r="AB772" s="12">
        <f t="shared" si="190"/>
        <v>0</v>
      </c>
      <c r="AC772" s="14">
        <f t="shared" si="178"/>
        <v>0</v>
      </c>
      <c r="AE772" s="19">
        <f t="shared" si="191"/>
        <v>0</v>
      </c>
      <c r="AF772" s="19"/>
      <c r="AG772" s="17"/>
      <c r="AK772" s="7"/>
      <c r="AL772" s="108">
        <f t="shared" si="179"/>
        <v>0</v>
      </c>
      <c r="AM772" s="108">
        <f t="shared" si="180"/>
        <v>0</v>
      </c>
      <c r="AN772" s="113"/>
    </row>
    <row r="773" spans="2:40" x14ac:dyDescent="0.2">
      <c r="B773" s="7"/>
      <c r="C773" s="8"/>
      <c r="D773" s="8"/>
      <c r="E773" s="9"/>
      <c r="F773" s="6"/>
      <c r="G773" s="8"/>
      <c r="H773" s="32"/>
      <c r="I773" s="10" t="str">
        <f t="shared" ref="I773:I836" si="192">IF(G773&gt;0,"1","21")</f>
        <v>21</v>
      </c>
      <c r="J773" s="11">
        <v>1</v>
      </c>
      <c r="K773" s="11"/>
      <c r="L773" s="11"/>
      <c r="M773" s="11">
        <f t="shared" si="181"/>
        <v>0</v>
      </c>
      <c r="N773" s="11"/>
      <c r="O773" s="11">
        <f t="shared" si="182"/>
        <v>0</v>
      </c>
      <c r="P773" s="11"/>
      <c r="Q773" s="11"/>
      <c r="R773" s="11"/>
      <c r="S773" s="11">
        <f t="shared" si="183"/>
        <v>0</v>
      </c>
      <c r="T773" s="11">
        <f t="shared" si="184"/>
        <v>1666.6666666666667</v>
      </c>
      <c r="U773" s="11">
        <f t="shared" si="185"/>
        <v>0</v>
      </c>
      <c r="V773" s="24">
        <f t="shared" si="186"/>
        <v>0</v>
      </c>
      <c r="W773" s="11">
        <f>IF(V773&lt;=40000,0,
IF(V773&lt;=55000,(V773-40000)*10%,
IF(V773&lt;=70000,(V773-55000)*15%+1500,
IF(V773&lt;=200000,(V773-70000)*20%+1500+2250,
IF(V773&lt;=400000,(V773-200000)*22.5%+1500+2250+26000,
IF(V773&lt;=600000,(V773-400000)*25%+1500+2250+26000+45000,
IF(AND(V773&gt;600000,V773&lt;=1200000),(V773-400000)*25%+1500+2250+26000+45000
+IFERROR(LOOKUP(V773,{600001;700001;800001;900001},{4000;6750;10250;15250}),0),IF(V773&gt;1200000,((V773-1200000)*27.5%)+300000,0)
)))))))</f>
        <v>0</v>
      </c>
      <c r="X773" s="12">
        <f t="shared" si="187"/>
        <v>0</v>
      </c>
      <c r="Y773" s="12">
        <f t="shared" si="188"/>
        <v>0</v>
      </c>
      <c r="Z773" s="11"/>
      <c r="AA773" s="13">
        <f t="shared" si="189"/>
        <v>0</v>
      </c>
      <c r="AB773" s="12">
        <f t="shared" si="190"/>
        <v>0</v>
      </c>
      <c r="AC773" s="14">
        <f t="shared" ref="AC773:AC836" si="193">+M773-P773-Y773</f>
        <v>0</v>
      </c>
      <c r="AE773" s="19">
        <f t="shared" si="191"/>
        <v>0</v>
      </c>
      <c r="AF773" s="19"/>
      <c r="AG773" s="17"/>
      <c r="AK773" s="7"/>
      <c r="AL773" s="108">
        <f t="shared" ref="AL773:AL836" si="194">+AK773+AD773</f>
        <v>0</v>
      </c>
      <c r="AM773" s="108">
        <f t="shared" ref="AM773:AM836" si="195">+AL773-AC773</f>
        <v>0</v>
      </c>
      <c r="AN773" s="113"/>
    </row>
    <row r="774" spans="2:40" x14ac:dyDescent="0.2">
      <c r="B774" s="7"/>
      <c r="C774" s="8"/>
      <c r="D774" s="8"/>
      <c r="E774" s="9"/>
      <c r="F774" s="6"/>
      <c r="G774" s="8"/>
      <c r="H774" s="32"/>
      <c r="I774" s="10" t="str">
        <f t="shared" si="192"/>
        <v>21</v>
      </c>
      <c r="J774" s="11">
        <v>1</v>
      </c>
      <c r="K774" s="11"/>
      <c r="L774" s="11"/>
      <c r="M774" s="11">
        <f t="shared" si="181"/>
        <v>0</v>
      </c>
      <c r="N774" s="11"/>
      <c r="O774" s="11">
        <f t="shared" si="182"/>
        <v>0</v>
      </c>
      <c r="P774" s="11"/>
      <c r="Q774" s="11"/>
      <c r="R774" s="11"/>
      <c r="S774" s="11">
        <f t="shared" si="183"/>
        <v>0</v>
      </c>
      <c r="T774" s="11">
        <f t="shared" si="184"/>
        <v>1666.6666666666667</v>
      </c>
      <c r="U774" s="11">
        <f t="shared" si="185"/>
        <v>0</v>
      </c>
      <c r="V774" s="24">
        <f t="shared" si="186"/>
        <v>0</v>
      </c>
      <c r="W774" s="11">
        <f>IF(V774&lt;=40000,0,
IF(V774&lt;=55000,(V774-40000)*10%,
IF(V774&lt;=70000,(V774-55000)*15%+1500,
IF(V774&lt;=200000,(V774-70000)*20%+1500+2250,
IF(V774&lt;=400000,(V774-200000)*22.5%+1500+2250+26000,
IF(V774&lt;=600000,(V774-400000)*25%+1500+2250+26000+45000,
IF(AND(V774&gt;600000,V774&lt;=1200000),(V774-400000)*25%+1500+2250+26000+45000
+IFERROR(LOOKUP(V774,{600001;700001;800001;900001},{4000;6750;10250;15250}),0),IF(V774&gt;1200000,((V774-1200000)*27.5%)+300000,0)
)))))))</f>
        <v>0</v>
      </c>
      <c r="X774" s="12">
        <f t="shared" si="187"/>
        <v>0</v>
      </c>
      <c r="Y774" s="12">
        <f t="shared" si="188"/>
        <v>0</v>
      </c>
      <c r="Z774" s="11"/>
      <c r="AA774" s="13">
        <f t="shared" si="189"/>
        <v>0</v>
      </c>
      <c r="AB774" s="12">
        <f t="shared" si="190"/>
        <v>0</v>
      </c>
      <c r="AC774" s="14">
        <f t="shared" si="193"/>
        <v>0</v>
      </c>
      <c r="AE774" s="19">
        <f t="shared" si="191"/>
        <v>0</v>
      </c>
      <c r="AF774" s="19"/>
      <c r="AG774" s="17"/>
      <c r="AK774" s="7"/>
      <c r="AL774" s="108">
        <f t="shared" si="194"/>
        <v>0</v>
      </c>
      <c r="AM774" s="108">
        <f t="shared" si="195"/>
        <v>0</v>
      </c>
      <c r="AN774" s="113"/>
    </row>
    <row r="775" spans="2:40" x14ac:dyDescent="0.2">
      <c r="B775" s="7"/>
      <c r="C775" s="8"/>
      <c r="D775" s="8"/>
      <c r="E775" s="9"/>
      <c r="F775" s="6"/>
      <c r="G775" s="8"/>
      <c r="H775" s="32"/>
      <c r="I775" s="10" t="str">
        <f t="shared" si="192"/>
        <v>21</v>
      </c>
      <c r="J775" s="11">
        <v>1</v>
      </c>
      <c r="K775" s="11"/>
      <c r="L775" s="11"/>
      <c r="M775" s="11">
        <f t="shared" si="181"/>
        <v>0</v>
      </c>
      <c r="N775" s="11"/>
      <c r="O775" s="11">
        <f t="shared" si="182"/>
        <v>0</v>
      </c>
      <c r="P775" s="11"/>
      <c r="Q775" s="11"/>
      <c r="R775" s="11"/>
      <c r="S775" s="11">
        <f t="shared" si="183"/>
        <v>0</v>
      </c>
      <c r="T775" s="11">
        <f t="shared" si="184"/>
        <v>1666.6666666666667</v>
      </c>
      <c r="U775" s="11">
        <f t="shared" si="185"/>
        <v>0</v>
      </c>
      <c r="V775" s="24">
        <f t="shared" si="186"/>
        <v>0</v>
      </c>
      <c r="W775" s="11">
        <f>IF(V775&lt;=40000,0,
IF(V775&lt;=55000,(V775-40000)*10%,
IF(V775&lt;=70000,(V775-55000)*15%+1500,
IF(V775&lt;=200000,(V775-70000)*20%+1500+2250,
IF(V775&lt;=400000,(V775-200000)*22.5%+1500+2250+26000,
IF(V775&lt;=600000,(V775-400000)*25%+1500+2250+26000+45000,
IF(AND(V775&gt;600000,V775&lt;=1200000),(V775-400000)*25%+1500+2250+26000+45000
+IFERROR(LOOKUP(V775,{600001;700001;800001;900001},{4000;6750;10250;15250}),0),IF(V775&gt;1200000,((V775-1200000)*27.5%)+300000,0)
)))))))</f>
        <v>0</v>
      </c>
      <c r="X775" s="12">
        <f t="shared" si="187"/>
        <v>0</v>
      </c>
      <c r="Y775" s="12">
        <f t="shared" si="188"/>
        <v>0</v>
      </c>
      <c r="Z775" s="11"/>
      <c r="AA775" s="13">
        <f t="shared" si="189"/>
        <v>0</v>
      </c>
      <c r="AB775" s="12">
        <f t="shared" si="190"/>
        <v>0</v>
      </c>
      <c r="AC775" s="14">
        <f t="shared" si="193"/>
        <v>0</v>
      </c>
      <c r="AE775" s="19">
        <f t="shared" si="191"/>
        <v>0</v>
      </c>
      <c r="AF775" s="19"/>
      <c r="AG775" s="17"/>
      <c r="AK775" s="7"/>
      <c r="AL775" s="108">
        <f t="shared" si="194"/>
        <v>0</v>
      </c>
      <c r="AM775" s="108">
        <f t="shared" si="195"/>
        <v>0</v>
      </c>
      <c r="AN775" s="113"/>
    </row>
    <row r="776" spans="2:40" x14ac:dyDescent="0.2">
      <c r="B776" s="7"/>
      <c r="C776" s="8"/>
      <c r="D776" s="8"/>
      <c r="E776" s="9"/>
      <c r="F776" s="6"/>
      <c r="G776" s="8"/>
      <c r="H776" s="32"/>
      <c r="I776" s="10" t="str">
        <f t="shared" si="192"/>
        <v>21</v>
      </c>
      <c r="J776" s="11">
        <v>1</v>
      </c>
      <c r="K776" s="11"/>
      <c r="L776" s="11"/>
      <c r="M776" s="11">
        <f t="shared" si="181"/>
        <v>0</v>
      </c>
      <c r="N776" s="11"/>
      <c r="O776" s="11">
        <f t="shared" si="182"/>
        <v>0</v>
      </c>
      <c r="P776" s="11"/>
      <c r="Q776" s="11"/>
      <c r="R776" s="11"/>
      <c r="S776" s="11">
        <f t="shared" si="183"/>
        <v>0</v>
      </c>
      <c r="T776" s="11">
        <f t="shared" si="184"/>
        <v>1666.6666666666667</v>
      </c>
      <c r="U776" s="11">
        <f t="shared" si="185"/>
        <v>0</v>
      </c>
      <c r="V776" s="24">
        <f t="shared" si="186"/>
        <v>0</v>
      </c>
      <c r="W776" s="11">
        <f>IF(V776&lt;=40000,0,
IF(V776&lt;=55000,(V776-40000)*10%,
IF(V776&lt;=70000,(V776-55000)*15%+1500,
IF(V776&lt;=200000,(V776-70000)*20%+1500+2250,
IF(V776&lt;=400000,(V776-200000)*22.5%+1500+2250+26000,
IF(V776&lt;=600000,(V776-400000)*25%+1500+2250+26000+45000,
IF(AND(V776&gt;600000,V776&lt;=1200000),(V776-400000)*25%+1500+2250+26000+45000
+IFERROR(LOOKUP(V776,{600001;700001;800001;900001},{4000;6750;10250;15250}),0),IF(V776&gt;1200000,((V776-1200000)*27.5%)+300000,0)
)))))))</f>
        <v>0</v>
      </c>
      <c r="X776" s="12">
        <f t="shared" si="187"/>
        <v>0</v>
      </c>
      <c r="Y776" s="12">
        <f t="shared" si="188"/>
        <v>0</v>
      </c>
      <c r="Z776" s="11"/>
      <c r="AA776" s="13">
        <f t="shared" si="189"/>
        <v>0</v>
      </c>
      <c r="AB776" s="12">
        <f t="shared" si="190"/>
        <v>0</v>
      </c>
      <c r="AC776" s="14">
        <f t="shared" si="193"/>
        <v>0</v>
      </c>
      <c r="AE776" s="19">
        <f t="shared" si="191"/>
        <v>0</v>
      </c>
      <c r="AF776" s="19"/>
      <c r="AG776" s="17"/>
      <c r="AK776" s="7"/>
      <c r="AL776" s="108">
        <f t="shared" si="194"/>
        <v>0</v>
      </c>
      <c r="AM776" s="108">
        <f t="shared" si="195"/>
        <v>0</v>
      </c>
      <c r="AN776" s="113"/>
    </row>
    <row r="777" spans="2:40" x14ac:dyDescent="0.2">
      <c r="B777" s="7"/>
      <c r="C777" s="8"/>
      <c r="D777" s="8"/>
      <c r="E777" s="9"/>
      <c r="F777" s="6"/>
      <c r="G777" s="8"/>
      <c r="H777" s="32"/>
      <c r="I777" s="10" t="str">
        <f t="shared" si="192"/>
        <v>21</v>
      </c>
      <c r="J777" s="11">
        <v>1</v>
      </c>
      <c r="K777" s="11"/>
      <c r="L777" s="11"/>
      <c r="M777" s="11">
        <f t="shared" si="181"/>
        <v>0</v>
      </c>
      <c r="N777" s="11"/>
      <c r="O777" s="11">
        <f t="shared" si="182"/>
        <v>0</v>
      </c>
      <c r="P777" s="11"/>
      <c r="Q777" s="11"/>
      <c r="R777" s="11"/>
      <c r="S777" s="11">
        <f t="shared" si="183"/>
        <v>0</v>
      </c>
      <c r="T777" s="11">
        <f t="shared" si="184"/>
        <v>1666.6666666666667</v>
      </c>
      <c r="U777" s="11">
        <f t="shared" si="185"/>
        <v>0</v>
      </c>
      <c r="V777" s="24">
        <f t="shared" si="186"/>
        <v>0</v>
      </c>
      <c r="W777" s="11">
        <f>IF(V777&lt;=40000,0,
IF(V777&lt;=55000,(V777-40000)*10%,
IF(V777&lt;=70000,(V777-55000)*15%+1500,
IF(V777&lt;=200000,(V777-70000)*20%+1500+2250,
IF(V777&lt;=400000,(V777-200000)*22.5%+1500+2250+26000,
IF(V777&lt;=600000,(V777-400000)*25%+1500+2250+26000+45000,
IF(AND(V777&gt;600000,V777&lt;=1200000),(V777-400000)*25%+1500+2250+26000+45000
+IFERROR(LOOKUP(V777,{600001;700001;800001;900001},{4000;6750;10250;15250}),0),IF(V777&gt;1200000,((V777-1200000)*27.5%)+300000,0)
)))))))</f>
        <v>0</v>
      </c>
      <c r="X777" s="12">
        <f t="shared" si="187"/>
        <v>0</v>
      </c>
      <c r="Y777" s="12">
        <f t="shared" si="188"/>
        <v>0</v>
      </c>
      <c r="Z777" s="11"/>
      <c r="AA777" s="13">
        <f t="shared" si="189"/>
        <v>0</v>
      </c>
      <c r="AB777" s="12">
        <f t="shared" si="190"/>
        <v>0</v>
      </c>
      <c r="AC777" s="14">
        <f t="shared" si="193"/>
        <v>0</v>
      </c>
      <c r="AE777" s="19">
        <f t="shared" si="191"/>
        <v>0</v>
      </c>
      <c r="AF777" s="19"/>
      <c r="AG777" s="17"/>
      <c r="AK777" s="7"/>
      <c r="AL777" s="108">
        <f t="shared" si="194"/>
        <v>0</v>
      </c>
      <c r="AM777" s="108">
        <f t="shared" si="195"/>
        <v>0</v>
      </c>
      <c r="AN777" s="113"/>
    </row>
    <row r="778" spans="2:40" x14ac:dyDescent="0.2">
      <c r="B778" s="7"/>
      <c r="C778" s="8"/>
      <c r="D778" s="8"/>
      <c r="E778" s="9"/>
      <c r="F778" s="6"/>
      <c r="G778" s="8"/>
      <c r="H778" s="32"/>
      <c r="I778" s="10" t="str">
        <f t="shared" si="192"/>
        <v>21</v>
      </c>
      <c r="J778" s="11">
        <v>1</v>
      </c>
      <c r="K778" s="11"/>
      <c r="L778" s="11"/>
      <c r="M778" s="11">
        <f t="shared" si="181"/>
        <v>0</v>
      </c>
      <c r="N778" s="11"/>
      <c r="O778" s="11">
        <f t="shared" si="182"/>
        <v>0</v>
      </c>
      <c r="P778" s="11"/>
      <c r="Q778" s="11"/>
      <c r="R778" s="11"/>
      <c r="S778" s="11">
        <f t="shared" si="183"/>
        <v>0</v>
      </c>
      <c r="T778" s="11">
        <f t="shared" si="184"/>
        <v>1666.6666666666667</v>
      </c>
      <c r="U778" s="11">
        <f t="shared" si="185"/>
        <v>0</v>
      </c>
      <c r="V778" s="24">
        <f t="shared" si="186"/>
        <v>0</v>
      </c>
      <c r="W778" s="11">
        <f>IF(V778&lt;=40000,0,
IF(V778&lt;=55000,(V778-40000)*10%,
IF(V778&lt;=70000,(V778-55000)*15%+1500,
IF(V778&lt;=200000,(V778-70000)*20%+1500+2250,
IF(V778&lt;=400000,(V778-200000)*22.5%+1500+2250+26000,
IF(V778&lt;=600000,(V778-400000)*25%+1500+2250+26000+45000,
IF(AND(V778&gt;600000,V778&lt;=1200000),(V778-400000)*25%+1500+2250+26000+45000
+IFERROR(LOOKUP(V778,{600001;700001;800001;900001},{4000;6750;10250;15250}),0),IF(V778&gt;1200000,((V778-1200000)*27.5%)+300000,0)
)))))))</f>
        <v>0</v>
      </c>
      <c r="X778" s="12">
        <f t="shared" si="187"/>
        <v>0</v>
      </c>
      <c r="Y778" s="12">
        <f t="shared" si="188"/>
        <v>0</v>
      </c>
      <c r="Z778" s="11"/>
      <c r="AA778" s="13">
        <f t="shared" si="189"/>
        <v>0</v>
      </c>
      <c r="AB778" s="12">
        <f t="shared" si="190"/>
        <v>0</v>
      </c>
      <c r="AC778" s="14">
        <f t="shared" si="193"/>
        <v>0</v>
      </c>
      <c r="AE778" s="19">
        <f t="shared" si="191"/>
        <v>0</v>
      </c>
      <c r="AF778" s="19"/>
      <c r="AG778" s="17"/>
      <c r="AK778" s="7"/>
      <c r="AL778" s="108">
        <f t="shared" si="194"/>
        <v>0</v>
      </c>
      <c r="AM778" s="108">
        <f t="shared" si="195"/>
        <v>0</v>
      </c>
      <c r="AN778" s="113"/>
    </row>
    <row r="779" spans="2:40" x14ac:dyDescent="0.2">
      <c r="B779" s="7"/>
      <c r="C779" s="8"/>
      <c r="D779" s="8"/>
      <c r="E779" s="9"/>
      <c r="F779" s="6"/>
      <c r="G779" s="8"/>
      <c r="H779" s="32"/>
      <c r="I779" s="10" t="str">
        <f t="shared" si="192"/>
        <v>21</v>
      </c>
      <c r="J779" s="11">
        <v>1</v>
      </c>
      <c r="K779" s="11"/>
      <c r="L779" s="11"/>
      <c r="M779" s="11">
        <f t="shared" si="181"/>
        <v>0</v>
      </c>
      <c r="N779" s="11"/>
      <c r="O779" s="11">
        <f t="shared" si="182"/>
        <v>0</v>
      </c>
      <c r="P779" s="11"/>
      <c r="Q779" s="11"/>
      <c r="R779" s="11"/>
      <c r="S779" s="11">
        <f t="shared" si="183"/>
        <v>0</v>
      </c>
      <c r="T779" s="11">
        <f t="shared" si="184"/>
        <v>1666.6666666666667</v>
      </c>
      <c r="U779" s="11">
        <f t="shared" si="185"/>
        <v>0</v>
      </c>
      <c r="V779" s="24">
        <f t="shared" si="186"/>
        <v>0</v>
      </c>
      <c r="W779" s="11">
        <f>IF(V779&lt;=40000,0,
IF(V779&lt;=55000,(V779-40000)*10%,
IF(V779&lt;=70000,(V779-55000)*15%+1500,
IF(V779&lt;=200000,(V779-70000)*20%+1500+2250,
IF(V779&lt;=400000,(V779-200000)*22.5%+1500+2250+26000,
IF(V779&lt;=600000,(V779-400000)*25%+1500+2250+26000+45000,
IF(AND(V779&gt;600000,V779&lt;=1200000),(V779-400000)*25%+1500+2250+26000+45000
+IFERROR(LOOKUP(V779,{600001;700001;800001;900001},{4000;6750;10250;15250}),0),IF(V779&gt;1200000,((V779-1200000)*27.5%)+300000,0)
)))))))</f>
        <v>0</v>
      </c>
      <c r="X779" s="12">
        <f t="shared" si="187"/>
        <v>0</v>
      </c>
      <c r="Y779" s="12">
        <f t="shared" si="188"/>
        <v>0</v>
      </c>
      <c r="Z779" s="11"/>
      <c r="AA779" s="13">
        <f t="shared" si="189"/>
        <v>0</v>
      </c>
      <c r="AB779" s="12">
        <f t="shared" si="190"/>
        <v>0</v>
      </c>
      <c r="AC779" s="14">
        <f t="shared" si="193"/>
        <v>0</v>
      </c>
      <c r="AE779" s="19">
        <f t="shared" si="191"/>
        <v>0</v>
      </c>
      <c r="AF779" s="19"/>
      <c r="AG779" s="17"/>
      <c r="AK779" s="7"/>
      <c r="AL779" s="108">
        <f t="shared" si="194"/>
        <v>0</v>
      </c>
      <c r="AM779" s="108">
        <f t="shared" si="195"/>
        <v>0</v>
      </c>
      <c r="AN779" s="113"/>
    </row>
    <row r="780" spans="2:40" x14ac:dyDescent="0.2">
      <c r="B780" s="7"/>
      <c r="C780" s="8"/>
      <c r="D780" s="8"/>
      <c r="E780" s="9"/>
      <c r="F780" s="6"/>
      <c r="G780" s="8"/>
      <c r="H780" s="32"/>
      <c r="I780" s="10" t="str">
        <f t="shared" si="192"/>
        <v>21</v>
      </c>
      <c r="J780" s="11">
        <v>1</v>
      </c>
      <c r="K780" s="11"/>
      <c r="L780" s="11"/>
      <c r="M780" s="11">
        <f t="shared" si="181"/>
        <v>0</v>
      </c>
      <c r="N780" s="11"/>
      <c r="O780" s="11">
        <f t="shared" si="182"/>
        <v>0</v>
      </c>
      <c r="P780" s="11"/>
      <c r="Q780" s="11"/>
      <c r="R780" s="11"/>
      <c r="S780" s="11">
        <f t="shared" si="183"/>
        <v>0</v>
      </c>
      <c r="T780" s="11">
        <f t="shared" si="184"/>
        <v>1666.6666666666667</v>
      </c>
      <c r="U780" s="11">
        <f t="shared" si="185"/>
        <v>0</v>
      </c>
      <c r="V780" s="24">
        <f t="shared" si="186"/>
        <v>0</v>
      </c>
      <c r="W780" s="11">
        <f>IF(V780&lt;=40000,0,
IF(V780&lt;=55000,(V780-40000)*10%,
IF(V780&lt;=70000,(V780-55000)*15%+1500,
IF(V780&lt;=200000,(V780-70000)*20%+1500+2250,
IF(V780&lt;=400000,(V780-200000)*22.5%+1500+2250+26000,
IF(V780&lt;=600000,(V780-400000)*25%+1500+2250+26000+45000,
IF(AND(V780&gt;600000,V780&lt;=1200000),(V780-400000)*25%+1500+2250+26000+45000
+IFERROR(LOOKUP(V780,{600001;700001;800001;900001},{4000;6750;10250;15250}),0),IF(V780&gt;1200000,((V780-1200000)*27.5%)+300000,0)
)))))))</f>
        <v>0</v>
      </c>
      <c r="X780" s="12">
        <f t="shared" si="187"/>
        <v>0</v>
      </c>
      <c r="Y780" s="12">
        <f t="shared" si="188"/>
        <v>0</v>
      </c>
      <c r="Z780" s="11"/>
      <c r="AA780" s="13">
        <f t="shared" si="189"/>
        <v>0</v>
      </c>
      <c r="AB780" s="12">
        <f t="shared" si="190"/>
        <v>0</v>
      </c>
      <c r="AC780" s="14">
        <f t="shared" si="193"/>
        <v>0</v>
      </c>
      <c r="AE780" s="19">
        <f t="shared" si="191"/>
        <v>0</v>
      </c>
      <c r="AF780" s="19"/>
      <c r="AG780" s="17"/>
      <c r="AK780" s="7"/>
      <c r="AL780" s="108">
        <f t="shared" si="194"/>
        <v>0</v>
      </c>
      <c r="AM780" s="108">
        <f t="shared" si="195"/>
        <v>0</v>
      </c>
      <c r="AN780" s="113"/>
    </row>
    <row r="781" spans="2:40" x14ac:dyDescent="0.2">
      <c r="B781" s="7"/>
      <c r="C781" s="8"/>
      <c r="D781" s="8"/>
      <c r="E781" s="9"/>
      <c r="F781" s="6"/>
      <c r="G781" s="8"/>
      <c r="H781" s="32"/>
      <c r="I781" s="10" t="str">
        <f t="shared" si="192"/>
        <v>21</v>
      </c>
      <c r="J781" s="11">
        <v>1</v>
      </c>
      <c r="K781" s="11"/>
      <c r="L781" s="11"/>
      <c r="M781" s="11">
        <f t="shared" si="181"/>
        <v>0</v>
      </c>
      <c r="N781" s="11"/>
      <c r="O781" s="11">
        <f t="shared" si="182"/>
        <v>0</v>
      </c>
      <c r="P781" s="11"/>
      <c r="Q781" s="11"/>
      <c r="R781" s="11"/>
      <c r="S781" s="11">
        <f t="shared" si="183"/>
        <v>0</v>
      </c>
      <c r="T781" s="11">
        <f t="shared" si="184"/>
        <v>1666.6666666666667</v>
      </c>
      <c r="U781" s="11">
        <f t="shared" si="185"/>
        <v>0</v>
      </c>
      <c r="V781" s="24">
        <f t="shared" si="186"/>
        <v>0</v>
      </c>
      <c r="W781" s="11">
        <f>IF(V781&lt;=40000,0,
IF(V781&lt;=55000,(V781-40000)*10%,
IF(V781&lt;=70000,(V781-55000)*15%+1500,
IF(V781&lt;=200000,(V781-70000)*20%+1500+2250,
IF(V781&lt;=400000,(V781-200000)*22.5%+1500+2250+26000,
IF(V781&lt;=600000,(V781-400000)*25%+1500+2250+26000+45000,
IF(AND(V781&gt;600000,V781&lt;=1200000),(V781-400000)*25%+1500+2250+26000+45000
+IFERROR(LOOKUP(V781,{600001;700001;800001;900001},{4000;6750;10250;15250}),0),IF(V781&gt;1200000,((V781-1200000)*27.5%)+300000,0)
)))))))</f>
        <v>0</v>
      </c>
      <c r="X781" s="12">
        <f t="shared" si="187"/>
        <v>0</v>
      </c>
      <c r="Y781" s="12">
        <f t="shared" si="188"/>
        <v>0</v>
      </c>
      <c r="Z781" s="11"/>
      <c r="AA781" s="13">
        <f t="shared" si="189"/>
        <v>0</v>
      </c>
      <c r="AB781" s="12">
        <f t="shared" si="190"/>
        <v>0</v>
      </c>
      <c r="AC781" s="14">
        <f t="shared" si="193"/>
        <v>0</v>
      </c>
      <c r="AE781" s="19">
        <f t="shared" si="191"/>
        <v>0</v>
      </c>
      <c r="AF781" s="19"/>
      <c r="AG781" s="17"/>
      <c r="AK781" s="7"/>
      <c r="AL781" s="108">
        <f t="shared" si="194"/>
        <v>0</v>
      </c>
      <c r="AM781" s="108">
        <f t="shared" si="195"/>
        <v>0</v>
      </c>
      <c r="AN781" s="113"/>
    </row>
    <row r="782" spans="2:40" x14ac:dyDescent="0.2">
      <c r="B782" s="7"/>
      <c r="C782" s="8"/>
      <c r="D782" s="8"/>
      <c r="E782" s="9"/>
      <c r="F782" s="6"/>
      <c r="G782" s="8"/>
      <c r="H782" s="32"/>
      <c r="I782" s="10" t="str">
        <f t="shared" si="192"/>
        <v>21</v>
      </c>
      <c r="J782" s="11">
        <v>1</v>
      </c>
      <c r="K782" s="11"/>
      <c r="L782" s="11"/>
      <c r="M782" s="11">
        <f t="shared" si="181"/>
        <v>0</v>
      </c>
      <c r="N782" s="11"/>
      <c r="O782" s="11">
        <f t="shared" si="182"/>
        <v>0</v>
      </c>
      <c r="P782" s="11"/>
      <c r="Q782" s="11"/>
      <c r="R782" s="11"/>
      <c r="S782" s="11">
        <f t="shared" si="183"/>
        <v>0</v>
      </c>
      <c r="T782" s="11">
        <f t="shared" si="184"/>
        <v>1666.6666666666667</v>
      </c>
      <c r="U782" s="11">
        <f t="shared" si="185"/>
        <v>0</v>
      </c>
      <c r="V782" s="24">
        <f t="shared" si="186"/>
        <v>0</v>
      </c>
      <c r="W782" s="11">
        <f>IF(V782&lt;=40000,0,
IF(V782&lt;=55000,(V782-40000)*10%,
IF(V782&lt;=70000,(V782-55000)*15%+1500,
IF(V782&lt;=200000,(V782-70000)*20%+1500+2250,
IF(V782&lt;=400000,(V782-200000)*22.5%+1500+2250+26000,
IF(V782&lt;=600000,(V782-400000)*25%+1500+2250+26000+45000,
IF(AND(V782&gt;600000,V782&lt;=1200000),(V782-400000)*25%+1500+2250+26000+45000
+IFERROR(LOOKUP(V782,{600001;700001;800001;900001},{4000;6750;10250;15250}),0),IF(V782&gt;1200000,((V782-1200000)*27.5%)+300000,0)
)))))))</f>
        <v>0</v>
      </c>
      <c r="X782" s="12">
        <f t="shared" si="187"/>
        <v>0</v>
      </c>
      <c r="Y782" s="12">
        <f t="shared" si="188"/>
        <v>0</v>
      </c>
      <c r="Z782" s="11"/>
      <c r="AA782" s="13">
        <f t="shared" si="189"/>
        <v>0</v>
      </c>
      <c r="AB782" s="12">
        <f t="shared" si="190"/>
        <v>0</v>
      </c>
      <c r="AC782" s="14">
        <f t="shared" si="193"/>
        <v>0</v>
      </c>
      <c r="AE782" s="19">
        <f t="shared" si="191"/>
        <v>0</v>
      </c>
      <c r="AF782" s="19"/>
      <c r="AG782" s="17"/>
      <c r="AK782" s="7"/>
      <c r="AL782" s="108">
        <f t="shared" si="194"/>
        <v>0</v>
      </c>
      <c r="AM782" s="108">
        <f t="shared" si="195"/>
        <v>0</v>
      </c>
      <c r="AN782" s="113"/>
    </row>
    <row r="783" spans="2:40" x14ac:dyDescent="0.2">
      <c r="B783" s="7"/>
      <c r="C783" s="8"/>
      <c r="D783" s="8"/>
      <c r="E783" s="9"/>
      <c r="F783" s="6"/>
      <c r="G783" s="8"/>
      <c r="H783" s="32"/>
      <c r="I783" s="10" t="str">
        <f t="shared" si="192"/>
        <v>21</v>
      </c>
      <c r="J783" s="11">
        <v>1</v>
      </c>
      <c r="K783" s="11"/>
      <c r="L783" s="11"/>
      <c r="M783" s="11">
        <f t="shared" si="181"/>
        <v>0</v>
      </c>
      <c r="N783" s="11"/>
      <c r="O783" s="11">
        <f t="shared" si="182"/>
        <v>0</v>
      </c>
      <c r="P783" s="11"/>
      <c r="Q783" s="11"/>
      <c r="R783" s="11"/>
      <c r="S783" s="11">
        <f t="shared" si="183"/>
        <v>0</v>
      </c>
      <c r="T783" s="11">
        <f t="shared" si="184"/>
        <v>1666.6666666666667</v>
      </c>
      <c r="U783" s="11">
        <f t="shared" si="185"/>
        <v>0</v>
      </c>
      <c r="V783" s="24">
        <f t="shared" si="186"/>
        <v>0</v>
      </c>
      <c r="W783" s="11">
        <f>IF(V783&lt;=40000,0,
IF(V783&lt;=55000,(V783-40000)*10%,
IF(V783&lt;=70000,(V783-55000)*15%+1500,
IF(V783&lt;=200000,(V783-70000)*20%+1500+2250,
IF(V783&lt;=400000,(V783-200000)*22.5%+1500+2250+26000,
IF(V783&lt;=600000,(V783-400000)*25%+1500+2250+26000+45000,
IF(AND(V783&gt;600000,V783&lt;=1200000),(V783-400000)*25%+1500+2250+26000+45000
+IFERROR(LOOKUP(V783,{600001;700001;800001;900001},{4000;6750;10250;15250}),0),IF(V783&gt;1200000,((V783-1200000)*27.5%)+300000,0)
)))))))</f>
        <v>0</v>
      </c>
      <c r="X783" s="12">
        <f t="shared" si="187"/>
        <v>0</v>
      </c>
      <c r="Y783" s="12">
        <f t="shared" si="188"/>
        <v>0</v>
      </c>
      <c r="Z783" s="11"/>
      <c r="AA783" s="13">
        <f t="shared" si="189"/>
        <v>0</v>
      </c>
      <c r="AB783" s="12">
        <f t="shared" si="190"/>
        <v>0</v>
      </c>
      <c r="AC783" s="14">
        <f t="shared" si="193"/>
        <v>0</v>
      </c>
      <c r="AE783" s="19">
        <f t="shared" si="191"/>
        <v>0</v>
      </c>
      <c r="AF783" s="19"/>
      <c r="AG783" s="17"/>
      <c r="AK783" s="7"/>
      <c r="AL783" s="108">
        <f t="shared" si="194"/>
        <v>0</v>
      </c>
      <c r="AM783" s="108">
        <f t="shared" si="195"/>
        <v>0</v>
      </c>
      <c r="AN783" s="113"/>
    </row>
    <row r="784" spans="2:40" x14ac:dyDescent="0.2">
      <c r="B784" s="7"/>
      <c r="C784" s="8"/>
      <c r="D784" s="8"/>
      <c r="E784" s="9"/>
      <c r="F784" s="6"/>
      <c r="G784" s="8"/>
      <c r="H784" s="32"/>
      <c r="I784" s="10" t="str">
        <f t="shared" si="192"/>
        <v>21</v>
      </c>
      <c r="J784" s="11">
        <v>1</v>
      </c>
      <c r="K784" s="11"/>
      <c r="L784" s="11"/>
      <c r="M784" s="11">
        <f t="shared" si="181"/>
        <v>0</v>
      </c>
      <c r="N784" s="11"/>
      <c r="O784" s="11">
        <f t="shared" si="182"/>
        <v>0</v>
      </c>
      <c r="P784" s="11"/>
      <c r="Q784" s="11"/>
      <c r="R784" s="11"/>
      <c r="S784" s="11">
        <f t="shared" si="183"/>
        <v>0</v>
      </c>
      <c r="T784" s="11">
        <f t="shared" si="184"/>
        <v>1666.6666666666667</v>
      </c>
      <c r="U784" s="11">
        <f t="shared" si="185"/>
        <v>0</v>
      </c>
      <c r="V784" s="24">
        <f t="shared" si="186"/>
        <v>0</v>
      </c>
      <c r="W784" s="11">
        <f>IF(V784&lt;=40000,0,
IF(V784&lt;=55000,(V784-40000)*10%,
IF(V784&lt;=70000,(V784-55000)*15%+1500,
IF(V784&lt;=200000,(V784-70000)*20%+1500+2250,
IF(V784&lt;=400000,(V784-200000)*22.5%+1500+2250+26000,
IF(V784&lt;=600000,(V784-400000)*25%+1500+2250+26000+45000,
IF(AND(V784&gt;600000,V784&lt;=1200000),(V784-400000)*25%+1500+2250+26000+45000
+IFERROR(LOOKUP(V784,{600001;700001;800001;900001},{4000;6750;10250;15250}),0),IF(V784&gt;1200000,((V784-1200000)*27.5%)+300000,0)
)))))))</f>
        <v>0</v>
      </c>
      <c r="X784" s="12">
        <f t="shared" si="187"/>
        <v>0</v>
      </c>
      <c r="Y784" s="12">
        <f t="shared" si="188"/>
        <v>0</v>
      </c>
      <c r="Z784" s="11"/>
      <c r="AA784" s="13">
        <f t="shared" si="189"/>
        <v>0</v>
      </c>
      <c r="AB784" s="12">
        <f t="shared" si="190"/>
        <v>0</v>
      </c>
      <c r="AC784" s="14">
        <f t="shared" si="193"/>
        <v>0</v>
      </c>
      <c r="AE784" s="19">
        <f t="shared" si="191"/>
        <v>0</v>
      </c>
      <c r="AF784" s="19"/>
      <c r="AG784" s="17"/>
      <c r="AK784" s="7"/>
      <c r="AL784" s="108">
        <f t="shared" si="194"/>
        <v>0</v>
      </c>
      <c r="AM784" s="108">
        <f t="shared" si="195"/>
        <v>0</v>
      </c>
      <c r="AN784" s="113"/>
    </row>
    <row r="785" spans="2:40" x14ac:dyDescent="0.2">
      <c r="B785" s="7"/>
      <c r="C785" s="8"/>
      <c r="D785" s="8"/>
      <c r="E785" s="9"/>
      <c r="F785" s="6"/>
      <c r="G785" s="8"/>
      <c r="H785" s="32"/>
      <c r="I785" s="10" t="str">
        <f t="shared" si="192"/>
        <v>21</v>
      </c>
      <c r="J785" s="11">
        <v>1</v>
      </c>
      <c r="K785" s="11"/>
      <c r="L785" s="11"/>
      <c r="M785" s="11">
        <f t="shared" si="181"/>
        <v>0</v>
      </c>
      <c r="N785" s="11"/>
      <c r="O785" s="11">
        <f t="shared" si="182"/>
        <v>0</v>
      </c>
      <c r="P785" s="11"/>
      <c r="Q785" s="11"/>
      <c r="R785" s="11"/>
      <c r="S785" s="11">
        <f t="shared" si="183"/>
        <v>0</v>
      </c>
      <c r="T785" s="11">
        <f t="shared" si="184"/>
        <v>1666.6666666666667</v>
      </c>
      <c r="U785" s="11">
        <f t="shared" si="185"/>
        <v>0</v>
      </c>
      <c r="V785" s="24">
        <f t="shared" si="186"/>
        <v>0</v>
      </c>
      <c r="W785" s="11">
        <f>IF(V785&lt;=40000,0,
IF(V785&lt;=55000,(V785-40000)*10%,
IF(V785&lt;=70000,(V785-55000)*15%+1500,
IF(V785&lt;=200000,(V785-70000)*20%+1500+2250,
IF(V785&lt;=400000,(V785-200000)*22.5%+1500+2250+26000,
IF(V785&lt;=600000,(V785-400000)*25%+1500+2250+26000+45000,
IF(AND(V785&gt;600000,V785&lt;=1200000),(V785-400000)*25%+1500+2250+26000+45000
+IFERROR(LOOKUP(V785,{600001;700001;800001;900001},{4000;6750;10250;15250}),0),IF(V785&gt;1200000,((V785-1200000)*27.5%)+300000,0)
)))))))</f>
        <v>0</v>
      </c>
      <c r="X785" s="12">
        <f t="shared" si="187"/>
        <v>0</v>
      </c>
      <c r="Y785" s="12">
        <f t="shared" si="188"/>
        <v>0</v>
      </c>
      <c r="Z785" s="11"/>
      <c r="AA785" s="13">
        <f t="shared" si="189"/>
        <v>0</v>
      </c>
      <c r="AB785" s="12">
        <f t="shared" si="190"/>
        <v>0</v>
      </c>
      <c r="AC785" s="14">
        <f t="shared" si="193"/>
        <v>0</v>
      </c>
      <c r="AE785" s="19">
        <f t="shared" si="191"/>
        <v>0</v>
      </c>
      <c r="AF785" s="19"/>
      <c r="AG785" s="17"/>
      <c r="AK785" s="7"/>
      <c r="AL785" s="108">
        <f t="shared" si="194"/>
        <v>0</v>
      </c>
      <c r="AM785" s="108">
        <f t="shared" si="195"/>
        <v>0</v>
      </c>
      <c r="AN785" s="113"/>
    </row>
    <row r="786" spans="2:40" x14ac:dyDescent="0.2">
      <c r="B786" s="7"/>
      <c r="C786" s="8"/>
      <c r="D786" s="8"/>
      <c r="E786" s="9"/>
      <c r="F786" s="6"/>
      <c r="G786" s="8"/>
      <c r="H786" s="32"/>
      <c r="I786" s="10" t="str">
        <f t="shared" si="192"/>
        <v>21</v>
      </c>
      <c r="J786" s="11">
        <v>1</v>
      </c>
      <c r="K786" s="11"/>
      <c r="L786" s="11"/>
      <c r="M786" s="11">
        <f t="shared" si="181"/>
        <v>0</v>
      </c>
      <c r="N786" s="11"/>
      <c r="O786" s="11">
        <f t="shared" si="182"/>
        <v>0</v>
      </c>
      <c r="P786" s="11"/>
      <c r="Q786" s="11"/>
      <c r="R786" s="11"/>
      <c r="S786" s="11">
        <f t="shared" si="183"/>
        <v>0</v>
      </c>
      <c r="T786" s="11">
        <f t="shared" si="184"/>
        <v>1666.6666666666667</v>
      </c>
      <c r="U786" s="11">
        <f t="shared" si="185"/>
        <v>0</v>
      </c>
      <c r="V786" s="24">
        <f t="shared" si="186"/>
        <v>0</v>
      </c>
      <c r="W786" s="11">
        <f>IF(V786&lt;=40000,0,
IF(V786&lt;=55000,(V786-40000)*10%,
IF(V786&lt;=70000,(V786-55000)*15%+1500,
IF(V786&lt;=200000,(V786-70000)*20%+1500+2250,
IF(V786&lt;=400000,(V786-200000)*22.5%+1500+2250+26000,
IF(V786&lt;=600000,(V786-400000)*25%+1500+2250+26000+45000,
IF(AND(V786&gt;600000,V786&lt;=1200000),(V786-400000)*25%+1500+2250+26000+45000
+IFERROR(LOOKUP(V786,{600001;700001;800001;900001},{4000;6750;10250;15250}),0),IF(V786&gt;1200000,((V786-1200000)*27.5%)+300000,0)
)))))))</f>
        <v>0</v>
      </c>
      <c r="X786" s="12">
        <f t="shared" si="187"/>
        <v>0</v>
      </c>
      <c r="Y786" s="12">
        <f t="shared" si="188"/>
        <v>0</v>
      </c>
      <c r="Z786" s="11"/>
      <c r="AA786" s="13">
        <f t="shared" si="189"/>
        <v>0</v>
      </c>
      <c r="AB786" s="12">
        <f t="shared" si="190"/>
        <v>0</v>
      </c>
      <c r="AC786" s="14">
        <f t="shared" si="193"/>
        <v>0</v>
      </c>
      <c r="AE786" s="19">
        <f t="shared" si="191"/>
        <v>0</v>
      </c>
      <c r="AF786" s="19"/>
      <c r="AG786" s="17"/>
      <c r="AK786" s="7"/>
      <c r="AL786" s="108">
        <f t="shared" si="194"/>
        <v>0</v>
      </c>
      <c r="AM786" s="108">
        <f t="shared" si="195"/>
        <v>0</v>
      </c>
      <c r="AN786" s="113"/>
    </row>
    <row r="787" spans="2:40" x14ac:dyDescent="0.2">
      <c r="B787" s="7"/>
      <c r="C787" s="8"/>
      <c r="D787" s="8"/>
      <c r="E787" s="9"/>
      <c r="F787" s="6"/>
      <c r="G787" s="8"/>
      <c r="H787" s="32"/>
      <c r="I787" s="10" t="str">
        <f t="shared" si="192"/>
        <v>21</v>
      </c>
      <c r="J787" s="11">
        <v>1</v>
      </c>
      <c r="K787" s="11"/>
      <c r="L787" s="11"/>
      <c r="M787" s="11">
        <f t="shared" si="181"/>
        <v>0</v>
      </c>
      <c r="N787" s="11"/>
      <c r="O787" s="11">
        <f t="shared" si="182"/>
        <v>0</v>
      </c>
      <c r="P787" s="11"/>
      <c r="Q787" s="11"/>
      <c r="R787" s="11"/>
      <c r="S787" s="11">
        <f t="shared" si="183"/>
        <v>0</v>
      </c>
      <c r="T787" s="11">
        <f t="shared" si="184"/>
        <v>1666.6666666666667</v>
      </c>
      <c r="U787" s="11">
        <f t="shared" si="185"/>
        <v>0</v>
      </c>
      <c r="V787" s="24">
        <f t="shared" si="186"/>
        <v>0</v>
      </c>
      <c r="W787" s="11">
        <f>IF(V787&lt;=40000,0,
IF(V787&lt;=55000,(V787-40000)*10%,
IF(V787&lt;=70000,(V787-55000)*15%+1500,
IF(V787&lt;=200000,(V787-70000)*20%+1500+2250,
IF(V787&lt;=400000,(V787-200000)*22.5%+1500+2250+26000,
IF(V787&lt;=600000,(V787-400000)*25%+1500+2250+26000+45000,
IF(AND(V787&gt;600000,V787&lt;=1200000),(V787-400000)*25%+1500+2250+26000+45000
+IFERROR(LOOKUP(V787,{600001;700001;800001;900001},{4000;6750;10250;15250}),0),IF(V787&gt;1200000,((V787-1200000)*27.5%)+300000,0)
)))))))</f>
        <v>0</v>
      </c>
      <c r="X787" s="12">
        <f t="shared" si="187"/>
        <v>0</v>
      </c>
      <c r="Y787" s="12">
        <f t="shared" si="188"/>
        <v>0</v>
      </c>
      <c r="Z787" s="11"/>
      <c r="AA787" s="13">
        <f t="shared" si="189"/>
        <v>0</v>
      </c>
      <c r="AB787" s="12">
        <f t="shared" si="190"/>
        <v>0</v>
      </c>
      <c r="AC787" s="14">
        <f t="shared" si="193"/>
        <v>0</v>
      </c>
      <c r="AE787" s="19">
        <f t="shared" si="191"/>
        <v>0</v>
      </c>
      <c r="AF787" s="19"/>
      <c r="AG787" s="17"/>
      <c r="AK787" s="7"/>
      <c r="AL787" s="108">
        <f t="shared" si="194"/>
        <v>0</v>
      </c>
      <c r="AM787" s="108">
        <f t="shared" si="195"/>
        <v>0</v>
      </c>
      <c r="AN787" s="113"/>
    </row>
    <row r="788" spans="2:40" x14ac:dyDescent="0.2">
      <c r="B788" s="7"/>
      <c r="C788" s="8"/>
      <c r="D788" s="8"/>
      <c r="E788" s="9"/>
      <c r="F788" s="6"/>
      <c r="G788" s="8"/>
      <c r="H788" s="32"/>
      <c r="I788" s="10" t="str">
        <f t="shared" si="192"/>
        <v>21</v>
      </c>
      <c r="J788" s="11">
        <v>1</v>
      </c>
      <c r="K788" s="11"/>
      <c r="L788" s="11"/>
      <c r="M788" s="11">
        <f t="shared" si="181"/>
        <v>0</v>
      </c>
      <c r="N788" s="11"/>
      <c r="O788" s="11">
        <f t="shared" si="182"/>
        <v>0</v>
      </c>
      <c r="P788" s="11"/>
      <c r="Q788" s="11"/>
      <c r="R788" s="11"/>
      <c r="S788" s="11">
        <f t="shared" si="183"/>
        <v>0</v>
      </c>
      <c r="T788" s="11">
        <f t="shared" si="184"/>
        <v>1666.6666666666667</v>
      </c>
      <c r="U788" s="11">
        <f t="shared" si="185"/>
        <v>0</v>
      </c>
      <c r="V788" s="24">
        <f t="shared" si="186"/>
        <v>0</v>
      </c>
      <c r="W788" s="11">
        <f>IF(V788&lt;=40000,0,
IF(V788&lt;=55000,(V788-40000)*10%,
IF(V788&lt;=70000,(V788-55000)*15%+1500,
IF(V788&lt;=200000,(V788-70000)*20%+1500+2250,
IF(V788&lt;=400000,(V788-200000)*22.5%+1500+2250+26000,
IF(V788&lt;=600000,(V788-400000)*25%+1500+2250+26000+45000,
IF(AND(V788&gt;600000,V788&lt;=1200000),(V788-400000)*25%+1500+2250+26000+45000
+IFERROR(LOOKUP(V788,{600001;700001;800001;900001},{4000;6750;10250;15250}),0),IF(V788&gt;1200000,((V788-1200000)*27.5%)+300000,0)
)))))))</f>
        <v>0</v>
      </c>
      <c r="X788" s="12">
        <f t="shared" si="187"/>
        <v>0</v>
      </c>
      <c r="Y788" s="12">
        <f t="shared" si="188"/>
        <v>0</v>
      </c>
      <c r="Z788" s="11"/>
      <c r="AA788" s="13">
        <f t="shared" si="189"/>
        <v>0</v>
      </c>
      <c r="AB788" s="12">
        <f t="shared" si="190"/>
        <v>0</v>
      </c>
      <c r="AC788" s="14">
        <f t="shared" si="193"/>
        <v>0</v>
      </c>
      <c r="AE788" s="19">
        <f t="shared" si="191"/>
        <v>0</v>
      </c>
      <c r="AF788" s="19"/>
      <c r="AG788" s="17"/>
      <c r="AK788" s="7"/>
      <c r="AL788" s="108">
        <f t="shared" si="194"/>
        <v>0</v>
      </c>
      <c r="AM788" s="108">
        <f t="shared" si="195"/>
        <v>0</v>
      </c>
      <c r="AN788" s="113"/>
    </row>
    <row r="789" spans="2:40" x14ac:dyDescent="0.2">
      <c r="B789" s="7"/>
      <c r="C789" s="8"/>
      <c r="D789" s="8"/>
      <c r="E789" s="9"/>
      <c r="F789" s="6"/>
      <c r="G789" s="8"/>
      <c r="H789" s="32"/>
      <c r="I789" s="10" t="str">
        <f t="shared" si="192"/>
        <v>21</v>
      </c>
      <c r="J789" s="11">
        <v>1</v>
      </c>
      <c r="K789" s="11"/>
      <c r="L789" s="11"/>
      <c r="M789" s="11">
        <f t="shared" si="181"/>
        <v>0</v>
      </c>
      <c r="N789" s="11"/>
      <c r="O789" s="11">
        <f t="shared" si="182"/>
        <v>0</v>
      </c>
      <c r="P789" s="11"/>
      <c r="Q789" s="11"/>
      <c r="R789" s="11"/>
      <c r="S789" s="11">
        <f t="shared" si="183"/>
        <v>0</v>
      </c>
      <c r="T789" s="11">
        <f t="shared" si="184"/>
        <v>1666.6666666666667</v>
      </c>
      <c r="U789" s="11">
        <f t="shared" si="185"/>
        <v>0</v>
      </c>
      <c r="V789" s="24">
        <f t="shared" si="186"/>
        <v>0</v>
      </c>
      <c r="W789" s="11">
        <f>IF(V789&lt;=40000,0,
IF(V789&lt;=55000,(V789-40000)*10%,
IF(V789&lt;=70000,(V789-55000)*15%+1500,
IF(V789&lt;=200000,(V789-70000)*20%+1500+2250,
IF(V789&lt;=400000,(V789-200000)*22.5%+1500+2250+26000,
IF(V789&lt;=600000,(V789-400000)*25%+1500+2250+26000+45000,
IF(AND(V789&gt;600000,V789&lt;=1200000),(V789-400000)*25%+1500+2250+26000+45000
+IFERROR(LOOKUP(V789,{600001;700001;800001;900001},{4000;6750;10250;15250}),0),IF(V789&gt;1200000,((V789-1200000)*27.5%)+300000,0)
)))))))</f>
        <v>0</v>
      </c>
      <c r="X789" s="12">
        <f t="shared" si="187"/>
        <v>0</v>
      </c>
      <c r="Y789" s="12">
        <f t="shared" si="188"/>
        <v>0</v>
      </c>
      <c r="Z789" s="11"/>
      <c r="AA789" s="13">
        <f t="shared" si="189"/>
        <v>0</v>
      </c>
      <c r="AB789" s="12">
        <f t="shared" si="190"/>
        <v>0</v>
      </c>
      <c r="AC789" s="14">
        <f t="shared" si="193"/>
        <v>0</v>
      </c>
      <c r="AE789" s="19">
        <f t="shared" si="191"/>
        <v>0</v>
      </c>
      <c r="AF789" s="19"/>
      <c r="AG789" s="17"/>
      <c r="AK789" s="7"/>
      <c r="AL789" s="108">
        <f t="shared" si="194"/>
        <v>0</v>
      </c>
      <c r="AM789" s="108">
        <f t="shared" si="195"/>
        <v>0</v>
      </c>
      <c r="AN789" s="113"/>
    </row>
    <row r="790" spans="2:40" x14ac:dyDescent="0.2">
      <c r="B790" s="7"/>
      <c r="C790" s="8"/>
      <c r="D790" s="8"/>
      <c r="E790" s="9"/>
      <c r="F790" s="6"/>
      <c r="G790" s="8"/>
      <c r="H790" s="32"/>
      <c r="I790" s="10" t="str">
        <f t="shared" si="192"/>
        <v>21</v>
      </c>
      <c r="J790" s="11">
        <v>1</v>
      </c>
      <c r="K790" s="11"/>
      <c r="L790" s="11"/>
      <c r="M790" s="11">
        <f t="shared" si="181"/>
        <v>0</v>
      </c>
      <c r="N790" s="11"/>
      <c r="O790" s="11">
        <f t="shared" si="182"/>
        <v>0</v>
      </c>
      <c r="P790" s="11"/>
      <c r="Q790" s="11"/>
      <c r="R790" s="11"/>
      <c r="S790" s="11">
        <f t="shared" si="183"/>
        <v>0</v>
      </c>
      <c r="T790" s="11">
        <f t="shared" si="184"/>
        <v>1666.6666666666667</v>
      </c>
      <c r="U790" s="11">
        <f t="shared" si="185"/>
        <v>0</v>
      </c>
      <c r="V790" s="24">
        <f t="shared" si="186"/>
        <v>0</v>
      </c>
      <c r="W790" s="11">
        <f>IF(V790&lt;=40000,0,
IF(V790&lt;=55000,(V790-40000)*10%,
IF(V790&lt;=70000,(V790-55000)*15%+1500,
IF(V790&lt;=200000,(V790-70000)*20%+1500+2250,
IF(V790&lt;=400000,(V790-200000)*22.5%+1500+2250+26000,
IF(V790&lt;=600000,(V790-400000)*25%+1500+2250+26000+45000,
IF(AND(V790&gt;600000,V790&lt;=1200000),(V790-400000)*25%+1500+2250+26000+45000
+IFERROR(LOOKUP(V790,{600001;700001;800001;900001},{4000;6750;10250;15250}),0),IF(V790&gt;1200000,((V790-1200000)*27.5%)+300000,0)
)))))))</f>
        <v>0</v>
      </c>
      <c r="X790" s="12">
        <f t="shared" si="187"/>
        <v>0</v>
      </c>
      <c r="Y790" s="12">
        <f t="shared" si="188"/>
        <v>0</v>
      </c>
      <c r="Z790" s="11"/>
      <c r="AA790" s="13">
        <f t="shared" si="189"/>
        <v>0</v>
      </c>
      <c r="AB790" s="12">
        <f t="shared" si="190"/>
        <v>0</v>
      </c>
      <c r="AC790" s="14">
        <f t="shared" si="193"/>
        <v>0</v>
      </c>
      <c r="AE790" s="19">
        <f t="shared" si="191"/>
        <v>0</v>
      </c>
      <c r="AF790" s="19"/>
      <c r="AG790" s="17"/>
      <c r="AK790" s="7"/>
      <c r="AL790" s="108">
        <f t="shared" si="194"/>
        <v>0</v>
      </c>
      <c r="AM790" s="108">
        <f t="shared" si="195"/>
        <v>0</v>
      </c>
      <c r="AN790" s="113"/>
    </row>
    <row r="791" spans="2:40" x14ac:dyDescent="0.2">
      <c r="B791" s="7"/>
      <c r="C791" s="8"/>
      <c r="D791" s="8"/>
      <c r="E791" s="9"/>
      <c r="F791" s="6"/>
      <c r="G791" s="8"/>
      <c r="H791" s="32"/>
      <c r="I791" s="10" t="str">
        <f t="shared" si="192"/>
        <v>21</v>
      </c>
      <c r="J791" s="11">
        <v>1</v>
      </c>
      <c r="K791" s="11"/>
      <c r="L791" s="11"/>
      <c r="M791" s="11">
        <f t="shared" si="181"/>
        <v>0</v>
      </c>
      <c r="N791" s="11"/>
      <c r="O791" s="11">
        <f t="shared" si="182"/>
        <v>0</v>
      </c>
      <c r="P791" s="11"/>
      <c r="Q791" s="11"/>
      <c r="R791" s="11"/>
      <c r="S791" s="11">
        <f t="shared" si="183"/>
        <v>0</v>
      </c>
      <c r="T791" s="11">
        <f t="shared" si="184"/>
        <v>1666.6666666666667</v>
      </c>
      <c r="U791" s="11">
        <f t="shared" si="185"/>
        <v>0</v>
      </c>
      <c r="V791" s="24">
        <f t="shared" si="186"/>
        <v>0</v>
      </c>
      <c r="W791" s="11">
        <f>IF(V791&lt;=40000,0,
IF(V791&lt;=55000,(V791-40000)*10%,
IF(V791&lt;=70000,(V791-55000)*15%+1500,
IF(V791&lt;=200000,(V791-70000)*20%+1500+2250,
IF(V791&lt;=400000,(V791-200000)*22.5%+1500+2250+26000,
IF(V791&lt;=600000,(V791-400000)*25%+1500+2250+26000+45000,
IF(AND(V791&gt;600000,V791&lt;=1200000),(V791-400000)*25%+1500+2250+26000+45000
+IFERROR(LOOKUP(V791,{600001;700001;800001;900001},{4000;6750;10250;15250}),0),IF(V791&gt;1200000,((V791-1200000)*27.5%)+300000,0)
)))))))</f>
        <v>0</v>
      </c>
      <c r="X791" s="12">
        <f t="shared" si="187"/>
        <v>0</v>
      </c>
      <c r="Y791" s="12">
        <f t="shared" si="188"/>
        <v>0</v>
      </c>
      <c r="Z791" s="11"/>
      <c r="AA791" s="13">
        <f t="shared" si="189"/>
        <v>0</v>
      </c>
      <c r="AB791" s="12">
        <f t="shared" si="190"/>
        <v>0</v>
      </c>
      <c r="AC791" s="14">
        <f t="shared" si="193"/>
        <v>0</v>
      </c>
      <c r="AE791" s="19">
        <f t="shared" si="191"/>
        <v>0</v>
      </c>
      <c r="AF791" s="19"/>
      <c r="AG791" s="17"/>
      <c r="AK791" s="7"/>
      <c r="AL791" s="108">
        <f t="shared" si="194"/>
        <v>0</v>
      </c>
      <c r="AM791" s="108">
        <f t="shared" si="195"/>
        <v>0</v>
      </c>
      <c r="AN791" s="113"/>
    </row>
    <row r="792" spans="2:40" x14ac:dyDescent="0.2">
      <c r="B792" s="7"/>
      <c r="C792" s="8"/>
      <c r="D792" s="8"/>
      <c r="E792" s="9"/>
      <c r="F792" s="6"/>
      <c r="G792" s="8"/>
      <c r="H792" s="32"/>
      <c r="I792" s="10" t="str">
        <f t="shared" si="192"/>
        <v>21</v>
      </c>
      <c r="J792" s="11">
        <v>1</v>
      </c>
      <c r="K792" s="11"/>
      <c r="L792" s="11"/>
      <c r="M792" s="11">
        <f t="shared" si="181"/>
        <v>0</v>
      </c>
      <c r="N792" s="11"/>
      <c r="O792" s="11">
        <f t="shared" si="182"/>
        <v>0</v>
      </c>
      <c r="P792" s="11"/>
      <c r="Q792" s="11"/>
      <c r="R792" s="11"/>
      <c r="S792" s="11">
        <f t="shared" si="183"/>
        <v>0</v>
      </c>
      <c r="T792" s="11">
        <f t="shared" si="184"/>
        <v>1666.6666666666667</v>
      </c>
      <c r="U792" s="11">
        <f t="shared" si="185"/>
        <v>0</v>
      </c>
      <c r="V792" s="24">
        <f t="shared" si="186"/>
        <v>0</v>
      </c>
      <c r="W792" s="11">
        <f>IF(V792&lt;=40000,0,
IF(V792&lt;=55000,(V792-40000)*10%,
IF(V792&lt;=70000,(V792-55000)*15%+1500,
IF(V792&lt;=200000,(V792-70000)*20%+1500+2250,
IF(V792&lt;=400000,(V792-200000)*22.5%+1500+2250+26000,
IF(V792&lt;=600000,(V792-400000)*25%+1500+2250+26000+45000,
IF(AND(V792&gt;600000,V792&lt;=1200000),(V792-400000)*25%+1500+2250+26000+45000
+IFERROR(LOOKUP(V792,{600001;700001;800001;900001},{4000;6750;10250;15250}),0),IF(V792&gt;1200000,((V792-1200000)*27.5%)+300000,0)
)))))))</f>
        <v>0</v>
      </c>
      <c r="X792" s="12">
        <f t="shared" si="187"/>
        <v>0</v>
      </c>
      <c r="Y792" s="12">
        <f t="shared" si="188"/>
        <v>0</v>
      </c>
      <c r="Z792" s="11"/>
      <c r="AA792" s="13">
        <f t="shared" si="189"/>
        <v>0</v>
      </c>
      <c r="AB792" s="12">
        <f t="shared" si="190"/>
        <v>0</v>
      </c>
      <c r="AC792" s="14">
        <f t="shared" si="193"/>
        <v>0</v>
      </c>
      <c r="AE792" s="19">
        <f t="shared" si="191"/>
        <v>0</v>
      </c>
      <c r="AF792" s="19"/>
      <c r="AG792" s="17"/>
      <c r="AK792" s="7"/>
      <c r="AL792" s="108">
        <f t="shared" si="194"/>
        <v>0</v>
      </c>
      <c r="AM792" s="108">
        <f t="shared" si="195"/>
        <v>0</v>
      </c>
      <c r="AN792" s="113"/>
    </row>
    <row r="793" spans="2:40" x14ac:dyDescent="0.2">
      <c r="B793" s="7"/>
      <c r="C793" s="8"/>
      <c r="D793" s="8"/>
      <c r="E793" s="9"/>
      <c r="F793" s="6"/>
      <c r="G793" s="8"/>
      <c r="H793" s="32"/>
      <c r="I793" s="10" t="str">
        <f t="shared" si="192"/>
        <v>21</v>
      </c>
      <c r="J793" s="11">
        <v>1</v>
      </c>
      <c r="K793" s="11"/>
      <c r="L793" s="11"/>
      <c r="M793" s="11">
        <f t="shared" si="181"/>
        <v>0</v>
      </c>
      <c r="N793" s="11"/>
      <c r="O793" s="11">
        <f t="shared" si="182"/>
        <v>0</v>
      </c>
      <c r="P793" s="11"/>
      <c r="Q793" s="11"/>
      <c r="R793" s="11"/>
      <c r="S793" s="11">
        <f t="shared" si="183"/>
        <v>0</v>
      </c>
      <c r="T793" s="11">
        <f t="shared" si="184"/>
        <v>1666.6666666666667</v>
      </c>
      <c r="U793" s="11">
        <f t="shared" si="185"/>
        <v>0</v>
      </c>
      <c r="V793" s="24">
        <f t="shared" si="186"/>
        <v>0</v>
      </c>
      <c r="W793" s="11">
        <f>IF(V793&lt;=40000,0,
IF(V793&lt;=55000,(V793-40000)*10%,
IF(V793&lt;=70000,(V793-55000)*15%+1500,
IF(V793&lt;=200000,(V793-70000)*20%+1500+2250,
IF(V793&lt;=400000,(V793-200000)*22.5%+1500+2250+26000,
IF(V793&lt;=600000,(V793-400000)*25%+1500+2250+26000+45000,
IF(AND(V793&gt;600000,V793&lt;=1200000),(V793-400000)*25%+1500+2250+26000+45000
+IFERROR(LOOKUP(V793,{600001;700001;800001;900001},{4000;6750;10250;15250}),0),IF(V793&gt;1200000,((V793-1200000)*27.5%)+300000,0)
)))))))</f>
        <v>0</v>
      </c>
      <c r="X793" s="12">
        <f t="shared" si="187"/>
        <v>0</v>
      </c>
      <c r="Y793" s="12">
        <f t="shared" si="188"/>
        <v>0</v>
      </c>
      <c r="Z793" s="11"/>
      <c r="AA793" s="13">
        <f t="shared" si="189"/>
        <v>0</v>
      </c>
      <c r="AB793" s="12">
        <f t="shared" si="190"/>
        <v>0</v>
      </c>
      <c r="AC793" s="14">
        <f t="shared" si="193"/>
        <v>0</v>
      </c>
      <c r="AE793" s="19">
        <f t="shared" si="191"/>
        <v>0</v>
      </c>
      <c r="AF793" s="19"/>
      <c r="AG793" s="17"/>
      <c r="AK793" s="7"/>
      <c r="AL793" s="108">
        <f t="shared" si="194"/>
        <v>0</v>
      </c>
      <c r="AM793" s="108">
        <f t="shared" si="195"/>
        <v>0</v>
      </c>
      <c r="AN793" s="113"/>
    </row>
    <row r="794" spans="2:40" x14ac:dyDescent="0.2">
      <c r="B794" s="7"/>
      <c r="C794" s="8"/>
      <c r="D794" s="8"/>
      <c r="E794" s="9"/>
      <c r="F794" s="6"/>
      <c r="G794" s="8"/>
      <c r="H794" s="32"/>
      <c r="I794" s="10" t="str">
        <f t="shared" si="192"/>
        <v>21</v>
      </c>
      <c r="J794" s="11">
        <v>1</v>
      </c>
      <c r="K794" s="11"/>
      <c r="L794" s="11"/>
      <c r="M794" s="11">
        <f t="shared" si="181"/>
        <v>0</v>
      </c>
      <c r="N794" s="11"/>
      <c r="O794" s="11">
        <f t="shared" si="182"/>
        <v>0</v>
      </c>
      <c r="P794" s="11"/>
      <c r="Q794" s="11"/>
      <c r="R794" s="11"/>
      <c r="S794" s="11">
        <f t="shared" si="183"/>
        <v>0</v>
      </c>
      <c r="T794" s="11">
        <f t="shared" si="184"/>
        <v>1666.6666666666667</v>
      </c>
      <c r="U794" s="11">
        <f t="shared" si="185"/>
        <v>0</v>
      </c>
      <c r="V794" s="24">
        <f t="shared" si="186"/>
        <v>0</v>
      </c>
      <c r="W794" s="11">
        <f>IF(V794&lt;=40000,0,
IF(V794&lt;=55000,(V794-40000)*10%,
IF(V794&lt;=70000,(V794-55000)*15%+1500,
IF(V794&lt;=200000,(V794-70000)*20%+1500+2250,
IF(V794&lt;=400000,(V794-200000)*22.5%+1500+2250+26000,
IF(V794&lt;=600000,(V794-400000)*25%+1500+2250+26000+45000,
IF(AND(V794&gt;600000,V794&lt;=1200000),(V794-400000)*25%+1500+2250+26000+45000
+IFERROR(LOOKUP(V794,{600001;700001;800001;900001},{4000;6750;10250;15250}),0),IF(V794&gt;1200000,((V794-1200000)*27.5%)+300000,0)
)))))))</f>
        <v>0</v>
      </c>
      <c r="X794" s="12">
        <f t="shared" si="187"/>
        <v>0</v>
      </c>
      <c r="Y794" s="12">
        <f t="shared" si="188"/>
        <v>0</v>
      </c>
      <c r="Z794" s="11"/>
      <c r="AA794" s="13">
        <f t="shared" si="189"/>
        <v>0</v>
      </c>
      <c r="AB794" s="12">
        <f t="shared" si="190"/>
        <v>0</v>
      </c>
      <c r="AC794" s="14">
        <f t="shared" si="193"/>
        <v>0</v>
      </c>
      <c r="AE794" s="19">
        <f t="shared" si="191"/>
        <v>0</v>
      </c>
      <c r="AF794" s="19"/>
      <c r="AG794" s="17"/>
      <c r="AK794" s="7"/>
      <c r="AL794" s="108">
        <f t="shared" si="194"/>
        <v>0</v>
      </c>
      <c r="AM794" s="108">
        <f t="shared" si="195"/>
        <v>0</v>
      </c>
      <c r="AN794" s="113"/>
    </row>
    <row r="795" spans="2:40" x14ac:dyDescent="0.2">
      <c r="B795" s="7"/>
      <c r="C795" s="8"/>
      <c r="D795" s="8"/>
      <c r="E795" s="9"/>
      <c r="F795" s="6"/>
      <c r="G795" s="8"/>
      <c r="H795" s="32"/>
      <c r="I795" s="10" t="str">
        <f t="shared" si="192"/>
        <v>21</v>
      </c>
      <c r="J795" s="11">
        <v>1</v>
      </c>
      <c r="K795" s="11"/>
      <c r="L795" s="11"/>
      <c r="M795" s="11">
        <f t="shared" si="181"/>
        <v>0</v>
      </c>
      <c r="N795" s="11"/>
      <c r="O795" s="11">
        <f t="shared" si="182"/>
        <v>0</v>
      </c>
      <c r="P795" s="11"/>
      <c r="Q795" s="11"/>
      <c r="R795" s="11"/>
      <c r="S795" s="11">
        <f t="shared" si="183"/>
        <v>0</v>
      </c>
      <c r="T795" s="11">
        <f t="shared" si="184"/>
        <v>1666.6666666666667</v>
      </c>
      <c r="U795" s="11">
        <f t="shared" si="185"/>
        <v>0</v>
      </c>
      <c r="V795" s="24">
        <f t="shared" si="186"/>
        <v>0</v>
      </c>
      <c r="W795" s="11">
        <f>IF(V795&lt;=40000,0,
IF(V795&lt;=55000,(V795-40000)*10%,
IF(V795&lt;=70000,(V795-55000)*15%+1500,
IF(V795&lt;=200000,(V795-70000)*20%+1500+2250,
IF(V795&lt;=400000,(V795-200000)*22.5%+1500+2250+26000,
IF(V795&lt;=600000,(V795-400000)*25%+1500+2250+26000+45000,
IF(AND(V795&gt;600000,V795&lt;=1200000),(V795-400000)*25%+1500+2250+26000+45000
+IFERROR(LOOKUP(V795,{600001;700001;800001;900001},{4000;6750;10250;15250}),0),IF(V795&gt;1200000,((V795-1200000)*27.5%)+300000,0)
)))))))</f>
        <v>0</v>
      </c>
      <c r="X795" s="12">
        <f t="shared" si="187"/>
        <v>0</v>
      </c>
      <c r="Y795" s="12">
        <f t="shared" si="188"/>
        <v>0</v>
      </c>
      <c r="Z795" s="11"/>
      <c r="AA795" s="13">
        <f t="shared" si="189"/>
        <v>0</v>
      </c>
      <c r="AB795" s="12">
        <f t="shared" si="190"/>
        <v>0</v>
      </c>
      <c r="AC795" s="14">
        <f t="shared" si="193"/>
        <v>0</v>
      </c>
      <c r="AE795" s="19">
        <f t="shared" si="191"/>
        <v>0</v>
      </c>
      <c r="AF795" s="19"/>
      <c r="AG795" s="17"/>
      <c r="AK795" s="7"/>
      <c r="AL795" s="108">
        <f t="shared" si="194"/>
        <v>0</v>
      </c>
      <c r="AM795" s="108">
        <f t="shared" si="195"/>
        <v>0</v>
      </c>
      <c r="AN795" s="113"/>
    </row>
    <row r="796" spans="2:40" x14ac:dyDescent="0.2">
      <c r="B796" s="7"/>
      <c r="C796" s="8"/>
      <c r="D796" s="8"/>
      <c r="E796" s="9"/>
      <c r="F796" s="6"/>
      <c r="G796" s="8"/>
      <c r="H796" s="32"/>
      <c r="I796" s="10" t="str">
        <f t="shared" si="192"/>
        <v>21</v>
      </c>
      <c r="J796" s="11">
        <v>1</v>
      </c>
      <c r="K796" s="11"/>
      <c r="L796" s="11"/>
      <c r="M796" s="11">
        <f t="shared" si="181"/>
        <v>0</v>
      </c>
      <c r="N796" s="11"/>
      <c r="O796" s="11">
        <f t="shared" si="182"/>
        <v>0</v>
      </c>
      <c r="P796" s="11"/>
      <c r="Q796" s="11"/>
      <c r="R796" s="11"/>
      <c r="S796" s="11">
        <f t="shared" si="183"/>
        <v>0</v>
      </c>
      <c r="T796" s="11">
        <f t="shared" si="184"/>
        <v>1666.6666666666667</v>
      </c>
      <c r="U796" s="11">
        <f t="shared" si="185"/>
        <v>0</v>
      </c>
      <c r="V796" s="24">
        <f t="shared" si="186"/>
        <v>0</v>
      </c>
      <c r="W796" s="11">
        <f>IF(V796&lt;=40000,0,
IF(V796&lt;=55000,(V796-40000)*10%,
IF(V796&lt;=70000,(V796-55000)*15%+1500,
IF(V796&lt;=200000,(V796-70000)*20%+1500+2250,
IF(V796&lt;=400000,(V796-200000)*22.5%+1500+2250+26000,
IF(V796&lt;=600000,(V796-400000)*25%+1500+2250+26000+45000,
IF(AND(V796&gt;600000,V796&lt;=1200000),(V796-400000)*25%+1500+2250+26000+45000
+IFERROR(LOOKUP(V796,{600001;700001;800001;900001},{4000;6750;10250;15250}),0),IF(V796&gt;1200000,((V796-1200000)*27.5%)+300000,0)
)))))))</f>
        <v>0</v>
      </c>
      <c r="X796" s="12">
        <f t="shared" si="187"/>
        <v>0</v>
      </c>
      <c r="Y796" s="12">
        <f t="shared" si="188"/>
        <v>0</v>
      </c>
      <c r="Z796" s="11"/>
      <c r="AA796" s="13">
        <f t="shared" si="189"/>
        <v>0</v>
      </c>
      <c r="AB796" s="12">
        <f t="shared" si="190"/>
        <v>0</v>
      </c>
      <c r="AC796" s="14">
        <f t="shared" si="193"/>
        <v>0</v>
      </c>
      <c r="AE796" s="19">
        <f t="shared" si="191"/>
        <v>0</v>
      </c>
      <c r="AF796" s="19"/>
      <c r="AG796" s="17"/>
      <c r="AK796" s="7"/>
      <c r="AL796" s="108">
        <f t="shared" si="194"/>
        <v>0</v>
      </c>
      <c r="AM796" s="108">
        <f t="shared" si="195"/>
        <v>0</v>
      </c>
      <c r="AN796" s="113"/>
    </row>
    <row r="797" spans="2:40" x14ac:dyDescent="0.2">
      <c r="B797" s="7"/>
      <c r="C797" s="8"/>
      <c r="D797" s="8"/>
      <c r="E797" s="9"/>
      <c r="F797" s="6"/>
      <c r="G797" s="8"/>
      <c r="H797" s="32"/>
      <c r="I797" s="10" t="str">
        <f t="shared" si="192"/>
        <v>21</v>
      </c>
      <c r="J797" s="11">
        <v>1</v>
      </c>
      <c r="K797" s="11"/>
      <c r="L797" s="11"/>
      <c r="M797" s="11">
        <f t="shared" ref="M797:M860" si="196">SUM(K797:L797)</f>
        <v>0</v>
      </c>
      <c r="N797" s="11"/>
      <c r="O797" s="11">
        <f t="shared" ref="O797:O860" si="197">+N797+M797</f>
        <v>0</v>
      </c>
      <c r="P797" s="11"/>
      <c r="Q797" s="11"/>
      <c r="R797" s="11"/>
      <c r="S797" s="11">
        <f t="shared" ref="S797:S860" si="198">O797-P797-Q797-R797</f>
        <v>0</v>
      </c>
      <c r="T797" s="11">
        <f t="shared" ref="T797:T860" si="199">IF(J797&gt;0,(20000/12*J797),0)</f>
        <v>1666.6666666666667</v>
      </c>
      <c r="U797" s="11">
        <f t="shared" ref="U797:U860" si="200">IF(AND(J797&gt;0,S797-T797&gt;0),S797-T797,0)</f>
        <v>0</v>
      </c>
      <c r="V797" s="24">
        <f t="shared" ref="V797:V860" si="201">IF(J797=0,0,(U797/J797*12))</f>
        <v>0</v>
      </c>
      <c r="W797" s="11">
        <f>IF(V797&lt;=40000,0,
IF(V797&lt;=55000,(V797-40000)*10%,
IF(V797&lt;=70000,(V797-55000)*15%+1500,
IF(V797&lt;=200000,(V797-70000)*20%+1500+2250,
IF(V797&lt;=400000,(V797-200000)*22.5%+1500+2250+26000,
IF(V797&lt;=600000,(V797-400000)*25%+1500+2250+26000+45000,
IF(AND(V797&gt;600000,V797&lt;=1200000),(V797-400000)*25%+1500+2250+26000+45000
+IFERROR(LOOKUP(V797,{600001;700001;800001;900001},{4000;6750;10250;15250}),0),IF(V797&gt;1200000,((V797-1200000)*27.5%)+300000,0)
)))))))</f>
        <v>0</v>
      </c>
      <c r="X797" s="12">
        <f t="shared" ref="X797:X860" si="202">N797*0.1</f>
        <v>0</v>
      </c>
      <c r="Y797" s="12">
        <f t="shared" ref="Y797:Y860" si="203">(W797/12*J797)-X797</f>
        <v>0</v>
      </c>
      <c r="Z797" s="11"/>
      <c r="AA797" s="13">
        <f t="shared" ref="AA797:AA860" si="204">+O797-P797-Y797-Z797</f>
        <v>0</v>
      </c>
      <c r="AB797" s="12">
        <f t="shared" ref="AB797:AB860" si="205">(P797/0.11)*18.75%</f>
        <v>0</v>
      </c>
      <c r="AC797" s="14">
        <f t="shared" si="193"/>
        <v>0</v>
      </c>
      <c r="AE797" s="19">
        <f t="shared" ref="AE797:AE860" si="206">+AD797-AC797</f>
        <v>0</v>
      </c>
      <c r="AF797" s="19"/>
      <c r="AG797" s="17"/>
      <c r="AK797" s="7"/>
      <c r="AL797" s="108">
        <f t="shared" si="194"/>
        <v>0</v>
      </c>
      <c r="AM797" s="108">
        <f t="shared" si="195"/>
        <v>0</v>
      </c>
      <c r="AN797" s="113"/>
    </row>
    <row r="798" spans="2:40" x14ac:dyDescent="0.2">
      <c r="B798" s="7"/>
      <c r="C798" s="8"/>
      <c r="D798" s="8"/>
      <c r="E798" s="9"/>
      <c r="F798" s="6"/>
      <c r="G798" s="8"/>
      <c r="H798" s="32"/>
      <c r="I798" s="10" t="str">
        <f t="shared" si="192"/>
        <v>21</v>
      </c>
      <c r="J798" s="11">
        <v>1</v>
      </c>
      <c r="K798" s="11"/>
      <c r="L798" s="11"/>
      <c r="M798" s="11">
        <f t="shared" si="196"/>
        <v>0</v>
      </c>
      <c r="N798" s="11"/>
      <c r="O798" s="11">
        <f t="shared" si="197"/>
        <v>0</v>
      </c>
      <c r="P798" s="11"/>
      <c r="Q798" s="11"/>
      <c r="R798" s="11"/>
      <c r="S798" s="11">
        <f t="shared" si="198"/>
        <v>0</v>
      </c>
      <c r="T798" s="11">
        <f t="shared" si="199"/>
        <v>1666.6666666666667</v>
      </c>
      <c r="U798" s="11">
        <f t="shared" si="200"/>
        <v>0</v>
      </c>
      <c r="V798" s="24">
        <f t="shared" si="201"/>
        <v>0</v>
      </c>
      <c r="W798" s="11">
        <f>IF(V798&lt;=40000,0,
IF(V798&lt;=55000,(V798-40000)*10%,
IF(V798&lt;=70000,(V798-55000)*15%+1500,
IF(V798&lt;=200000,(V798-70000)*20%+1500+2250,
IF(V798&lt;=400000,(V798-200000)*22.5%+1500+2250+26000,
IF(V798&lt;=600000,(V798-400000)*25%+1500+2250+26000+45000,
IF(AND(V798&gt;600000,V798&lt;=1200000),(V798-400000)*25%+1500+2250+26000+45000
+IFERROR(LOOKUP(V798,{600001;700001;800001;900001},{4000;6750;10250;15250}),0),IF(V798&gt;1200000,((V798-1200000)*27.5%)+300000,0)
)))))))</f>
        <v>0</v>
      </c>
      <c r="X798" s="12">
        <f t="shared" si="202"/>
        <v>0</v>
      </c>
      <c r="Y798" s="12">
        <f t="shared" si="203"/>
        <v>0</v>
      </c>
      <c r="Z798" s="11"/>
      <c r="AA798" s="13">
        <f t="shared" si="204"/>
        <v>0</v>
      </c>
      <c r="AB798" s="12">
        <f t="shared" si="205"/>
        <v>0</v>
      </c>
      <c r="AC798" s="14">
        <f t="shared" si="193"/>
        <v>0</v>
      </c>
      <c r="AE798" s="19">
        <f t="shared" si="206"/>
        <v>0</v>
      </c>
      <c r="AF798" s="19"/>
      <c r="AG798" s="17"/>
      <c r="AK798" s="7"/>
      <c r="AL798" s="108">
        <f t="shared" si="194"/>
        <v>0</v>
      </c>
      <c r="AM798" s="108">
        <f t="shared" si="195"/>
        <v>0</v>
      </c>
      <c r="AN798" s="113"/>
    </row>
    <row r="799" spans="2:40" x14ac:dyDescent="0.2">
      <c r="B799" s="7"/>
      <c r="C799" s="8"/>
      <c r="D799" s="8"/>
      <c r="E799" s="9"/>
      <c r="F799" s="6"/>
      <c r="G799" s="8"/>
      <c r="H799" s="32"/>
      <c r="I799" s="10" t="str">
        <f t="shared" si="192"/>
        <v>21</v>
      </c>
      <c r="J799" s="11">
        <v>1</v>
      </c>
      <c r="K799" s="11"/>
      <c r="L799" s="11"/>
      <c r="M799" s="11">
        <f t="shared" si="196"/>
        <v>0</v>
      </c>
      <c r="N799" s="11"/>
      <c r="O799" s="11">
        <f t="shared" si="197"/>
        <v>0</v>
      </c>
      <c r="P799" s="11"/>
      <c r="Q799" s="11"/>
      <c r="R799" s="11"/>
      <c r="S799" s="11">
        <f t="shared" si="198"/>
        <v>0</v>
      </c>
      <c r="T799" s="11">
        <f t="shared" si="199"/>
        <v>1666.6666666666667</v>
      </c>
      <c r="U799" s="11">
        <f t="shared" si="200"/>
        <v>0</v>
      </c>
      <c r="V799" s="24">
        <f t="shared" si="201"/>
        <v>0</v>
      </c>
      <c r="W799" s="11">
        <f>IF(V799&lt;=40000,0,
IF(V799&lt;=55000,(V799-40000)*10%,
IF(V799&lt;=70000,(V799-55000)*15%+1500,
IF(V799&lt;=200000,(V799-70000)*20%+1500+2250,
IF(V799&lt;=400000,(V799-200000)*22.5%+1500+2250+26000,
IF(V799&lt;=600000,(V799-400000)*25%+1500+2250+26000+45000,
IF(AND(V799&gt;600000,V799&lt;=1200000),(V799-400000)*25%+1500+2250+26000+45000
+IFERROR(LOOKUP(V799,{600001;700001;800001;900001},{4000;6750;10250;15250}),0),IF(V799&gt;1200000,((V799-1200000)*27.5%)+300000,0)
)))))))</f>
        <v>0</v>
      </c>
      <c r="X799" s="12">
        <f t="shared" si="202"/>
        <v>0</v>
      </c>
      <c r="Y799" s="12">
        <f t="shared" si="203"/>
        <v>0</v>
      </c>
      <c r="Z799" s="11"/>
      <c r="AA799" s="13">
        <f t="shared" si="204"/>
        <v>0</v>
      </c>
      <c r="AB799" s="12">
        <f t="shared" si="205"/>
        <v>0</v>
      </c>
      <c r="AC799" s="14">
        <f t="shared" si="193"/>
        <v>0</v>
      </c>
      <c r="AE799" s="19">
        <f t="shared" si="206"/>
        <v>0</v>
      </c>
      <c r="AF799" s="19"/>
      <c r="AG799" s="17"/>
      <c r="AK799" s="7"/>
      <c r="AL799" s="108">
        <f t="shared" si="194"/>
        <v>0</v>
      </c>
      <c r="AM799" s="108">
        <f t="shared" si="195"/>
        <v>0</v>
      </c>
      <c r="AN799" s="113"/>
    </row>
    <row r="800" spans="2:40" x14ac:dyDescent="0.2">
      <c r="B800" s="7"/>
      <c r="C800" s="8"/>
      <c r="D800" s="8"/>
      <c r="E800" s="9"/>
      <c r="F800" s="6"/>
      <c r="G800" s="8"/>
      <c r="H800" s="32"/>
      <c r="I800" s="10" t="str">
        <f t="shared" si="192"/>
        <v>21</v>
      </c>
      <c r="J800" s="11">
        <v>1</v>
      </c>
      <c r="K800" s="11"/>
      <c r="L800" s="11"/>
      <c r="M800" s="11">
        <f t="shared" si="196"/>
        <v>0</v>
      </c>
      <c r="N800" s="11"/>
      <c r="O800" s="11">
        <f t="shared" si="197"/>
        <v>0</v>
      </c>
      <c r="P800" s="11"/>
      <c r="Q800" s="11"/>
      <c r="R800" s="11"/>
      <c r="S800" s="11">
        <f t="shared" si="198"/>
        <v>0</v>
      </c>
      <c r="T800" s="11">
        <f t="shared" si="199"/>
        <v>1666.6666666666667</v>
      </c>
      <c r="U800" s="11">
        <f t="shared" si="200"/>
        <v>0</v>
      </c>
      <c r="V800" s="24">
        <f t="shared" si="201"/>
        <v>0</v>
      </c>
      <c r="W800" s="11">
        <f>IF(V800&lt;=40000,0,
IF(V800&lt;=55000,(V800-40000)*10%,
IF(V800&lt;=70000,(V800-55000)*15%+1500,
IF(V800&lt;=200000,(V800-70000)*20%+1500+2250,
IF(V800&lt;=400000,(V800-200000)*22.5%+1500+2250+26000,
IF(V800&lt;=600000,(V800-400000)*25%+1500+2250+26000+45000,
IF(AND(V800&gt;600000,V800&lt;=1200000),(V800-400000)*25%+1500+2250+26000+45000
+IFERROR(LOOKUP(V800,{600001;700001;800001;900001},{4000;6750;10250;15250}),0),IF(V800&gt;1200000,((V800-1200000)*27.5%)+300000,0)
)))))))</f>
        <v>0</v>
      </c>
      <c r="X800" s="12">
        <f t="shared" si="202"/>
        <v>0</v>
      </c>
      <c r="Y800" s="12">
        <f t="shared" si="203"/>
        <v>0</v>
      </c>
      <c r="Z800" s="11"/>
      <c r="AA800" s="13">
        <f t="shared" si="204"/>
        <v>0</v>
      </c>
      <c r="AB800" s="12">
        <f t="shared" si="205"/>
        <v>0</v>
      </c>
      <c r="AC800" s="14">
        <f t="shared" si="193"/>
        <v>0</v>
      </c>
      <c r="AE800" s="19">
        <f t="shared" si="206"/>
        <v>0</v>
      </c>
      <c r="AF800" s="19"/>
      <c r="AG800" s="17"/>
      <c r="AK800" s="7"/>
      <c r="AL800" s="108">
        <f t="shared" si="194"/>
        <v>0</v>
      </c>
      <c r="AM800" s="108">
        <f t="shared" si="195"/>
        <v>0</v>
      </c>
      <c r="AN800" s="113"/>
    </row>
    <row r="801" spans="2:40" x14ac:dyDescent="0.2">
      <c r="B801" s="7"/>
      <c r="C801" s="8"/>
      <c r="D801" s="8"/>
      <c r="E801" s="9"/>
      <c r="F801" s="6"/>
      <c r="G801" s="8"/>
      <c r="H801" s="32"/>
      <c r="I801" s="10" t="str">
        <f t="shared" si="192"/>
        <v>21</v>
      </c>
      <c r="J801" s="11">
        <v>1</v>
      </c>
      <c r="K801" s="11"/>
      <c r="L801" s="11"/>
      <c r="M801" s="11">
        <f t="shared" si="196"/>
        <v>0</v>
      </c>
      <c r="N801" s="11"/>
      <c r="O801" s="11">
        <f t="shared" si="197"/>
        <v>0</v>
      </c>
      <c r="P801" s="11"/>
      <c r="Q801" s="11"/>
      <c r="R801" s="11"/>
      <c r="S801" s="11">
        <f t="shared" si="198"/>
        <v>0</v>
      </c>
      <c r="T801" s="11">
        <f t="shared" si="199"/>
        <v>1666.6666666666667</v>
      </c>
      <c r="U801" s="11">
        <f t="shared" si="200"/>
        <v>0</v>
      </c>
      <c r="V801" s="24">
        <f t="shared" si="201"/>
        <v>0</v>
      </c>
      <c r="W801" s="11">
        <f>IF(V801&lt;=40000,0,
IF(V801&lt;=55000,(V801-40000)*10%,
IF(V801&lt;=70000,(V801-55000)*15%+1500,
IF(V801&lt;=200000,(V801-70000)*20%+1500+2250,
IF(V801&lt;=400000,(V801-200000)*22.5%+1500+2250+26000,
IF(V801&lt;=600000,(V801-400000)*25%+1500+2250+26000+45000,
IF(AND(V801&gt;600000,V801&lt;=1200000),(V801-400000)*25%+1500+2250+26000+45000
+IFERROR(LOOKUP(V801,{600001;700001;800001;900001},{4000;6750;10250;15250}),0),IF(V801&gt;1200000,((V801-1200000)*27.5%)+300000,0)
)))))))</f>
        <v>0</v>
      </c>
      <c r="X801" s="12">
        <f t="shared" si="202"/>
        <v>0</v>
      </c>
      <c r="Y801" s="12">
        <f t="shared" si="203"/>
        <v>0</v>
      </c>
      <c r="Z801" s="11"/>
      <c r="AA801" s="13">
        <f t="shared" si="204"/>
        <v>0</v>
      </c>
      <c r="AB801" s="12">
        <f t="shared" si="205"/>
        <v>0</v>
      </c>
      <c r="AC801" s="14">
        <f t="shared" si="193"/>
        <v>0</v>
      </c>
      <c r="AE801" s="19">
        <f t="shared" si="206"/>
        <v>0</v>
      </c>
      <c r="AF801" s="19"/>
      <c r="AG801" s="17"/>
      <c r="AK801" s="7"/>
      <c r="AL801" s="108">
        <f t="shared" si="194"/>
        <v>0</v>
      </c>
      <c r="AM801" s="108">
        <f t="shared" si="195"/>
        <v>0</v>
      </c>
      <c r="AN801" s="113"/>
    </row>
    <row r="802" spans="2:40" x14ac:dyDescent="0.2">
      <c r="B802" s="7"/>
      <c r="C802" s="8"/>
      <c r="D802" s="8"/>
      <c r="E802" s="9"/>
      <c r="F802" s="6"/>
      <c r="G802" s="8"/>
      <c r="H802" s="32"/>
      <c r="I802" s="10" t="str">
        <f t="shared" si="192"/>
        <v>21</v>
      </c>
      <c r="J802" s="11">
        <v>1</v>
      </c>
      <c r="K802" s="11"/>
      <c r="L802" s="11"/>
      <c r="M802" s="11">
        <f t="shared" si="196"/>
        <v>0</v>
      </c>
      <c r="N802" s="11"/>
      <c r="O802" s="11">
        <f t="shared" si="197"/>
        <v>0</v>
      </c>
      <c r="P802" s="11"/>
      <c r="Q802" s="11"/>
      <c r="R802" s="11"/>
      <c r="S802" s="11">
        <f t="shared" si="198"/>
        <v>0</v>
      </c>
      <c r="T802" s="11">
        <f t="shared" si="199"/>
        <v>1666.6666666666667</v>
      </c>
      <c r="U802" s="11">
        <f t="shared" si="200"/>
        <v>0</v>
      </c>
      <c r="V802" s="24">
        <f t="shared" si="201"/>
        <v>0</v>
      </c>
      <c r="W802" s="11">
        <f>IF(V802&lt;=40000,0,
IF(V802&lt;=55000,(V802-40000)*10%,
IF(V802&lt;=70000,(V802-55000)*15%+1500,
IF(V802&lt;=200000,(V802-70000)*20%+1500+2250,
IF(V802&lt;=400000,(V802-200000)*22.5%+1500+2250+26000,
IF(V802&lt;=600000,(V802-400000)*25%+1500+2250+26000+45000,
IF(AND(V802&gt;600000,V802&lt;=1200000),(V802-400000)*25%+1500+2250+26000+45000
+IFERROR(LOOKUP(V802,{600001;700001;800001;900001},{4000;6750;10250;15250}),0),IF(V802&gt;1200000,((V802-1200000)*27.5%)+300000,0)
)))))))</f>
        <v>0</v>
      </c>
      <c r="X802" s="12">
        <f t="shared" si="202"/>
        <v>0</v>
      </c>
      <c r="Y802" s="12">
        <f t="shared" si="203"/>
        <v>0</v>
      </c>
      <c r="Z802" s="11"/>
      <c r="AA802" s="13">
        <f t="shared" si="204"/>
        <v>0</v>
      </c>
      <c r="AB802" s="12">
        <f t="shared" si="205"/>
        <v>0</v>
      </c>
      <c r="AC802" s="14">
        <f t="shared" si="193"/>
        <v>0</v>
      </c>
      <c r="AE802" s="19">
        <f t="shared" si="206"/>
        <v>0</v>
      </c>
      <c r="AF802" s="19"/>
      <c r="AG802" s="17"/>
      <c r="AK802" s="7"/>
      <c r="AL802" s="108">
        <f t="shared" si="194"/>
        <v>0</v>
      </c>
      <c r="AM802" s="108">
        <f t="shared" si="195"/>
        <v>0</v>
      </c>
      <c r="AN802" s="113"/>
    </row>
    <row r="803" spans="2:40" x14ac:dyDescent="0.2">
      <c r="B803" s="7"/>
      <c r="C803" s="8"/>
      <c r="D803" s="8"/>
      <c r="E803" s="9"/>
      <c r="F803" s="6"/>
      <c r="G803" s="8"/>
      <c r="H803" s="32"/>
      <c r="I803" s="10" t="str">
        <f t="shared" si="192"/>
        <v>21</v>
      </c>
      <c r="J803" s="11">
        <v>1</v>
      </c>
      <c r="K803" s="11"/>
      <c r="L803" s="11"/>
      <c r="M803" s="11">
        <f t="shared" si="196"/>
        <v>0</v>
      </c>
      <c r="N803" s="11"/>
      <c r="O803" s="11">
        <f t="shared" si="197"/>
        <v>0</v>
      </c>
      <c r="P803" s="11"/>
      <c r="Q803" s="11"/>
      <c r="R803" s="11"/>
      <c r="S803" s="11">
        <f t="shared" si="198"/>
        <v>0</v>
      </c>
      <c r="T803" s="11">
        <f t="shared" si="199"/>
        <v>1666.6666666666667</v>
      </c>
      <c r="U803" s="11">
        <f t="shared" si="200"/>
        <v>0</v>
      </c>
      <c r="V803" s="24">
        <f t="shared" si="201"/>
        <v>0</v>
      </c>
      <c r="W803" s="11">
        <f>IF(V803&lt;=40000,0,
IF(V803&lt;=55000,(V803-40000)*10%,
IF(V803&lt;=70000,(V803-55000)*15%+1500,
IF(V803&lt;=200000,(V803-70000)*20%+1500+2250,
IF(V803&lt;=400000,(V803-200000)*22.5%+1500+2250+26000,
IF(V803&lt;=600000,(V803-400000)*25%+1500+2250+26000+45000,
IF(AND(V803&gt;600000,V803&lt;=1200000),(V803-400000)*25%+1500+2250+26000+45000
+IFERROR(LOOKUP(V803,{600001;700001;800001;900001},{4000;6750;10250;15250}),0),IF(V803&gt;1200000,((V803-1200000)*27.5%)+300000,0)
)))))))</f>
        <v>0</v>
      </c>
      <c r="X803" s="12">
        <f t="shared" si="202"/>
        <v>0</v>
      </c>
      <c r="Y803" s="12">
        <f t="shared" si="203"/>
        <v>0</v>
      </c>
      <c r="Z803" s="11"/>
      <c r="AA803" s="13">
        <f t="shared" si="204"/>
        <v>0</v>
      </c>
      <c r="AB803" s="12">
        <f t="shared" si="205"/>
        <v>0</v>
      </c>
      <c r="AC803" s="14">
        <f t="shared" si="193"/>
        <v>0</v>
      </c>
      <c r="AE803" s="19">
        <f t="shared" si="206"/>
        <v>0</v>
      </c>
      <c r="AF803" s="19"/>
      <c r="AG803" s="17"/>
      <c r="AK803" s="7"/>
      <c r="AL803" s="108">
        <f t="shared" si="194"/>
        <v>0</v>
      </c>
      <c r="AM803" s="108">
        <f t="shared" si="195"/>
        <v>0</v>
      </c>
      <c r="AN803" s="113"/>
    </row>
    <row r="804" spans="2:40" x14ac:dyDescent="0.2">
      <c r="B804" s="7"/>
      <c r="C804" s="8"/>
      <c r="D804" s="8"/>
      <c r="E804" s="9"/>
      <c r="F804" s="6"/>
      <c r="G804" s="8"/>
      <c r="H804" s="32"/>
      <c r="I804" s="10" t="str">
        <f t="shared" si="192"/>
        <v>21</v>
      </c>
      <c r="J804" s="11">
        <v>1</v>
      </c>
      <c r="K804" s="11"/>
      <c r="L804" s="11"/>
      <c r="M804" s="11">
        <f t="shared" si="196"/>
        <v>0</v>
      </c>
      <c r="N804" s="11"/>
      <c r="O804" s="11">
        <f t="shared" si="197"/>
        <v>0</v>
      </c>
      <c r="P804" s="11"/>
      <c r="Q804" s="11"/>
      <c r="R804" s="11"/>
      <c r="S804" s="11">
        <f t="shared" si="198"/>
        <v>0</v>
      </c>
      <c r="T804" s="11">
        <f t="shared" si="199"/>
        <v>1666.6666666666667</v>
      </c>
      <c r="U804" s="11">
        <f t="shared" si="200"/>
        <v>0</v>
      </c>
      <c r="V804" s="24">
        <f t="shared" si="201"/>
        <v>0</v>
      </c>
      <c r="W804" s="11">
        <f>IF(V804&lt;=40000,0,
IF(V804&lt;=55000,(V804-40000)*10%,
IF(V804&lt;=70000,(V804-55000)*15%+1500,
IF(V804&lt;=200000,(V804-70000)*20%+1500+2250,
IF(V804&lt;=400000,(V804-200000)*22.5%+1500+2250+26000,
IF(V804&lt;=600000,(V804-400000)*25%+1500+2250+26000+45000,
IF(AND(V804&gt;600000,V804&lt;=1200000),(V804-400000)*25%+1500+2250+26000+45000
+IFERROR(LOOKUP(V804,{600001;700001;800001;900001},{4000;6750;10250;15250}),0),IF(V804&gt;1200000,((V804-1200000)*27.5%)+300000,0)
)))))))</f>
        <v>0</v>
      </c>
      <c r="X804" s="12">
        <f t="shared" si="202"/>
        <v>0</v>
      </c>
      <c r="Y804" s="12">
        <f t="shared" si="203"/>
        <v>0</v>
      </c>
      <c r="Z804" s="11"/>
      <c r="AA804" s="13">
        <f t="shared" si="204"/>
        <v>0</v>
      </c>
      <c r="AB804" s="12">
        <f t="shared" si="205"/>
        <v>0</v>
      </c>
      <c r="AC804" s="14">
        <f t="shared" si="193"/>
        <v>0</v>
      </c>
      <c r="AE804" s="19">
        <f t="shared" si="206"/>
        <v>0</v>
      </c>
      <c r="AF804" s="19"/>
      <c r="AG804" s="17"/>
      <c r="AK804" s="7"/>
      <c r="AL804" s="108">
        <f t="shared" si="194"/>
        <v>0</v>
      </c>
      <c r="AM804" s="108">
        <f t="shared" si="195"/>
        <v>0</v>
      </c>
      <c r="AN804" s="113"/>
    </row>
    <row r="805" spans="2:40" x14ac:dyDescent="0.2">
      <c r="B805" s="7"/>
      <c r="C805" s="8"/>
      <c r="D805" s="8"/>
      <c r="E805" s="9"/>
      <c r="F805" s="6"/>
      <c r="G805" s="8"/>
      <c r="H805" s="32"/>
      <c r="I805" s="10" t="str">
        <f t="shared" si="192"/>
        <v>21</v>
      </c>
      <c r="J805" s="11">
        <v>1</v>
      </c>
      <c r="K805" s="11"/>
      <c r="L805" s="11"/>
      <c r="M805" s="11">
        <f t="shared" si="196"/>
        <v>0</v>
      </c>
      <c r="N805" s="11"/>
      <c r="O805" s="11">
        <f t="shared" si="197"/>
        <v>0</v>
      </c>
      <c r="P805" s="11"/>
      <c r="Q805" s="11"/>
      <c r="R805" s="11"/>
      <c r="S805" s="11">
        <f t="shared" si="198"/>
        <v>0</v>
      </c>
      <c r="T805" s="11">
        <f t="shared" si="199"/>
        <v>1666.6666666666667</v>
      </c>
      <c r="U805" s="11">
        <f t="shared" si="200"/>
        <v>0</v>
      </c>
      <c r="V805" s="24">
        <f t="shared" si="201"/>
        <v>0</v>
      </c>
      <c r="W805" s="11">
        <f>IF(V805&lt;=40000,0,
IF(V805&lt;=55000,(V805-40000)*10%,
IF(V805&lt;=70000,(V805-55000)*15%+1500,
IF(V805&lt;=200000,(V805-70000)*20%+1500+2250,
IF(V805&lt;=400000,(V805-200000)*22.5%+1500+2250+26000,
IF(V805&lt;=600000,(V805-400000)*25%+1500+2250+26000+45000,
IF(AND(V805&gt;600000,V805&lt;=1200000),(V805-400000)*25%+1500+2250+26000+45000
+IFERROR(LOOKUP(V805,{600001;700001;800001;900001},{4000;6750;10250;15250}),0),IF(V805&gt;1200000,((V805-1200000)*27.5%)+300000,0)
)))))))</f>
        <v>0</v>
      </c>
      <c r="X805" s="12">
        <f t="shared" si="202"/>
        <v>0</v>
      </c>
      <c r="Y805" s="12">
        <f t="shared" si="203"/>
        <v>0</v>
      </c>
      <c r="Z805" s="11"/>
      <c r="AA805" s="13">
        <f t="shared" si="204"/>
        <v>0</v>
      </c>
      <c r="AB805" s="12">
        <f t="shared" si="205"/>
        <v>0</v>
      </c>
      <c r="AC805" s="14">
        <f t="shared" si="193"/>
        <v>0</v>
      </c>
      <c r="AE805" s="19">
        <f t="shared" si="206"/>
        <v>0</v>
      </c>
      <c r="AF805" s="19"/>
      <c r="AG805" s="17"/>
      <c r="AK805" s="7"/>
      <c r="AL805" s="108">
        <f t="shared" si="194"/>
        <v>0</v>
      </c>
      <c r="AM805" s="108">
        <f t="shared" si="195"/>
        <v>0</v>
      </c>
      <c r="AN805" s="113"/>
    </row>
    <row r="806" spans="2:40" x14ac:dyDescent="0.2">
      <c r="B806" s="7"/>
      <c r="C806" s="8"/>
      <c r="D806" s="8"/>
      <c r="E806" s="9"/>
      <c r="F806" s="6"/>
      <c r="G806" s="8"/>
      <c r="H806" s="32"/>
      <c r="I806" s="10" t="str">
        <f t="shared" si="192"/>
        <v>21</v>
      </c>
      <c r="J806" s="11">
        <v>1</v>
      </c>
      <c r="K806" s="11"/>
      <c r="L806" s="11"/>
      <c r="M806" s="11">
        <f t="shared" si="196"/>
        <v>0</v>
      </c>
      <c r="N806" s="11"/>
      <c r="O806" s="11">
        <f t="shared" si="197"/>
        <v>0</v>
      </c>
      <c r="P806" s="11"/>
      <c r="Q806" s="11"/>
      <c r="R806" s="11"/>
      <c r="S806" s="11">
        <f t="shared" si="198"/>
        <v>0</v>
      </c>
      <c r="T806" s="11">
        <f t="shared" si="199"/>
        <v>1666.6666666666667</v>
      </c>
      <c r="U806" s="11">
        <f t="shared" si="200"/>
        <v>0</v>
      </c>
      <c r="V806" s="24">
        <f t="shared" si="201"/>
        <v>0</v>
      </c>
      <c r="W806" s="11">
        <f>IF(V806&lt;=40000,0,
IF(V806&lt;=55000,(V806-40000)*10%,
IF(V806&lt;=70000,(V806-55000)*15%+1500,
IF(V806&lt;=200000,(V806-70000)*20%+1500+2250,
IF(V806&lt;=400000,(V806-200000)*22.5%+1500+2250+26000,
IF(V806&lt;=600000,(V806-400000)*25%+1500+2250+26000+45000,
IF(AND(V806&gt;600000,V806&lt;=1200000),(V806-400000)*25%+1500+2250+26000+45000
+IFERROR(LOOKUP(V806,{600001;700001;800001;900001},{4000;6750;10250;15250}),0),IF(V806&gt;1200000,((V806-1200000)*27.5%)+300000,0)
)))))))</f>
        <v>0</v>
      </c>
      <c r="X806" s="12">
        <f t="shared" si="202"/>
        <v>0</v>
      </c>
      <c r="Y806" s="12">
        <f t="shared" si="203"/>
        <v>0</v>
      </c>
      <c r="Z806" s="11"/>
      <c r="AA806" s="13">
        <f t="shared" si="204"/>
        <v>0</v>
      </c>
      <c r="AB806" s="12">
        <f t="shared" si="205"/>
        <v>0</v>
      </c>
      <c r="AC806" s="14">
        <f t="shared" si="193"/>
        <v>0</v>
      </c>
      <c r="AE806" s="19">
        <f t="shared" si="206"/>
        <v>0</v>
      </c>
      <c r="AF806" s="19"/>
      <c r="AG806" s="17"/>
      <c r="AK806" s="7"/>
      <c r="AL806" s="108">
        <f t="shared" si="194"/>
        <v>0</v>
      </c>
      <c r="AM806" s="108">
        <f t="shared" si="195"/>
        <v>0</v>
      </c>
      <c r="AN806" s="113"/>
    </row>
    <row r="807" spans="2:40" x14ac:dyDescent="0.2">
      <c r="B807" s="7"/>
      <c r="C807" s="8"/>
      <c r="D807" s="8"/>
      <c r="E807" s="9"/>
      <c r="F807" s="6"/>
      <c r="G807" s="8"/>
      <c r="H807" s="32"/>
      <c r="I807" s="10" t="str">
        <f t="shared" si="192"/>
        <v>21</v>
      </c>
      <c r="J807" s="11">
        <v>1</v>
      </c>
      <c r="K807" s="11"/>
      <c r="L807" s="11"/>
      <c r="M807" s="11">
        <f t="shared" si="196"/>
        <v>0</v>
      </c>
      <c r="N807" s="11"/>
      <c r="O807" s="11">
        <f t="shared" si="197"/>
        <v>0</v>
      </c>
      <c r="P807" s="11"/>
      <c r="Q807" s="11"/>
      <c r="R807" s="11"/>
      <c r="S807" s="11">
        <f t="shared" si="198"/>
        <v>0</v>
      </c>
      <c r="T807" s="11">
        <f t="shared" si="199"/>
        <v>1666.6666666666667</v>
      </c>
      <c r="U807" s="11">
        <f t="shared" si="200"/>
        <v>0</v>
      </c>
      <c r="V807" s="24">
        <f t="shared" si="201"/>
        <v>0</v>
      </c>
      <c r="W807" s="11">
        <f>IF(V807&lt;=40000,0,
IF(V807&lt;=55000,(V807-40000)*10%,
IF(V807&lt;=70000,(V807-55000)*15%+1500,
IF(V807&lt;=200000,(V807-70000)*20%+1500+2250,
IF(V807&lt;=400000,(V807-200000)*22.5%+1500+2250+26000,
IF(V807&lt;=600000,(V807-400000)*25%+1500+2250+26000+45000,
IF(AND(V807&gt;600000,V807&lt;=1200000),(V807-400000)*25%+1500+2250+26000+45000
+IFERROR(LOOKUP(V807,{600001;700001;800001;900001},{4000;6750;10250;15250}),0),IF(V807&gt;1200000,((V807-1200000)*27.5%)+300000,0)
)))))))</f>
        <v>0</v>
      </c>
      <c r="X807" s="12">
        <f t="shared" si="202"/>
        <v>0</v>
      </c>
      <c r="Y807" s="12">
        <f t="shared" si="203"/>
        <v>0</v>
      </c>
      <c r="Z807" s="11"/>
      <c r="AA807" s="13">
        <f t="shared" si="204"/>
        <v>0</v>
      </c>
      <c r="AB807" s="12">
        <f t="shared" si="205"/>
        <v>0</v>
      </c>
      <c r="AC807" s="14">
        <f t="shared" si="193"/>
        <v>0</v>
      </c>
      <c r="AE807" s="19">
        <f t="shared" si="206"/>
        <v>0</v>
      </c>
      <c r="AF807" s="19"/>
      <c r="AG807" s="17"/>
      <c r="AK807" s="7"/>
      <c r="AL807" s="108">
        <f t="shared" si="194"/>
        <v>0</v>
      </c>
      <c r="AM807" s="108">
        <f t="shared" si="195"/>
        <v>0</v>
      </c>
      <c r="AN807" s="113"/>
    </row>
    <row r="808" spans="2:40" x14ac:dyDescent="0.2">
      <c r="B808" s="7"/>
      <c r="C808" s="8"/>
      <c r="D808" s="8"/>
      <c r="E808" s="9"/>
      <c r="F808" s="6"/>
      <c r="G808" s="8"/>
      <c r="H808" s="32"/>
      <c r="I808" s="10" t="str">
        <f t="shared" si="192"/>
        <v>21</v>
      </c>
      <c r="J808" s="11">
        <v>1</v>
      </c>
      <c r="K808" s="11"/>
      <c r="L808" s="11"/>
      <c r="M808" s="11">
        <f t="shared" si="196"/>
        <v>0</v>
      </c>
      <c r="N808" s="11"/>
      <c r="O808" s="11">
        <f t="shared" si="197"/>
        <v>0</v>
      </c>
      <c r="P808" s="11"/>
      <c r="Q808" s="11"/>
      <c r="R808" s="11"/>
      <c r="S808" s="11">
        <f t="shared" si="198"/>
        <v>0</v>
      </c>
      <c r="T808" s="11">
        <f t="shared" si="199"/>
        <v>1666.6666666666667</v>
      </c>
      <c r="U808" s="11">
        <f t="shared" si="200"/>
        <v>0</v>
      </c>
      <c r="V808" s="24">
        <f t="shared" si="201"/>
        <v>0</v>
      </c>
      <c r="W808" s="11">
        <f>IF(V808&lt;=40000,0,
IF(V808&lt;=55000,(V808-40000)*10%,
IF(V808&lt;=70000,(V808-55000)*15%+1500,
IF(V808&lt;=200000,(V808-70000)*20%+1500+2250,
IF(V808&lt;=400000,(V808-200000)*22.5%+1500+2250+26000,
IF(V808&lt;=600000,(V808-400000)*25%+1500+2250+26000+45000,
IF(AND(V808&gt;600000,V808&lt;=1200000),(V808-400000)*25%+1500+2250+26000+45000
+IFERROR(LOOKUP(V808,{600001;700001;800001;900001},{4000;6750;10250;15250}),0),IF(V808&gt;1200000,((V808-1200000)*27.5%)+300000,0)
)))))))</f>
        <v>0</v>
      </c>
      <c r="X808" s="12">
        <f t="shared" si="202"/>
        <v>0</v>
      </c>
      <c r="Y808" s="12">
        <f t="shared" si="203"/>
        <v>0</v>
      </c>
      <c r="Z808" s="11"/>
      <c r="AA808" s="13">
        <f t="shared" si="204"/>
        <v>0</v>
      </c>
      <c r="AB808" s="12">
        <f t="shared" si="205"/>
        <v>0</v>
      </c>
      <c r="AC808" s="14">
        <f t="shared" si="193"/>
        <v>0</v>
      </c>
      <c r="AE808" s="19">
        <f t="shared" si="206"/>
        <v>0</v>
      </c>
      <c r="AF808" s="19"/>
      <c r="AG808" s="17"/>
      <c r="AK808" s="7"/>
      <c r="AL808" s="108">
        <f t="shared" si="194"/>
        <v>0</v>
      </c>
      <c r="AM808" s="108">
        <f t="shared" si="195"/>
        <v>0</v>
      </c>
      <c r="AN808" s="113"/>
    </row>
    <row r="809" spans="2:40" x14ac:dyDescent="0.2">
      <c r="B809" s="7"/>
      <c r="C809" s="8"/>
      <c r="D809" s="8"/>
      <c r="E809" s="9"/>
      <c r="F809" s="6"/>
      <c r="G809" s="8"/>
      <c r="H809" s="32"/>
      <c r="I809" s="10" t="str">
        <f t="shared" si="192"/>
        <v>21</v>
      </c>
      <c r="J809" s="11">
        <v>1</v>
      </c>
      <c r="K809" s="11"/>
      <c r="L809" s="11"/>
      <c r="M809" s="11">
        <f t="shared" si="196"/>
        <v>0</v>
      </c>
      <c r="N809" s="11"/>
      <c r="O809" s="11">
        <f t="shared" si="197"/>
        <v>0</v>
      </c>
      <c r="P809" s="11"/>
      <c r="Q809" s="11"/>
      <c r="R809" s="11"/>
      <c r="S809" s="11">
        <f t="shared" si="198"/>
        <v>0</v>
      </c>
      <c r="T809" s="11">
        <f t="shared" si="199"/>
        <v>1666.6666666666667</v>
      </c>
      <c r="U809" s="11">
        <f t="shared" si="200"/>
        <v>0</v>
      </c>
      <c r="V809" s="24">
        <f t="shared" si="201"/>
        <v>0</v>
      </c>
      <c r="W809" s="11">
        <f>IF(V809&lt;=40000,0,
IF(V809&lt;=55000,(V809-40000)*10%,
IF(V809&lt;=70000,(V809-55000)*15%+1500,
IF(V809&lt;=200000,(V809-70000)*20%+1500+2250,
IF(V809&lt;=400000,(V809-200000)*22.5%+1500+2250+26000,
IF(V809&lt;=600000,(V809-400000)*25%+1500+2250+26000+45000,
IF(AND(V809&gt;600000,V809&lt;=1200000),(V809-400000)*25%+1500+2250+26000+45000
+IFERROR(LOOKUP(V809,{600001;700001;800001;900001},{4000;6750;10250;15250}),0),IF(V809&gt;1200000,((V809-1200000)*27.5%)+300000,0)
)))))))</f>
        <v>0</v>
      </c>
      <c r="X809" s="12">
        <f t="shared" si="202"/>
        <v>0</v>
      </c>
      <c r="Y809" s="12">
        <f t="shared" si="203"/>
        <v>0</v>
      </c>
      <c r="Z809" s="11"/>
      <c r="AA809" s="13">
        <f t="shared" si="204"/>
        <v>0</v>
      </c>
      <c r="AB809" s="12">
        <f t="shared" si="205"/>
        <v>0</v>
      </c>
      <c r="AC809" s="14">
        <f t="shared" si="193"/>
        <v>0</v>
      </c>
      <c r="AE809" s="19">
        <f t="shared" si="206"/>
        <v>0</v>
      </c>
      <c r="AF809" s="19"/>
      <c r="AG809" s="17"/>
      <c r="AK809" s="7"/>
      <c r="AL809" s="108">
        <f t="shared" si="194"/>
        <v>0</v>
      </c>
      <c r="AM809" s="108">
        <f t="shared" si="195"/>
        <v>0</v>
      </c>
      <c r="AN809" s="113"/>
    </row>
    <row r="810" spans="2:40" x14ac:dyDescent="0.2">
      <c r="B810" s="7"/>
      <c r="C810" s="8"/>
      <c r="D810" s="8"/>
      <c r="E810" s="9"/>
      <c r="F810" s="6"/>
      <c r="G810" s="8"/>
      <c r="H810" s="32"/>
      <c r="I810" s="10" t="str">
        <f t="shared" si="192"/>
        <v>21</v>
      </c>
      <c r="J810" s="11">
        <v>1</v>
      </c>
      <c r="K810" s="11"/>
      <c r="L810" s="11"/>
      <c r="M810" s="11">
        <f t="shared" si="196"/>
        <v>0</v>
      </c>
      <c r="N810" s="11"/>
      <c r="O810" s="11">
        <f t="shared" si="197"/>
        <v>0</v>
      </c>
      <c r="P810" s="11"/>
      <c r="Q810" s="11"/>
      <c r="R810" s="11"/>
      <c r="S810" s="11">
        <f t="shared" si="198"/>
        <v>0</v>
      </c>
      <c r="T810" s="11">
        <f t="shared" si="199"/>
        <v>1666.6666666666667</v>
      </c>
      <c r="U810" s="11">
        <f t="shared" si="200"/>
        <v>0</v>
      </c>
      <c r="V810" s="24">
        <f t="shared" si="201"/>
        <v>0</v>
      </c>
      <c r="W810" s="11">
        <f>IF(V810&lt;=40000,0,
IF(V810&lt;=55000,(V810-40000)*10%,
IF(V810&lt;=70000,(V810-55000)*15%+1500,
IF(V810&lt;=200000,(V810-70000)*20%+1500+2250,
IF(V810&lt;=400000,(V810-200000)*22.5%+1500+2250+26000,
IF(V810&lt;=600000,(V810-400000)*25%+1500+2250+26000+45000,
IF(AND(V810&gt;600000,V810&lt;=1200000),(V810-400000)*25%+1500+2250+26000+45000
+IFERROR(LOOKUP(V810,{600001;700001;800001;900001},{4000;6750;10250;15250}),0),IF(V810&gt;1200000,((V810-1200000)*27.5%)+300000,0)
)))))))</f>
        <v>0</v>
      </c>
      <c r="X810" s="12">
        <f t="shared" si="202"/>
        <v>0</v>
      </c>
      <c r="Y810" s="12">
        <f t="shared" si="203"/>
        <v>0</v>
      </c>
      <c r="Z810" s="11"/>
      <c r="AA810" s="13">
        <f t="shared" si="204"/>
        <v>0</v>
      </c>
      <c r="AB810" s="12">
        <f t="shared" si="205"/>
        <v>0</v>
      </c>
      <c r="AC810" s="14">
        <f t="shared" si="193"/>
        <v>0</v>
      </c>
      <c r="AE810" s="19">
        <f t="shared" si="206"/>
        <v>0</v>
      </c>
      <c r="AF810" s="19"/>
      <c r="AG810" s="17"/>
      <c r="AK810" s="7"/>
      <c r="AL810" s="108">
        <f t="shared" si="194"/>
        <v>0</v>
      </c>
      <c r="AM810" s="108">
        <f t="shared" si="195"/>
        <v>0</v>
      </c>
      <c r="AN810" s="113"/>
    </row>
    <row r="811" spans="2:40" x14ac:dyDescent="0.2">
      <c r="B811" s="7"/>
      <c r="C811" s="8"/>
      <c r="D811" s="8"/>
      <c r="E811" s="9"/>
      <c r="F811" s="6"/>
      <c r="G811" s="8"/>
      <c r="H811" s="32"/>
      <c r="I811" s="10" t="str">
        <f t="shared" si="192"/>
        <v>21</v>
      </c>
      <c r="J811" s="11">
        <v>1</v>
      </c>
      <c r="K811" s="11"/>
      <c r="L811" s="11"/>
      <c r="M811" s="11">
        <f t="shared" si="196"/>
        <v>0</v>
      </c>
      <c r="N811" s="11"/>
      <c r="O811" s="11">
        <f t="shared" si="197"/>
        <v>0</v>
      </c>
      <c r="P811" s="11"/>
      <c r="Q811" s="11"/>
      <c r="R811" s="11"/>
      <c r="S811" s="11">
        <f t="shared" si="198"/>
        <v>0</v>
      </c>
      <c r="T811" s="11">
        <f t="shared" si="199"/>
        <v>1666.6666666666667</v>
      </c>
      <c r="U811" s="11">
        <f t="shared" si="200"/>
        <v>0</v>
      </c>
      <c r="V811" s="24">
        <f t="shared" si="201"/>
        <v>0</v>
      </c>
      <c r="W811" s="11">
        <f>IF(V811&lt;=40000,0,
IF(V811&lt;=55000,(V811-40000)*10%,
IF(V811&lt;=70000,(V811-55000)*15%+1500,
IF(V811&lt;=200000,(V811-70000)*20%+1500+2250,
IF(V811&lt;=400000,(V811-200000)*22.5%+1500+2250+26000,
IF(V811&lt;=600000,(V811-400000)*25%+1500+2250+26000+45000,
IF(AND(V811&gt;600000,V811&lt;=1200000),(V811-400000)*25%+1500+2250+26000+45000
+IFERROR(LOOKUP(V811,{600001;700001;800001;900001},{4000;6750;10250;15250}),0),IF(V811&gt;1200000,((V811-1200000)*27.5%)+300000,0)
)))))))</f>
        <v>0</v>
      </c>
      <c r="X811" s="12">
        <f t="shared" si="202"/>
        <v>0</v>
      </c>
      <c r="Y811" s="12">
        <f t="shared" si="203"/>
        <v>0</v>
      </c>
      <c r="Z811" s="11"/>
      <c r="AA811" s="13">
        <f t="shared" si="204"/>
        <v>0</v>
      </c>
      <c r="AB811" s="12">
        <f t="shared" si="205"/>
        <v>0</v>
      </c>
      <c r="AC811" s="14">
        <f t="shared" si="193"/>
        <v>0</v>
      </c>
      <c r="AE811" s="19">
        <f t="shared" si="206"/>
        <v>0</v>
      </c>
      <c r="AF811" s="19"/>
      <c r="AG811" s="17"/>
      <c r="AK811" s="7"/>
      <c r="AL811" s="108">
        <f t="shared" si="194"/>
        <v>0</v>
      </c>
      <c r="AM811" s="108">
        <f t="shared" si="195"/>
        <v>0</v>
      </c>
      <c r="AN811" s="113"/>
    </row>
    <row r="812" spans="2:40" x14ac:dyDescent="0.2">
      <c r="B812" s="7"/>
      <c r="C812" s="8"/>
      <c r="D812" s="8"/>
      <c r="E812" s="9"/>
      <c r="F812" s="6"/>
      <c r="G812" s="8"/>
      <c r="H812" s="32"/>
      <c r="I812" s="10" t="str">
        <f t="shared" si="192"/>
        <v>21</v>
      </c>
      <c r="J812" s="11">
        <v>1</v>
      </c>
      <c r="K812" s="11"/>
      <c r="L812" s="11"/>
      <c r="M812" s="11">
        <f t="shared" si="196"/>
        <v>0</v>
      </c>
      <c r="N812" s="11"/>
      <c r="O812" s="11">
        <f t="shared" si="197"/>
        <v>0</v>
      </c>
      <c r="P812" s="11"/>
      <c r="Q812" s="11"/>
      <c r="R812" s="11"/>
      <c r="S812" s="11">
        <f t="shared" si="198"/>
        <v>0</v>
      </c>
      <c r="T812" s="11">
        <f t="shared" si="199"/>
        <v>1666.6666666666667</v>
      </c>
      <c r="U812" s="11">
        <f t="shared" si="200"/>
        <v>0</v>
      </c>
      <c r="V812" s="24">
        <f t="shared" si="201"/>
        <v>0</v>
      </c>
      <c r="W812" s="11">
        <f>IF(V812&lt;=40000,0,
IF(V812&lt;=55000,(V812-40000)*10%,
IF(V812&lt;=70000,(V812-55000)*15%+1500,
IF(V812&lt;=200000,(V812-70000)*20%+1500+2250,
IF(V812&lt;=400000,(V812-200000)*22.5%+1500+2250+26000,
IF(V812&lt;=600000,(V812-400000)*25%+1500+2250+26000+45000,
IF(AND(V812&gt;600000,V812&lt;=1200000),(V812-400000)*25%+1500+2250+26000+45000
+IFERROR(LOOKUP(V812,{600001;700001;800001;900001},{4000;6750;10250;15250}),0),IF(V812&gt;1200000,((V812-1200000)*27.5%)+300000,0)
)))))))</f>
        <v>0</v>
      </c>
      <c r="X812" s="12">
        <f t="shared" si="202"/>
        <v>0</v>
      </c>
      <c r="Y812" s="12">
        <f t="shared" si="203"/>
        <v>0</v>
      </c>
      <c r="Z812" s="11"/>
      <c r="AA812" s="13">
        <f t="shared" si="204"/>
        <v>0</v>
      </c>
      <c r="AB812" s="12">
        <f t="shared" si="205"/>
        <v>0</v>
      </c>
      <c r="AC812" s="14">
        <f t="shared" si="193"/>
        <v>0</v>
      </c>
      <c r="AE812" s="19">
        <f t="shared" si="206"/>
        <v>0</v>
      </c>
      <c r="AF812" s="19"/>
      <c r="AG812" s="17"/>
      <c r="AK812" s="7"/>
      <c r="AL812" s="108">
        <f t="shared" si="194"/>
        <v>0</v>
      </c>
      <c r="AM812" s="108">
        <f t="shared" si="195"/>
        <v>0</v>
      </c>
      <c r="AN812" s="113"/>
    </row>
    <row r="813" spans="2:40" x14ac:dyDescent="0.2">
      <c r="B813" s="7"/>
      <c r="C813" s="8"/>
      <c r="D813" s="8"/>
      <c r="E813" s="9"/>
      <c r="F813" s="6"/>
      <c r="G813" s="8"/>
      <c r="H813" s="32"/>
      <c r="I813" s="10" t="str">
        <f t="shared" si="192"/>
        <v>21</v>
      </c>
      <c r="J813" s="11">
        <v>1</v>
      </c>
      <c r="K813" s="11"/>
      <c r="L813" s="11"/>
      <c r="M813" s="11">
        <f t="shared" si="196"/>
        <v>0</v>
      </c>
      <c r="N813" s="11"/>
      <c r="O813" s="11">
        <f t="shared" si="197"/>
        <v>0</v>
      </c>
      <c r="P813" s="11"/>
      <c r="Q813" s="11"/>
      <c r="R813" s="11"/>
      <c r="S813" s="11">
        <f t="shared" si="198"/>
        <v>0</v>
      </c>
      <c r="T813" s="11">
        <f t="shared" si="199"/>
        <v>1666.6666666666667</v>
      </c>
      <c r="U813" s="11">
        <f t="shared" si="200"/>
        <v>0</v>
      </c>
      <c r="V813" s="24">
        <f t="shared" si="201"/>
        <v>0</v>
      </c>
      <c r="W813" s="11">
        <f>IF(V813&lt;=40000,0,
IF(V813&lt;=55000,(V813-40000)*10%,
IF(V813&lt;=70000,(V813-55000)*15%+1500,
IF(V813&lt;=200000,(V813-70000)*20%+1500+2250,
IF(V813&lt;=400000,(V813-200000)*22.5%+1500+2250+26000,
IF(V813&lt;=600000,(V813-400000)*25%+1500+2250+26000+45000,
IF(AND(V813&gt;600000,V813&lt;=1200000),(V813-400000)*25%+1500+2250+26000+45000
+IFERROR(LOOKUP(V813,{600001;700001;800001;900001},{4000;6750;10250;15250}),0),IF(V813&gt;1200000,((V813-1200000)*27.5%)+300000,0)
)))))))</f>
        <v>0</v>
      </c>
      <c r="X813" s="12">
        <f t="shared" si="202"/>
        <v>0</v>
      </c>
      <c r="Y813" s="12">
        <f t="shared" si="203"/>
        <v>0</v>
      </c>
      <c r="Z813" s="11"/>
      <c r="AA813" s="13">
        <f t="shared" si="204"/>
        <v>0</v>
      </c>
      <c r="AB813" s="12">
        <f t="shared" si="205"/>
        <v>0</v>
      </c>
      <c r="AC813" s="14">
        <f t="shared" si="193"/>
        <v>0</v>
      </c>
      <c r="AE813" s="19">
        <f t="shared" si="206"/>
        <v>0</v>
      </c>
      <c r="AF813" s="19"/>
      <c r="AG813" s="17"/>
      <c r="AK813" s="7"/>
      <c r="AL813" s="108">
        <f t="shared" si="194"/>
        <v>0</v>
      </c>
      <c r="AM813" s="108">
        <f t="shared" si="195"/>
        <v>0</v>
      </c>
      <c r="AN813" s="113"/>
    </row>
    <row r="814" spans="2:40" x14ac:dyDescent="0.2">
      <c r="B814" s="7"/>
      <c r="C814" s="8"/>
      <c r="D814" s="8"/>
      <c r="E814" s="9"/>
      <c r="F814" s="6"/>
      <c r="G814" s="8"/>
      <c r="H814" s="32"/>
      <c r="I814" s="10" t="str">
        <f t="shared" si="192"/>
        <v>21</v>
      </c>
      <c r="J814" s="11">
        <v>1</v>
      </c>
      <c r="K814" s="11"/>
      <c r="L814" s="11"/>
      <c r="M814" s="11">
        <f t="shared" si="196"/>
        <v>0</v>
      </c>
      <c r="N814" s="11"/>
      <c r="O814" s="11">
        <f t="shared" si="197"/>
        <v>0</v>
      </c>
      <c r="P814" s="11"/>
      <c r="Q814" s="11"/>
      <c r="R814" s="11"/>
      <c r="S814" s="11">
        <f t="shared" si="198"/>
        <v>0</v>
      </c>
      <c r="T814" s="11">
        <f t="shared" si="199"/>
        <v>1666.6666666666667</v>
      </c>
      <c r="U814" s="11">
        <f t="shared" si="200"/>
        <v>0</v>
      </c>
      <c r="V814" s="24">
        <f t="shared" si="201"/>
        <v>0</v>
      </c>
      <c r="W814" s="11">
        <f>IF(V814&lt;=40000,0,
IF(V814&lt;=55000,(V814-40000)*10%,
IF(V814&lt;=70000,(V814-55000)*15%+1500,
IF(V814&lt;=200000,(V814-70000)*20%+1500+2250,
IF(V814&lt;=400000,(V814-200000)*22.5%+1500+2250+26000,
IF(V814&lt;=600000,(V814-400000)*25%+1500+2250+26000+45000,
IF(AND(V814&gt;600000,V814&lt;=1200000),(V814-400000)*25%+1500+2250+26000+45000
+IFERROR(LOOKUP(V814,{600001;700001;800001;900001},{4000;6750;10250;15250}),0),IF(V814&gt;1200000,((V814-1200000)*27.5%)+300000,0)
)))))))</f>
        <v>0</v>
      </c>
      <c r="X814" s="12">
        <f t="shared" si="202"/>
        <v>0</v>
      </c>
      <c r="Y814" s="12">
        <f t="shared" si="203"/>
        <v>0</v>
      </c>
      <c r="Z814" s="11"/>
      <c r="AA814" s="13">
        <f t="shared" si="204"/>
        <v>0</v>
      </c>
      <c r="AB814" s="12">
        <f t="shared" si="205"/>
        <v>0</v>
      </c>
      <c r="AC814" s="14">
        <f t="shared" si="193"/>
        <v>0</v>
      </c>
      <c r="AE814" s="19">
        <f t="shared" si="206"/>
        <v>0</v>
      </c>
      <c r="AF814" s="19"/>
      <c r="AG814" s="17"/>
      <c r="AK814" s="7"/>
      <c r="AL814" s="108">
        <f t="shared" si="194"/>
        <v>0</v>
      </c>
      <c r="AM814" s="108">
        <f t="shared" si="195"/>
        <v>0</v>
      </c>
      <c r="AN814" s="113"/>
    </row>
    <row r="815" spans="2:40" x14ac:dyDescent="0.2">
      <c r="B815" s="7"/>
      <c r="C815" s="8"/>
      <c r="D815" s="8"/>
      <c r="E815" s="9"/>
      <c r="F815" s="6"/>
      <c r="G815" s="8"/>
      <c r="H815" s="32"/>
      <c r="I815" s="10" t="str">
        <f t="shared" si="192"/>
        <v>21</v>
      </c>
      <c r="J815" s="11">
        <v>1</v>
      </c>
      <c r="K815" s="11"/>
      <c r="L815" s="11"/>
      <c r="M815" s="11">
        <f t="shared" si="196"/>
        <v>0</v>
      </c>
      <c r="N815" s="11"/>
      <c r="O815" s="11">
        <f t="shared" si="197"/>
        <v>0</v>
      </c>
      <c r="P815" s="11"/>
      <c r="Q815" s="11"/>
      <c r="R815" s="11"/>
      <c r="S815" s="11">
        <f t="shared" si="198"/>
        <v>0</v>
      </c>
      <c r="T815" s="11">
        <f t="shared" si="199"/>
        <v>1666.6666666666667</v>
      </c>
      <c r="U815" s="11">
        <f t="shared" si="200"/>
        <v>0</v>
      </c>
      <c r="V815" s="24">
        <f t="shared" si="201"/>
        <v>0</v>
      </c>
      <c r="W815" s="11">
        <f>IF(V815&lt;=40000,0,
IF(V815&lt;=55000,(V815-40000)*10%,
IF(V815&lt;=70000,(V815-55000)*15%+1500,
IF(V815&lt;=200000,(V815-70000)*20%+1500+2250,
IF(V815&lt;=400000,(V815-200000)*22.5%+1500+2250+26000,
IF(V815&lt;=600000,(V815-400000)*25%+1500+2250+26000+45000,
IF(AND(V815&gt;600000,V815&lt;=1200000),(V815-400000)*25%+1500+2250+26000+45000
+IFERROR(LOOKUP(V815,{600001;700001;800001;900001},{4000;6750;10250;15250}),0),IF(V815&gt;1200000,((V815-1200000)*27.5%)+300000,0)
)))))))</f>
        <v>0</v>
      </c>
      <c r="X815" s="12">
        <f t="shared" si="202"/>
        <v>0</v>
      </c>
      <c r="Y815" s="12">
        <f t="shared" si="203"/>
        <v>0</v>
      </c>
      <c r="Z815" s="11"/>
      <c r="AA815" s="13">
        <f t="shared" si="204"/>
        <v>0</v>
      </c>
      <c r="AB815" s="12">
        <f t="shared" si="205"/>
        <v>0</v>
      </c>
      <c r="AC815" s="14">
        <f t="shared" si="193"/>
        <v>0</v>
      </c>
      <c r="AE815" s="19">
        <f t="shared" si="206"/>
        <v>0</v>
      </c>
      <c r="AF815" s="19"/>
      <c r="AG815" s="17"/>
      <c r="AK815" s="7"/>
      <c r="AL815" s="108">
        <f t="shared" si="194"/>
        <v>0</v>
      </c>
      <c r="AM815" s="108">
        <f t="shared" si="195"/>
        <v>0</v>
      </c>
      <c r="AN815" s="113"/>
    </row>
    <row r="816" spans="2:40" x14ac:dyDescent="0.2">
      <c r="B816" s="7"/>
      <c r="C816" s="8"/>
      <c r="D816" s="8"/>
      <c r="E816" s="9"/>
      <c r="F816" s="6"/>
      <c r="G816" s="8"/>
      <c r="H816" s="32"/>
      <c r="I816" s="10" t="str">
        <f t="shared" si="192"/>
        <v>21</v>
      </c>
      <c r="J816" s="11">
        <v>1</v>
      </c>
      <c r="K816" s="11"/>
      <c r="L816" s="11"/>
      <c r="M816" s="11">
        <f t="shared" si="196"/>
        <v>0</v>
      </c>
      <c r="N816" s="11"/>
      <c r="O816" s="11">
        <f t="shared" si="197"/>
        <v>0</v>
      </c>
      <c r="P816" s="11"/>
      <c r="Q816" s="11"/>
      <c r="R816" s="11"/>
      <c r="S816" s="11">
        <f t="shared" si="198"/>
        <v>0</v>
      </c>
      <c r="T816" s="11">
        <f t="shared" si="199"/>
        <v>1666.6666666666667</v>
      </c>
      <c r="U816" s="11">
        <f t="shared" si="200"/>
        <v>0</v>
      </c>
      <c r="V816" s="24">
        <f t="shared" si="201"/>
        <v>0</v>
      </c>
      <c r="W816" s="11">
        <f>IF(V816&lt;=40000,0,
IF(V816&lt;=55000,(V816-40000)*10%,
IF(V816&lt;=70000,(V816-55000)*15%+1500,
IF(V816&lt;=200000,(V816-70000)*20%+1500+2250,
IF(V816&lt;=400000,(V816-200000)*22.5%+1500+2250+26000,
IF(V816&lt;=600000,(V816-400000)*25%+1500+2250+26000+45000,
IF(AND(V816&gt;600000,V816&lt;=1200000),(V816-400000)*25%+1500+2250+26000+45000
+IFERROR(LOOKUP(V816,{600001;700001;800001;900001},{4000;6750;10250;15250}),0),IF(V816&gt;1200000,((V816-1200000)*27.5%)+300000,0)
)))))))</f>
        <v>0</v>
      </c>
      <c r="X816" s="12">
        <f t="shared" si="202"/>
        <v>0</v>
      </c>
      <c r="Y816" s="12">
        <f t="shared" si="203"/>
        <v>0</v>
      </c>
      <c r="Z816" s="11"/>
      <c r="AA816" s="13">
        <f t="shared" si="204"/>
        <v>0</v>
      </c>
      <c r="AB816" s="12">
        <f t="shared" si="205"/>
        <v>0</v>
      </c>
      <c r="AC816" s="14">
        <f t="shared" si="193"/>
        <v>0</v>
      </c>
      <c r="AE816" s="19">
        <f t="shared" si="206"/>
        <v>0</v>
      </c>
      <c r="AF816" s="19"/>
      <c r="AG816" s="17"/>
      <c r="AK816" s="7"/>
      <c r="AL816" s="108">
        <f t="shared" si="194"/>
        <v>0</v>
      </c>
      <c r="AM816" s="108">
        <f t="shared" si="195"/>
        <v>0</v>
      </c>
      <c r="AN816" s="113"/>
    </row>
    <row r="817" spans="2:40" x14ac:dyDescent="0.2">
      <c r="B817" s="7"/>
      <c r="C817" s="8"/>
      <c r="D817" s="8"/>
      <c r="E817" s="9"/>
      <c r="F817" s="6"/>
      <c r="G817" s="8"/>
      <c r="H817" s="32"/>
      <c r="I817" s="10" t="str">
        <f t="shared" si="192"/>
        <v>21</v>
      </c>
      <c r="J817" s="11">
        <v>1</v>
      </c>
      <c r="K817" s="11"/>
      <c r="L817" s="11"/>
      <c r="M817" s="11">
        <f t="shared" si="196"/>
        <v>0</v>
      </c>
      <c r="N817" s="11"/>
      <c r="O817" s="11">
        <f t="shared" si="197"/>
        <v>0</v>
      </c>
      <c r="P817" s="11"/>
      <c r="Q817" s="11"/>
      <c r="R817" s="11"/>
      <c r="S817" s="11">
        <f t="shared" si="198"/>
        <v>0</v>
      </c>
      <c r="T817" s="11">
        <f t="shared" si="199"/>
        <v>1666.6666666666667</v>
      </c>
      <c r="U817" s="11">
        <f t="shared" si="200"/>
        <v>0</v>
      </c>
      <c r="V817" s="24">
        <f t="shared" si="201"/>
        <v>0</v>
      </c>
      <c r="W817" s="11">
        <f>IF(V817&lt;=40000,0,
IF(V817&lt;=55000,(V817-40000)*10%,
IF(V817&lt;=70000,(V817-55000)*15%+1500,
IF(V817&lt;=200000,(V817-70000)*20%+1500+2250,
IF(V817&lt;=400000,(V817-200000)*22.5%+1500+2250+26000,
IF(V817&lt;=600000,(V817-400000)*25%+1500+2250+26000+45000,
IF(AND(V817&gt;600000,V817&lt;=1200000),(V817-400000)*25%+1500+2250+26000+45000
+IFERROR(LOOKUP(V817,{600001;700001;800001;900001},{4000;6750;10250;15250}),0),IF(V817&gt;1200000,((V817-1200000)*27.5%)+300000,0)
)))))))</f>
        <v>0</v>
      </c>
      <c r="X817" s="12">
        <f t="shared" si="202"/>
        <v>0</v>
      </c>
      <c r="Y817" s="12">
        <f t="shared" si="203"/>
        <v>0</v>
      </c>
      <c r="Z817" s="11"/>
      <c r="AA817" s="13">
        <f t="shared" si="204"/>
        <v>0</v>
      </c>
      <c r="AB817" s="12">
        <f t="shared" si="205"/>
        <v>0</v>
      </c>
      <c r="AC817" s="14">
        <f t="shared" si="193"/>
        <v>0</v>
      </c>
      <c r="AE817" s="19">
        <f t="shared" si="206"/>
        <v>0</v>
      </c>
      <c r="AF817" s="19"/>
      <c r="AG817" s="17"/>
      <c r="AK817" s="7"/>
      <c r="AL817" s="108">
        <f t="shared" si="194"/>
        <v>0</v>
      </c>
      <c r="AM817" s="108">
        <f t="shared" si="195"/>
        <v>0</v>
      </c>
      <c r="AN817" s="113"/>
    </row>
    <row r="818" spans="2:40" x14ac:dyDescent="0.2">
      <c r="B818" s="7"/>
      <c r="C818" s="8"/>
      <c r="D818" s="8"/>
      <c r="E818" s="9"/>
      <c r="F818" s="6"/>
      <c r="G818" s="8"/>
      <c r="H818" s="32"/>
      <c r="I818" s="10" t="str">
        <f t="shared" si="192"/>
        <v>21</v>
      </c>
      <c r="J818" s="11">
        <v>1</v>
      </c>
      <c r="K818" s="11"/>
      <c r="L818" s="11"/>
      <c r="M818" s="11">
        <f t="shared" si="196"/>
        <v>0</v>
      </c>
      <c r="N818" s="11"/>
      <c r="O818" s="11">
        <f t="shared" si="197"/>
        <v>0</v>
      </c>
      <c r="P818" s="11"/>
      <c r="Q818" s="11"/>
      <c r="R818" s="11"/>
      <c r="S818" s="11">
        <f t="shared" si="198"/>
        <v>0</v>
      </c>
      <c r="T818" s="11">
        <f t="shared" si="199"/>
        <v>1666.6666666666667</v>
      </c>
      <c r="U818" s="11">
        <f t="shared" si="200"/>
        <v>0</v>
      </c>
      <c r="V818" s="24">
        <f t="shared" si="201"/>
        <v>0</v>
      </c>
      <c r="W818" s="11">
        <f>IF(V818&lt;=40000,0,
IF(V818&lt;=55000,(V818-40000)*10%,
IF(V818&lt;=70000,(V818-55000)*15%+1500,
IF(V818&lt;=200000,(V818-70000)*20%+1500+2250,
IF(V818&lt;=400000,(V818-200000)*22.5%+1500+2250+26000,
IF(V818&lt;=600000,(V818-400000)*25%+1500+2250+26000+45000,
IF(AND(V818&gt;600000,V818&lt;=1200000),(V818-400000)*25%+1500+2250+26000+45000
+IFERROR(LOOKUP(V818,{600001;700001;800001;900001},{4000;6750;10250;15250}),0),IF(V818&gt;1200000,((V818-1200000)*27.5%)+300000,0)
)))))))</f>
        <v>0</v>
      </c>
      <c r="X818" s="12">
        <f t="shared" si="202"/>
        <v>0</v>
      </c>
      <c r="Y818" s="12">
        <f t="shared" si="203"/>
        <v>0</v>
      </c>
      <c r="Z818" s="11"/>
      <c r="AA818" s="13">
        <f t="shared" si="204"/>
        <v>0</v>
      </c>
      <c r="AB818" s="12">
        <f t="shared" si="205"/>
        <v>0</v>
      </c>
      <c r="AC818" s="14">
        <f t="shared" si="193"/>
        <v>0</v>
      </c>
      <c r="AE818" s="19">
        <f t="shared" si="206"/>
        <v>0</v>
      </c>
      <c r="AF818" s="19"/>
      <c r="AG818" s="17"/>
      <c r="AK818" s="7"/>
      <c r="AL818" s="108">
        <f t="shared" si="194"/>
        <v>0</v>
      </c>
      <c r="AM818" s="108">
        <f t="shared" si="195"/>
        <v>0</v>
      </c>
      <c r="AN818" s="113"/>
    </row>
    <row r="819" spans="2:40" x14ac:dyDescent="0.2">
      <c r="B819" s="7"/>
      <c r="C819" s="8"/>
      <c r="D819" s="8"/>
      <c r="E819" s="9"/>
      <c r="F819" s="6"/>
      <c r="G819" s="8"/>
      <c r="H819" s="32"/>
      <c r="I819" s="10" t="str">
        <f t="shared" si="192"/>
        <v>21</v>
      </c>
      <c r="J819" s="11">
        <v>1</v>
      </c>
      <c r="K819" s="11"/>
      <c r="L819" s="11"/>
      <c r="M819" s="11">
        <f t="shared" si="196"/>
        <v>0</v>
      </c>
      <c r="N819" s="11"/>
      <c r="O819" s="11">
        <f t="shared" si="197"/>
        <v>0</v>
      </c>
      <c r="P819" s="11"/>
      <c r="Q819" s="11"/>
      <c r="R819" s="11"/>
      <c r="S819" s="11">
        <f t="shared" si="198"/>
        <v>0</v>
      </c>
      <c r="T819" s="11">
        <f t="shared" si="199"/>
        <v>1666.6666666666667</v>
      </c>
      <c r="U819" s="11">
        <f t="shared" si="200"/>
        <v>0</v>
      </c>
      <c r="V819" s="24">
        <f t="shared" si="201"/>
        <v>0</v>
      </c>
      <c r="W819" s="11">
        <f>IF(V819&lt;=40000,0,
IF(V819&lt;=55000,(V819-40000)*10%,
IF(V819&lt;=70000,(V819-55000)*15%+1500,
IF(V819&lt;=200000,(V819-70000)*20%+1500+2250,
IF(V819&lt;=400000,(V819-200000)*22.5%+1500+2250+26000,
IF(V819&lt;=600000,(V819-400000)*25%+1500+2250+26000+45000,
IF(AND(V819&gt;600000,V819&lt;=1200000),(V819-400000)*25%+1500+2250+26000+45000
+IFERROR(LOOKUP(V819,{600001;700001;800001;900001},{4000;6750;10250;15250}),0),IF(V819&gt;1200000,((V819-1200000)*27.5%)+300000,0)
)))))))</f>
        <v>0</v>
      </c>
      <c r="X819" s="12">
        <f t="shared" si="202"/>
        <v>0</v>
      </c>
      <c r="Y819" s="12">
        <f t="shared" si="203"/>
        <v>0</v>
      </c>
      <c r="Z819" s="11"/>
      <c r="AA819" s="13">
        <f t="shared" si="204"/>
        <v>0</v>
      </c>
      <c r="AB819" s="12">
        <f t="shared" si="205"/>
        <v>0</v>
      </c>
      <c r="AC819" s="14">
        <f t="shared" si="193"/>
        <v>0</v>
      </c>
      <c r="AE819" s="19">
        <f t="shared" si="206"/>
        <v>0</v>
      </c>
      <c r="AF819" s="19"/>
      <c r="AG819" s="17"/>
      <c r="AK819" s="7"/>
      <c r="AL819" s="108">
        <f t="shared" si="194"/>
        <v>0</v>
      </c>
      <c r="AM819" s="108">
        <f t="shared" si="195"/>
        <v>0</v>
      </c>
      <c r="AN819" s="113"/>
    </row>
    <row r="820" spans="2:40" x14ac:dyDescent="0.2">
      <c r="B820" s="7"/>
      <c r="C820" s="8"/>
      <c r="D820" s="8"/>
      <c r="E820" s="9"/>
      <c r="F820" s="6"/>
      <c r="G820" s="8"/>
      <c r="H820" s="32"/>
      <c r="I820" s="10" t="str">
        <f t="shared" si="192"/>
        <v>21</v>
      </c>
      <c r="J820" s="11">
        <v>1</v>
      </c>
      <c r="K820" s="11"/>
      <c r="L820" s="11"/>
      <c r="M820" s="11">
        <f t="shared" si="196"/>
        <v>0</v>
      </c>
      <c r="N820" s="11"/>
      <c r="O820" s="11">
        <f t="shared" si="197"/>
        <v>0</v>
      </c>
      <c r="P820" s="11"/>
      <c r="Q820" s="11"/>
      <c r="R820" s="11"/>
      <c r="S820" s="11">
        <f t="shared" si="198"/>
        <v>0</v>
      </c>
      <c r="T820" s="11">
        <f t="shared" si="199"/>
        <v>1666.6666666666667</v>
      </c>
      <c r="U820" s="11">
        <f t="shared" si="200"/>
        <v>0</v>
      </c>
      <c r="V820" s="24">
        <f t="shared" si="201"/>
        <v>0</v>
      </c>
      <c r="W820" s="11">
        <f>IF(V820&lt;=40000,0,
IF(V820&lt;=55000,(V820-40000)*10%,
IF(V820&lt;=70000,(V820-55000)*15%+1500,
IF(V820&lt;=200000,(V820-70000)*20%+1500+2250,
IF(V820&lt;=400000,(V820-200000)*22.5%+1500+2250+26000,
IF(V820&lt;=600000,(V820-400000)*25%+1500+2250+26000+45000,
IF(AND(V820&gt;600000,V820&lt;=1200000),(V820-400000)*25%+1500+2250+26000+45000
+IFERROR(LOOKUP(V820,{600001;700001;800001;900001},{4000;6750;10250;15250}),0),IF(V820&gt;1200000,((V820-1200000)*27.5%)+300000,0)
)))))))</f>
        <v>0</v>
      </c>
      <c r="X820" s="12">
        <f t="shared" si="202"/>
        <v>0</v>
      </c>
      <c r="Y820" s="12">
        <f t="shared" si="203"/>
        <v>0</v>
      </c>
      <c r="Z820" s="11"/>
      <c r="AA820" s="13">
        <f t="shared" si="204"/>
        <v>0</v>
      </c>
      <c r="AB820" s="12">
        <f t="shared" si="205"/>
        <v>0</v>
      </c>
      <c r="AC820" s="14">
        <f t="shared" si="193"/>
        <v>0</v>
      </c>
      <c r="AE820" s="19">
        <f t="shared" si="206"/>
        <v>0</v>
      </c>
      <c r="AF820" s="19"/>
      <c r="AG820" s="17"/>
      <c r="AK820" s="7"/>
      <c r="AL820" s="108">
        <f t="shared" si="194"/>
        <v>0</v>
      </c>
      <c r="AM820" s="108">
        <f t="shared" si="195"/>
        <v>0</v>
      </c>
      <c r="AN820" s="113"/>
    </row>
    <row r="821" spans="2:40" x14ac:dyDescent="0.2">
      <c r="B821" s="7"/>
      <c r="C821" s="8"/>
      <c r="D821" s="8"/>
      <c r="E821" s="9"/>
      <c r="F821" s="6"/>
      <c r="G821" s="8"/>
      <c r="H821" s="32"/>
      <c r="I821" s="10" t="str">
        <f t="shared" si="192"/>
        <v>21</v>
      </c>
      <c r="J821" s="11">
        <v>1</v>
      </c>
      <c r="K821" s="11"/>
      <c r="L821" s="11"/>
      <c r="M821" s="11">
        <f t="shared" si="196"/>
        <v>0</v>
      </c>
      <c r="N821" s="11"/>
      <c r="O821" s="11">
        <f t="shared" si="197"/>
        <v>0</v>
      </c>
      <c r="P821" s="11"/>
      <c r="Q821" s="11"/>
      <c r="R821" s="11"/>
      <c r="S821" s="11">
        <f t="shared" si="198"/>
        <v>0</v>
      </c>
      <c r="T821" s="11">
        <f t="shared" si="199"/>
        <v>1666.6666666666667</v>
      </c>
      <c r="U821" s="11">
        <f t="shared" si="200"/>
        <v>0</v>
      </c>
      <c r="V821" s="24">
        <f t="shared" si="201"/>
        <v>0</v>
      </c>
      <c r="W821" s="11">
        <f>IF(V821&lt;=40000,0,
IF(V821&lt;=55000,(V821-40000)*10%,
IF(V821&lt;=70000,(V821-55000)*15%+1500,
IF(V821&lt;=200000,(V821-70000)*20%+1500+2250,
IF(V821&lt;=400000,(V821-200000)*22.5%+1500+2250+26000,
IF(V821&lt;=600000,(V821-400000)*25%+1500+2250+26000+45000,
IF(AND(V821&gt;600000,V821&lt;=1200000),(V821-400000)*25%+1500+2250+26000+45000
+IFERROR(LOOKUP(V821,{600001;700001;800001;900001},{4000;6750;10250;15250}),0),IF(V821&gt;1200000,((V821-1200000)*27.5%)+300000,0)
)))))))</f>
        <v>0</v>
      </c>
      <c r="X821" s="12">
        <f t="shared" si="202"/>
        <v>0</v>
      </c>
      <c r="Y821" s="12">
        <f t="shared" si="203"/>
        <v>0</v>
      </c>
      <c r="Z821" s="11"/>
      <c r="AA821" s="13">
        <f t="shared" si="204"/>
        <v>0</v>
      </c>
      <c r="AB821" s="12">
        <f t="shared" si="205"/>
        <v>0</v>
      </c>
      <c r="AC821" s="14">
        <f t="shared" si="193"/>
        <v>0</v>
      </c>
      <c r="AE821" s="19">
        <f t="shared" si="206"/>
        <v>0</v>
      </c>
      <c r="AF821" s="19"/>
      <c r="AG821" s="17"/>
      <c r="AK821" s="7"/>
      <c r="AL821" s="108">
        <f t="shared" si="194"/>
        <v>0</v>
      </c>
      <c r="AM821" s="108">
        <f t="shared" si="195"/>
        <v>0</v>
      </c>
      <c r="AN821" s="113"/>
    </row>
    <row r="822" spans="2:40" x14ac:dyDescent="0.2">
      <c r="B822" s="7"/>
      <c r="C822" s="8"/>
      <c r="D822" s="8"/>
      <c r="E822" s="9"/>
      <c r="F822" s="6"/>
      <c r="G822" s="8"/>
      <c r="H822" s="32"/>
      <c r="I822" s="10" t="str">
        <f t="shared" si="192"/>
        <v>21</v>
      </c>
      <c r="J822" s="11">
        <v>1</v>
      </c>
      <c r="K822" s="11"/>
      <c r="L822" s="11"/>
      <c r="M822" s="11">
        <f t="shared" si="196"/>
        <v>0</v>
      </c>
      <c r="N822" s="11"/>
      <c r="O822" s="11">
        <f t="shared" si="197"/>
        <v>0</v>
      </c>
      <c r="P822" s="11"/>
      <c r="Q822" s="11"/>
      <c r="R822" s="11"/>
      <c r="S822" s="11">
        <f t="shared" si="198"/>
        <v>0</v>
      </c>
      <c r="T822" s="11">
        <f t="shared" si="199"/>
        <v>1666.6666666666667</v>
      </c>
      <c r="U822" s="11">
        <f t="shared" si="200"/>
        <v>0</v>
      </c>
      <c r="V822" s="24">
        <f t="shared" si="201"/>
        <v>0</v>
      </c>
      <c r="W822" s="11">
        <f>IF(V822&lt;=40000,0,
IF(V822&lt;=55000,(V822-40000)*10%,
IF(V822&lt;=70000,(V822-55000)*15%+1500,
IF(V822&lt;=200000,(V822-70000)*20%+1500+2250,
IF(V822&lt;=400000,(V822-200000)*22.5%+1500+2250+26000,
IF(V822&lt;=600000,(V822-400000)*25%+1500+2250+26000+45000,
IF(AND(V822&gt;600000,V822&lt;=1200000),(V822-400000)*25%+1500+2250+26000+45000
+IFERROR(LOOKUP(V822,{600001;700001;800001;900001},{4000;6750;10250;15250}),0),IF(V822&gt;1200000,((V822-1200000)*27.5%)+300000,0)
)))))))</f>
        <v>0</v>
      </c>
      <c r="X822" s="12">
        <f t="shared" si="202"/>
        <v>0</v>
      </c>
      <c r="Y822" s="12">
        <f t="shared" si="203"/>
        <v>0</v>
      </c>
      <c r="Z822" s="11"/>
      <c r="AA822" s="13">
        <f t="shared" si="204"/>
        <v>0</v>
      </c>
      <c r="AB822" s="12">
        <f t="shared" si="205"/>
        <v>0</v>
      </c>
      <c r="AC822" s="14">
        <f t="shared" si="193"/>
        <v>0</v>
      </c>
      <c r="AE822" s="19">
        <f t="shared" si="206"/>
        <v>0</v>
      </c>
      <c r="AF822" s="19"/>
      <c r="AG822" s="17"/>
      <c r="AK822" s="7"/>
      <c r="AL822" s="108">
        <f t="shared" si="194"/>
        <v>0</v>
      </c>
      <c r="AM822" s="108">
        <f t="shared" si="195"/>
        <v>0</v>
      </c>
      <c r="AN822" s="113"/>
    </row>
    <row r="823" spans="2:40" x14ac:dyDescent="0.2">
      <c r="B823" s="7"/>
      <c r="C823" s="8"/>
      <c r="D823" s="8"/>
      <c r="E823" s="9"/>
      <c r="F823" s="6"/>
      <c r="G823" s="8"/>
      <c r="H823" s="32"/>
      <c r="I823" s="10" t="str">
        <f t="shared" si="192"/>
        <v>21</v>
      </c>
      <c r="J823" s="11">
        <v>1</v>
      </c>
      <c r="K823" s="11"/>
      <c r="L823" s="11"/>
      <c r="M823" s="11">
        <f t="shared" si="196"/>
        <v>0</v>
      </c>
      <c r="N823" s="11"/>
      <c r="O823" s="11">
        <f t="shared" si="197"/>
        <v>0</v>
      </c>
      <c r="P823" s="11"/>
      <c r="Q823" s="11"/>
      <c r="R823" s="11"/>
      <c r="S823" s="11">
        <f t="shared" si="198"/>
        <v>0</v>
      </c>
      <c r="T823" s="11">
        <f t="shared" si="199"/>
        <v>1666.6666666666667</v>
      </c>
      <c r="U823" s="11">
        <f t="shared" si="200"/>
        <v>0</v>
      </c>
      <c r="V823" s="24">
        <f t="shared" si="201"/>
        <v>0</v>
      </c>
      <c r="W823" s="11">
        <f>IF(V823&lt;=40000,0,
IF(V823&lt;=55000,(V823-40000)*10%,
IF(V823&lt;=70000,(V823-55000)*15%+1500,
IF(V823&lt;=200000,(V823-70000)*20%+1500+2250,
IF(V823&lt;=400000,(V823-200000)*22.5%+1500+2250+26000,
IF(V823&lt;=600000,(V823-400000)*25%+1500+2250+26000+45000,
IF(AND(V823&gt;600000,V823&lt;=1200000),(V823-400000)*25%+1500+2250+26000+45000
+IFERROR(LOOKUP(V823,{600001;700001;800001;900001},{4000;6750;10250;15250}),0),IF(V823&gt;1200000,((V823-1200000)*27.5%)+300000,0)
)))))))</f>
        <v>0</v>
      </c>
      <c r="X823" s="12">
        <f t="shared" si="202"/>
        <v>0</v>
      </c>
      <c r="Y823" s="12">
        <f t="shared" si="203"/>
        <v>0</v>
      </c>
      <c r="Z823" s="11"/>
      <c r="AA823" s="13">
        <f t="shared" si="204"/>
        <v>0</v>
      </c>
      <c r="AB823" s="12">
        <f t="shared" si="205"/>
        <v>0</v>
      </c>
      <c r="AC823" s="14">
        <f t="shared" si="193"/>
        <v>0</v>
      </c>
      <c r="AE823" s="19">
        <f t="shared" si="206"/>
        <v>0</v>
      </c>
      <c r="AF823" s="19"/>
      <c r="AG823" s="17"/>
      <c r="AK823" s="7"/>
      <c r="AL823" s="108">
        <f t="shared" si="194"/>
        <v>0</v>
      </c>
      <c r="AM823" s="108">
        <f t="shared" si="195"/>
        <v>0</v>
      </c>
      <c r="AN823" s="113"/>
    </row>
    <row r="824" spans="2:40" x14ac:dyDescent="0.2">
      <c r="B824" s="7"/>
      <c r="C824" s="8"/>
      <c r="D824" s="8"/>
      <c r="E824" s="9"/>
      <c r="F824" s="6"/>
      <c r="G824" s="8"/>
      <c r="H824" s="32"/>
      <c r="I824" s="10" t="str">
        <f t="shared" si="192"/>
        <v>21</v>
      </c>
      <c r="J824" s="11">
        <v>1</v>
      </c>
      <c r="K824" s="11"/>
      <c r="L824" s="11"/>
      <c r="M824" s="11">
        <f t="shared" si="196"/>
        <v>0</v>
      </c>
      <c r="N824" s="11"/>
      <c r="O824" s="11">
        <f t="shared" si="197"/>
        <v>0</v>
      </c>
      <c r="P824" s="11"/>
      <c r="Q824" s="11"/>
      <c r="R824" s="11"/>
      <c r="S824" s="11">
        <f t="shared" si="198"/>
        <v>0</v>
      </c>
      <c r="T824" s="11">
        <f t="shared" si="199"/>
        <v>1666.6666666666667</v>
      </c>
      <c r="U824" s="11">
        <f t="shared" si="200"/>
        <v>0</v>
      </c>
      <c r="V824" s="24">
        <f t="shared" si="201"/>
        <v>0</v>
      </c>
      <c r="W824" s="11">
        <f>IF(V824&lt;=40000,0,
IF(V824&lt;=55000,(V824-40000)*10%,
IF(V824&lt;=70000,(V824-55000)*15%+1500,
IF(V824&lt;=200000,(V824-70000)*20%+1500+2250,
IF(V824&lt;=400000,(V824-200000)*22.5%+1500+2250+26000,
IF(V824&lt;=600000,(V824-400000)*25%+1500+2250+26000+45000,
IF(AND(V824&gt;600000,V824&lt;=1200000),(V824-400000)*25%+1500+2250+26000+45000
+IFERROR(LOOKUP(V824,{600001;700001;800001;900001},{4000;6750;10250;15250}),0),IF(V824&gt;1200000,((V824-1200000)*27.5%)+300000,0)
)))))))</f>
        <v>0</v>
      </c>
      <c r="X824" s="12">
        <f t="shared" si="202"/>
        <v>0</v>
      </c>
      <c r="Y824" s="12">
        <f t="shared" si="203"/>
        <v>0</v>
      </c>
      <c r="Z824" s="11"/>
      <c r="AA824" s="13">
        <f t="shared" si="204"/>
        <v>0</v>
      </c>
      <c r="AB824" s="12">
        <f t="shared" si="205"/>
        <v>0</v>
      </c>
      <c r="AC824" s="14">
        <f t="shared" si="193"/>
        <v>0</v>
      </c>
      <c r="AE824" s="19">
        <f t="shared" si="206"/>
        <v>0</v>
      </c>
      <c r="AF824" s="19"/>
      <c r="AG824" s="17"/>
      <c r="AK824" s="7"/>
      <c r="AL824" s="108">
        <f t="shared" si="194"/>
        <v>0</v>
      </c>
      <c r="AM824" s="108">
        <f t="shared" si="195"/>
        <v>0</v>
      </c>
      <c r="AN824" s="113"/>
    </row>
    <row r="825" spans="2:40" x14ac:dyDescent="0.2">
      <c r="B825" s="7"/>
      <c r="C825" s="8"/>
      <c r="D825" s="8"/>
      <c r="E825" s="9"/>
      <c r="F825" s="6"/>
      <c r="G825" s="8"/>
      <c r="H825" s="32"/>
      <c r="I825" s="10" t="str">
        <f t="shared" si="192"/>
        <v>21</v>
      </c>
      <c r="J825" s="11">
        <v>1</v>
      </c>
      <c r="K825" s="11"/>
      <c r="L825" s="11"/>
      <c r="M825" s="11">
        <f t="shared" si="196"/>
        <v>0</v>
      </c>
      <c r="N825" s="11"/>
      <c r="O825" s="11">
        <f t="shared" si="197"/>
        <v>0</v>
      </c>
      <c r="P825" s="11"/>
      <c r="Q825" s="11"/>
      <c r="R825" s="11"/>
      <c r="S825" s="11">
        <f t="shared" si="198"/>
        <v>0</v>
      </c>
      <c r="T825" s="11">
        <f t="shared" si="199"/>
        <v>1666.6666666666667</v>
      </c>
      <c r="U825" s="11">
        <f t="shared" si="200"/>
        <v>0</v>
      </c>
      <c r="V825" s="24">
        <f t="shared" si="201"/>
        <v>0</v>
      </c>
      <c r="W825" s="11">
        <f>IF(V825&lt;=40000,0,
IF(V825&lt;=55000,(V825-40000)*10%,
IF(V825&lt;=70000,(V825-55000)*15%+1500,
IF(V825&lt;=200000,(V825-70000)*20%+1500+2250,
IF(V825&lt;=400000,(V825-200000)*22.5%+1500+2250+26000,
IF(V825&lt;=600000,(V825-400000)*25%+1500+2250+26000+45000,
IF(AND(V825&gt;600000,V825&lt;=1200000),(V825-400000)*25%+1500+2250+26000+45000
+IFERROR(LOOKUP(V825,{600001;700001;800001;900001},{4000;6750;10250;15250}),0),IF(V825&gt;1200000,((V825-1200000)*27.5%)+300000,0)
)))))))</f>
        <v>0</v>
      </c>
      <c r="X825" s="12">
        <f t="shared" si="202"/>
        <v>0</v>
      </c>
      <c r="Y825" s="12">
        <f t="shared" si="203"/>
        <v>0</v>
      </c>
      <c r="Z825" s="11"/>
      <c r="AA825" s="13">
        <f t="shared" si="204"/>
        <v>0</v>
      </c>
      <c r="AB825" s="12">
        <f t="shared" si="205"/>
        <v>0</v>
      </c>
      <c r="AC825" s="14">
        <f t="shared" si="193"/>
        <v>0</v>
      </c>
      <c r="AE825" s="19">
        <f t="shared" si="206"/>
        <v>0</v>
      </c>
      <c r="AF825" s="19"/>
      <c r="AG825" s="17"/>
      <c r="AK825" s="7"/>
      <c r="AL825" s="108">
        <f t="shared" si="194"/>
        <v>0</v>
      </c>
      <c r="AM825" s="108">
        <f t="shared" si="195"/>
        <v>0</v>
      </c>
      <c r="AN825" s="113"/>
    </row>
    <row r="826" spans="2:40" x14ac:dyDescent="0.2">
      <c r="B826" s="7"/>
      <c r="C826" s="8"/>
      <c r="D826" s="8"/>
      <c r="E826" s="9"/>
      <c r="F826" s="6"/>
      <c r="G826" s="8"/>
      <c r="H826" s="32"/>
      <c r="I826" s="10" t="str">
        <f t="shared" si="192"/>
        <v>21</v>
      </c>
      <c r="J826" s="11">
        <v>1</v>
      </c>
      <c r="K826" s="11"/>
      <c r="L826" s="11"/>
      <c r="M826" s="11">
        <f t="shared" si="196"/>
        <v>0</v>
      </c>
      <c r="N826" s="11"/>
      <c r="O826" s="11">
        <f t="shared" si="197"/>
        <v>0</v>
      </c>
      <c r="P826" s="11"/>
      <c r="Q826" s="11"/>
      <c r="R826" s="11"/>
      <c r="S826" s="11">
        <f t="shared" si="198"/>
        <v>0</v>
      </c>
      <c r="T826" s="11">
        <f t="shared" si="199"/>
        <v>1666.6666666666667</v>
      </c>
      <c r="U826" s="11">
        <f t="shared" si="200"/>
        <v>0</v>
      </c>
      <c r="V826" s="24">
        <f t="shared" si="201"/>
        <v>0</v>
      </c>
      <c r="W826" s="11">
        <f>IF(V826&lt;=40000,0,
IF(V826&lt;=55000,(V826-40000)*10%,
IF(V826&lt;=70000,(V826-55000)*15%+1500,
IF(V826&lt;=200000,(V826-70000)*20%+1500+2250,
IF(V826&lt;=400000,(V826-200000)*22.5%+1500+2250+26000,
IF(V826&lt;=600000,(V826-400000)*25%+1500+2250+26000+45000,
IF(AND(V826&gt;600000,V826&lt;=1200000),(V826-400000)*25%+1500+2250+26000+45000
+IFERROR(LOOKUP(V826,{600001;700001;800001;900001},{4000;6750;10250;15250}),0),IF(V826&gt;1200000,((V826-1200000)*27.5%)+300000,0)
)))))))</f>
        <v>0</v>
      </c>
      <c r="X826" s="12">
        <f t="shared" si="202"/>
        <v>0</v>
      </c>
      <c r="Y826" s="12">
        <f t="shared" si="203"/>
        <v>0</v>
      </c>
      <c r="Z826" s="11"/>
      <c r="AA826" s="13">
        <f t="shared" si="204"/>
        <v>0</v>
      </c>
      <c r="AB826" s="12">
        <f t="shared" si="205"/>
        <v>0</v>
      </c>
      <c r="AC826" s="14">
        <f t="shared" si="193"/>
        <v>0</v>
      </c>
      <c r="AE826" s="19">
        <f t="shared" si="206"/>
        <v>0</v>
      </c>
      <c r="AF826" s="19"/>
      <c r="AG826" s="17"/>
      <c r="AK826" s="7"/>
      <c r="AL826" s="108">
        <f t="shared" si="194"/>
        <v>0</v>
      </c>
      <c r="AM826" s="108">
        <f t="shared" si="195"/>
        <v>0</v>
      </c>
      <c r="AN826" s="113"/>
    </row>
    <row r="827" spans="2:40" x14ac:dyDescent="0.2">
      <c r="B827" s="7"/>
      <c r="C827" s="8"/>
      <c r="D827" s="8"/>
      <c r="E827" s="9"/>
      <c r="F827" s="6"/>
      <c r="G827" s="8"/>
      <c r="H827" s="32"/>
      <c r="I827" s="10" t="str">
        <f t="shared" si="192"/>
        <v>21</v>
      </c>
      <c r="J827" s="11">
        <v>1</v>
      </c>
      <c r="K827" s="11"/>
      <c r="L827" s="11"/>
      <c r="M827" s="11">
        <f t="shared" si="196"/>
        <v>0</v>
      </c>
      <c r="N827" s="11"/>
      <c r="O827" s="11">
        <f t="shared" si="197"/>
        <v>0</v>
      </c>
      <c r="P827" s="11"/>
      <c r="Q827" s="11"/>
      <c r="R827" s="11"/>
      <c r="S827" s="11">
        <f t="shared" si="198"/>
        <v>0</v>
      </c>
      <c r="T827" s="11">
        <f t="shared" si="199"/>
        <v>1666.6666666666667</v>
      </c>
      <c r="U827" s="11">
        <f t="shared" si="200"/>
        <v>0</v>
      </c>
      <c r="V827" s="24">
        <f t="shared" si="201"/>
        <v>0</v>
      </c>
      <c r="W827" s="11">
        <f>IF(V827&lt;=40000,0,
IF(V827&lt;=55000,(V827-40000)*10%,
IF(V827&lt;=70000,(V827-55000)*15%+1500,
IF(V827&lt;=200000,(V827-70000)*20%+1500+2250,
IF(V827&lt;=400000,(V827-200000)*22.5%+1500+2250+26000,
IF(V827&lt;=600000,(V827-400000)*25%+1500+2250+26000+45000,
IF(AND(V827&gt;600000,V827&lt;=1200000),(V827-400000)*25%+1500+2250+26000+45000
+IFERROR(LOOKUP(V827,{600001;700001;800001;900001},{4000;6750;10250;15250}),0),IF(V827&gt;1200000,((V827-1200000)*27.5%)+300000,0)
)))))))</f>
        <v>0</v>
      </c>
      <c r="X827" s="12">
        <f t="shared" si="202"/>
        <v>0</v>
      </c>
      <c r="Y827" s="12">
        <f t="shared" si="203"/>
        <v>0</v>
      </c>
      <c r="Z827" s="11"/>
      <c r="AA827" s="13">
        <f t="shared" si="204"/>
        <v>0</v>
      </c>
      <c r="AB827" s="12">
        <f t="shared" si="205"/>
        <v>0</v>
      </c>
      <c r="AC827" s="14">
        <f t="shared" si="193"/>
        <v>0</v>
      </c>
      <c r="AE827" s="19">
        <f t="shared" si="206"/>
        <v>0</v>
      </c>
      <c r="AF827" s="19"/>
      <c r="AG827" s="17"/>
      <c r="AK827" s="7"/>
      <c r="AL827" s="108">
        <f t="shared" si="194"/>
        <v>0</v>
      </c>
      <c r="AM827" s="108">
        <f t="shared" si="195"/>
        <v>0</v>
      </c>
      <c r="AN827" s="113"/>
    </row>
    <row r="828" spans="2:40" x14ac:dyDescent="0.2">
      <c r="B828" s="7"/>
      <c r="C828" s="8"/>
      <c r="D828" s="8"/>
      <c r="E828" s="9"/>
      <c r="F828" s="6"/>
      <c r="G828" s="8"/>
      <c r="H828" s="32"/>
      <c r="I828" s="10" t="str">
        <f t="shared" si="192"/>
        <v>21</v>
      </c>
      <c r="J828" s="11">
        <v>1</v>
      </c>
      <c r="K828" s="11"/>
      <c r="L828" s="11"/>
      <c r="M828" s="11">
        <f t="shared" si="196"/>
        <v>0</v>
      </c>
      <c r="N828" s="11"/>
      <c r="O828" s="11">
        <f t="shared" si="197"/>
        <v>0</v>
      </c>
      <c r="P828" s="11"/>
      <c r="Q828" s="11"/>
      <c r="R828" s="11"/>
      <c r="S828" s="11">
        <f t="shared" si="198"/>
        <v>0</v>
      </c>
      <c r="T828" s="11">
        <f t="shared" si="199"/>
        <v>1666.6666666666667</v>
      </c>
      <c r="U828" s="11">
        <f t="shared" si="200"/>
        <v>0</v>
      </c>
      <c r="V828" s="24">
        <f t="shared" si="201"/>
        <v>0</v>
      </c>
      <c r="W828" s="11">
        <f>IF(V828&lt;=40000,0,
IF(V828&lt;=55000,(V828-40000)*10%,
IF(V828&lt;=70000,(V828-55000)*15%+1500,
IF(V828&lt;=200000,(V828-70000)*20%+1500+2250,
IF(V828&lt;=400000,(V828-200000)*22.5%+1500+2250+26000,
IF(V828&lt;=600000,(V828-400000)*25%+1500+2250+26000+45000,
IF(AND(V828&gt;600000,V828&lt;=1200000),(V828-400000)*25%+1500+2250+26000+45000
+IFERROR(LOOKUP(V828,{600001;700001;800001;900001},{4000;6750;10250;15250}),0),IF(V828&gt;1200000,((V828-1200000)*27.5%)+300000,0)
)))))))</f>
        <v>0</v>
      </c>
      <c r="X828" s="12">
        <f t="shared" si="202"/>
        <v>0</v>
      </c>
      <c r="Y828" s="12">
        <f t="shared" si="203"/>
        <v>0</v>
      </c>
      <c r="Z828" s="11"/>
      <c r="AA828" s="13">
        <f t="shared" si="204"/>
        <v>0</v>
      </c>
      <c r="AB828" s="12">
        <f t="shared" si="205"/>
        <v>0</v>
      </c>
      <c r="AC828" s="14">
        <f t="shared" si="193"/>
        <v>0</v>
      </c>
      <c r="AE828" s="19">
        <f t="shared" si="206"/>
        <v>0</v>
      </c>
      <c r="AF828" s="19"/>
      <c r="AG828" s="17"/>
      <c r="AK828" s="7"/>
      <c r="AL828" s="108">
        <f t="shared" si="194"/>
        <v>0</v>
      </c>
      <c r="AM828" s="108">
        <f t="shared" si="195"/>
        <v>0</v>
      </c>
      <c r="AN828" s="113"/>
    </row>
    <row r="829" spans="2:40" x14ac:dyDescent="0.2">
      <c r="B829" s="7"/>
      <c r="C829" s="8"/>
      <c r="D829" s="8"/>
      <c r="E829" s="9"/>
      <c r="F829" s="6"/>
      <c r="G829" s="8"/>
      <c r="H829" s="32"/>
      <c r="I829" s="10" t="str">
        <f t="shared" si="192"/>
        <v>21</v>
      </c>
      <c r="J829" s="11">
        <v>1</v>
      </c>
      <c r="K829" s="11"/>
      <c r="L829" s="11"/>
      <c r="M829" s="11">
        <f t="shared" si="196"/>
        <v>0</v>
      </c>
      <c r="N829" s="11"/>
      <c r="O829" s="11">
        <f t="shared" si="197"/>
        <v>0</v>
      </c>
      <c r="P829" s="11"/>
      <c r="Q829" s="11"/>
      <c r="R829" s="11"/>
      <c r="S829" s="11">
        <f t="shared" si="198"/>
        <v>0</v>
      </c>
      <c r="T829" s="11">
        <f t="shared" si="199"/>
        <v>1666.6666666666667</v>
      </c>
      <c r="U829" s="11">
        <f t="shared" si="200"/>
        <v>0</v>
      </c>
      <c r="V829" s="24">
        <f t="shared" si="201"/>
        <v>0</v>
      </c>
      <c r="W829" s="11">
        <f>IF(V829&lt;=40000,0,
IF(V829&lt;=55000,(V829-40000)*10%,
IF(V829&lt;=70000,(V829-55000)*15%+1500,
IF(V829&lt;=200000,(V829-70000)*20%+1500+2250,
IF(V829&lt;=400000,(V829-200000)*22.5%+1500+2250+26000,
IF(V829&lt;=600000,(V829-400000)*25%+1500+2250+26000+45000,
IF(AND(V829&gt;600000,V829&lt;=1200000),(V829-400000)*25%+1500+2250+26000+45000
+IFERROR(LOOKUP(V829,{600001;700001;800001;900001},{4000;6750;10250;15250}),0),IF(V829&gt;1200000,((V829-1200000)*27.5%)+300000,0)
)))))))</f>
        <v>0</v>
      </c>
      <c r="X829" s="12">
        <f t="shared" si="202"/>
        <v>0</v>
      </c>
      <c r="Y829" s="12">
        <f t="shared" si="203"/>
        <v>0</v>
      </c>
      <c r="Z829" s="11"/>
      <c r="AA829" s="13">
        <f t="shared" si="204"/>
        <v>0</v>
      </c>
      <c r="AB829" s="12">
        <f t="shared" si="205"/>
        <v>0</v>
      </c>
      <c r="AC829" s="14">
        <f t="shared" si="193"/>
        <v>0</v>
      </c>
      <c r="AE829" s="19">
        <f t="shared" si="206"/>
        <v>0</v>
      </c>
      <c r="AF829" s="19"/>
      <c r="AG829" s="17"/>
      <c r="AK829" s="7"/>
      <c r="AL829" s="108">
        <f t="shared" si="194"/>
        <v>0</v>
      </c>
      <c r="AM829" s="108">
        <f t="shared" si="195"/>
        <v>0</v>
      </c>
      <c r="AN829" s="113"/>
    </row>
    <row r="830" spans="2:40" x14ac:dyDescent="0.2">
      <c r="B830" s="7"/>
      <c r="C830" s="8"/>
      <c r="D830" s="8"/>
      <c r="E830" s="9"/>
      <c r="F830" s="6"/>
      <c r="G830" s="8"/>
      <c r="H830" s="32"/>
      <c r="I830" s="10" t="str">
        <f t="shared" si="192"/>
        <v>21</v>
      </c>
      <c r="J830" s="11">
        <v>1</v>
      </c>
      <c r="K830" s="11"/>
      <c r="L830" s="11"/>
      <c r="M830" s="11">
        <f t="shared" si="196"/>
        <v>0</v>
      </c>
      <c r="N830" s="11"/>
      <c r="O830" s="11">
        <f t="shared" si="197"/>
        <v>0</v>
      </c>
      <c r="P830" s="11"/>
      <c r="Q830" s="11"/>
      <c r="R830" s="11"/>
      <c r="S830" s="11">
        <f t="shared" si="198"/>
        <v>0</v>
      </c>
      <c r="T830" s="11">
        <f t="shared" si="199"/>
        <v>1666.6666666666667</v>
      </c>
      <c r="U830" s="11">
        <f t="shared" si="200"/>
        <v>0</v>
      </c>
      <c r="V830" s="24">
        <f t="shared" si="201"/>
        <v>0</v>
      </c>
      <c r="W830" s="11">
        <f>IF(V830&lt;=40000,0,
IF(V830&lt;=55000,(V830-40000)*10%,
IF(V830&lt;=70000,(V830-55000)*15%+1500,
IF(V830&lt;=200000,(V830-70000)*20%+1500+2250,
IF(V830&lt;=400000,(V830-200000)*22.5%+1500+2250+26000,
IF(V830&lt;=600000,(V830-400000)*25%+1500+2250+26000+45000,
IF(AND(V830&gt;600000,V830&lt;=1200000),(V830-400000)*25%+1500+2250+26000+45000
+IFERROR(LOOKUP(V830,{600001;700001;800001;900001},{4000;6750;10250;15250}),0),IF(V830&gt;1200000,((V830-1200000)*27.5%)+300000,0)
)))))))</f>
        <v>0</v>
      </c>
      <c r="X830" s="12">
        <f t="shared" si="202"/>
        <v>0</v>
      </c>
      <c r="Y830" s="12">
        <f t="shared" si="203"/>
        <v>0</v>
      </c>
      <c r="Z830" s="11"/>
      <c r="AA830" s="13">
        <f t="shared" si="204"/>
        <v>0</v>
      </c>
      <c r="AB830" s="12">
        <f t="shared" si="205"/>
        <v>0</v>
      </c>
      <c r="AC830" s="14">
        <f t="shared" si="193"/>
        <v>0</v>
      </c>
      <c r="AE830" s="19">
        <f t="shared" si="206"/>
        <v>0</v>
      </c>
      <c r="AF830" s="19"/>
      <c r="AG830" s="17"/>
      <c r="AK830" s="7"/>
      <c r="AL830" s="108">
        <f t="shared" si="194"/>
        <v>0</v>
      </c>
      <c r="AM830" s="108">
        <f t="shared" si="195"/>
        <v>0</v>
      </c>
      <c r="AN830" s="113"/>
    </row>
    <row r="831" spans="2:40" x14ac:dyDescent="0.2">
      <c r="B831" s="7"/>
      <c r="C831" s="8"/>
      <c r="D831" s="8"/>
      <c r="E831" s="9"/>
      <c r="F831" s="6"/>
      <c r="G831" s="8"/>
      <c r="H831" s="32"/>
      <c r="I831" s="10" t="str">
        <f t="shared" si="192"/>
        <v>21</v>
      </c>
      <c r="J831" s="11">
        <v>1</v>
      </c>
      <c r="K831" s="11"/>
      <c r="L831" s="11"/>
      <c r="M831" s="11">
        <f t="shared" si="196"/>
        <v>0</v>
      </c>
      <c r="N831" s="11"/>
      <c r="O831" s="11">
        <f t="shared" si="197"/>
        <v>0</v>
      </c>
      <c r="P831" s="11"/>
      <c r="Q831" s="11"/>
      <c r="R831" s="11"/>
      <c r="S831" s="11">
        <f t="shared" si="198"/>
        <v>0</v>
      </c>
      <c r="T831" s="11">
        <f t="shared" si="199"/>
        <v>1666.6666666666667</v>
      </c>
      <c r="U831" s="11">
        <f t="shared" si="200"/>
        <v>0</v>
      </c>
      <c r="V831" s="24">
        <f t="shared" si="201"/>
        <v>0</v>
      </c>
      <c r="W831" s="11">
        <f>IF(V831&lt;=40000,0,
IF(V831&lt;=55000,(V831-40000)*10%,
IF(V831&lt;=70000,(V831-55000)*15%+1500,
IF(V831&lt;=200000,(V831-70000)*20%+1500+2250,
IF(V831&lt;=400000,(V831-200000)*22.5%+1500+2250+26000,
IF(V831&lt;=600000,(V831-400000)*25%+1500+2250+26000+45000,
IF(AND(V831&gt;600000,V831&lt;=1200000),(V831-400000)*25%+1500+2250+26000+45000
+IFERROR(LOOKUP(V831,{600001;700001;800001;900001},{4000;6750;10250;15250}),0),IF(V831&gt;1200000,((V831-1200000)*27.5%)+300000,0)
)))))))</f>
        <v>0</v>
      </c>
      <c r="X831" s="12">
        <f t="shared" si="202"/>
        <v>0</v>
      </c>
      <c r="Y831" s="12">
        <f t="shared" si="203"/>
        <v>0</v>
      </c>
      <c r="Z831" s="11"/>
      <c r="AA831" s="13">
        <f t="shared" si="204"/>
        <v>0</v>
      </c>
      <c r="AB831" s="12">
        <f t="shared" si="205"/>
        <v>0</v>
      </c>
      <c r="AC831" s="14">
        <f t="shared" si="193"/>
        <v>0</v>
      </c>
      <c r="AE831" s="19">
        <f t="shared" si="206"/>
        <v>0</v>
      </c>
      <c r="AF831" s="19"/>
      <c r="AG831" s="17"/>
      <c r="AK831" s="7"/>
      <c r="AL831" s="108">
        <f t="shared" si="194"/>
        <v>0</v>
      </c>
      <c r="AM831" s="108">
        <f t="shared" si="195"/>
        <v>0</v>
      </c>
      <c r="AN831" s="113"/>
    </row>
    <row r="832" spans="2:40" x14ac:dyDescent="0.2">
      <c r="B832" s="7"/>
      <c r="C832" s="8"/>
      <c r="D832" s="8"/>
      <c r="E832" s="9"/>
      <c r="F832" s="6"/>
      <c r="G832" s="8"/>
      <c r="H832" s="32"/>
      <c r="I832" s="10" t="str">
        <f t="shared" si="192"/>
        <v>21</v>
      </c>
      <c r="J832" s="11">
        <v>1</v>
      </c>
      <c r="K832" s="11"/>
      <c r="L832" s="11"/>
      <c r="M832" s="11">
        <f t="shared" si="196"/>
        <v>0</v>
      </c>
      <c r="N832" s="11"/>
      <c r="O832" s="11">
        <f t="shared" si="197"/>
        <v>0</v>
      </c>
      <c r="P832" s="11"/>
      <c r="Q832" s="11"/>
      <c r="R832" s="11"/>
      <c r="S832" s="11">
        <f t="shared" si="198"/>
        <v>0</v>
      </c>
      <c r="T832" s="11">
        <f t="shared" si="199"/>
        <v>1666.6666666666667</v>
      </c>
      <c r="U832" s="11">
        <f t="shared" si="200"/>
        <v>0</v>
      </c>
      <c r="V832" s="24">
        <f t="shared" si="201"/>
        <v>0</v>
      </c>
      <c r="W832" s="11">
        <f>IF(V832&lt;=40000,0,
IF(V832&lt;=55000,(V832-40000)*10%,
IF(V832&lt;=70000,(V832-55000)*15%+1500,
IF(V832&lt;=200000,(V832-70000)*20%+1500+2250,
IF(V832&lt;=400000,(V832-200000)*22.5%+1500+2250+26000,
IF(V832&lt;=600000,(V832-400000)*25%+1500+2250+26000+45000,
IF(AND(V832&gt;600000,V832&lt;=1200000),(V832-400000)*25%+1500+2250+26000+45000
+IFERROR(LOOKUP(V832,{600001;700001;800001;900001},{4000;6750;10250;15250}),0),IF(V832&gt;1200000,((V832-1200000)*27.5%)+300000,0)
)))))))</f>
        <v>0</v>
      </c>
      <c r="X832" s="12">
        <f t="shared" si="202"/>
        <v>0</v>
      </c>
      <c r="Y832" s="12">
        <f t="shared" si="203"/>
        <v>0</v>
      </c>
      <c r="Z832" s="11"/>
      <c r="AA832" s="13">
        <f t="shared" si="204"/>
        <v>0</v>
      </c>
      <c r="AB832" s="12">
        <f t="shared" si="205"/>
        <v>0</v>
      </c>
      <c r="AC832" s="14">
        <f t="shared" si="193"/>
        <v>0</v>
      </c>
      <c r="AE832" s="19">
        <f t="shared" si="206"/>
        <v>0</v>
      </c>
      <c r="AF832" s="19"/>
      <c r="AG832" s="17"/>
      <c r="AK832" s="7"/>
      <c r="AL832" s="108">
        <f t="shared" si="194"/>
        <v>0</v>
      </c>
      <c r="AM832" s="108">
        <f t="shared" si="195"/>
        <v>0</v>
      </c>
      <c r="AN832" s="113"/>
    </row>
    <row r="833" spans="2:40" x14ac:dyDescent="0.2">
      <c r="B833" s="7"/>
      <c r="C833" s="8"/>
      <c r="D833" s="8"/>
      <c r="E833" s="9"/>
      <c r="F833" s="6"/>
      <c r="G833" s="8"/>
      <c r="H833" s="32"/>
      <c r="I833" s="10" t="str">
        <f t="shared" si="192"/>
        <v>21</v>
      </c>
      <c r="J833" s="11">
        <v>1</v>
      </c>
      <c r="K833" s="11"/>
      <c r="L833" s="11"/>
      <c r="M833" s="11">
        <f t="shared" si="196"/>
        <v>0</v>
      </c>
      <c r="N833" s="11"/>
      <c r="O833" s="11">
        <f t="shared" si="197"/>
        <v>0</v>
      </c>
      <c r="P833" s="11"/>
      <c r="Q833" s="11"/>
      <c r="R833" s="11"/>
      <c r="S833" s="11">
        <f t="shared" si="198"/>
        <v>0</v>
      </c>
      <c r="T833" s="11">
        <f t="shared" si="199"/>
        <v>1666.6666666666667</v>
      </c>
      <c r="U833" s="11">
        <f t="shared" si="200"/>
        <v>0</v>
      </c>
      <c r="V833" s="24">
        <f t="shared" si="201"/>
        <v>0</v>
      </c>
      <c r="W833" s="11">
        <f>IF(V833&lt;=40000,0,
IF(V833&lt;=55000,(V833-40000)*10%,
IF(V833&lt;=70000,(V833-55000)*15%+1500,
IF(V833&lt;=200000,(V833-70000)*20%+1500+2250,
IF(V833&lt;=400000,(V833-200000)*22.5%+1500+2250+26000,
IF(V833&lt;=600000,(V833-400000)*25%+1500+2250+26000+45000,
IF(AND(V833&gt;600000,V833&lt;=1200000),(V833-400000)*25%+1500+2250+26000+45000
+IFERROR(LOOKUP(V833,{600001;700001;800001;900001},{4000;6750;10250;15250}),0),IF(V833&gt;1200000,((V833-1200000)*27.5%)+300000,0)
)))))))</f>
        <v>0</v>
      </c>
      <c r="X833" s="12">
        <f t="shared" si="202"/>
        <v>0</v>
      </c>
      <c r="Y833" s="12">
        <f t="shared" si="203"/>
        <v>0</v>
      </c>
      <c r="Z833" s="11"/>
      <c r="AA833" s="13">
        <f t="shared" si="204"/>
        <v>0</v>
      </c>
      <c r="AB833" s="12">
        <f t="shared" si="205"/>
        <v>0</v>
      </c>
      <c r="AC833" s="14">
        <f t="shared" si="193"/>
        <v>0</v>
      </c>
      <c r="AE833" s="19">
        <f t="shared" si="206"/>
        <v>0</v>
      </c>
      <c r="AF833" s="19"/>
      <c r="AG833" s="17"/>
      <c r="AK833" s="7"/>
      <c r="AL833" s="108">
        <f t="shared" si="194"/>
        <v>0</v>
      </c>
      <c r="AM833" s="108">
        <f t="shared" si="195"/>
        <v>0</v>
      </c>
      <c r="AN833" s="113"/>
    </row>
    <row r="834" spans="2:40" x14ac:dyDescent="0.2">
      <c r="B834" s="7"/>
      <c r="C834" s="8"/>
      <c r="D834" s="8"/>
      <c r="E834" s="9"/>
      <c r="F834" s="6"/>
      <c r="G834" s="8"/>
      <c r="H834" s="32"/>
      <c r="I834" s="10" t="str">
        <f t="shared" si="192"/>
        <v>21</v>
      </c>
      <c r="J834" s="11">
        <v>1</v>
      </c>
      <c r="K834" s="11"/>
      <c r="L834" s="11"/>
      <c r="M834" s="11">
        <f t="shared" si="196"/>
        <v>0</v>
      </c>
      <c r="N834" s="11"/>
      <c r="O834" s="11">
        <f t="shared" si="197"/>
        <v>0</v>
      </c>
      <c r="P834" s="11"/>
      <c r="Q834" s="11"/>
      <c r="R834" s="11"/>
      <c r="S834" s="11">
        <f t="shared" si="198"/>
        <v>0</v>
      </c>
      <c r="T834" s="11">
        <f t="shared" si="199"/>
        <v>1666.6666666666667</v>
      </c>
      <c r="U834" s="11">
        <f t="shared" si="200"/>
        <v>0</v>
      </c>
      <c r="V834" s="24">
        <f t="shared" si="201"/>
        <v>0</v>
      </c>
      <c r="W834" s="11">
        <f>IF(V834&lt;=40000,0,
IF(V834&lt;=55000,(V834-40000)*10%,
IF(V834&lt;=70000,(V834-55000)*15%+1500,
IF(V834&lt;=200000,(V834-70000)*20%+1500+2250,
IF(V834&lt;=400000,(V834-200000)*22.5%+1500+2250+26000,
IF(V834&lt;=600000,(V834-400000)*25%+1500+2250+26000+45000,
IF(AND(V834&gt;600000,V834&lt;=1200000),(V834-400000)*25%+1500+2250+26000+45000
+IFERROR(LOOKUP(V834,{600001;700001;800001;900001},{4000;6750;10250;15250}),0),IF(V834&gt;1200000,((V834-1200000)*27.5%)+300000,0)
)))))))</f>
        <v>0</v>
      </c>
      <c r="X834" s="12">
        <f t="shared" si="202"/>
        <v>0</v>
      </c>
      <c r="Y834" s="12">
        <f t="shared" si="203"/>
        <v>0</v>
      </c>
      <c r="Z834" s="11"/>
      <c r="AA834" s="13">
        <f t="shared" si="204"/>
        <v>0</v>
      </c>
      <c r="AB834" s="12">
        <f t="shared" si="205"/>
        <v>0</v>
      </c>
      <c r="AC834" s="14">
        <f t="shared" si="193"/>
        <v>0</v>
      </c>
      <c r="AE834" s="19">
        <f t="shared" si="206"/>
        <v>0</v>
      </c>
      <c r="AF834" s="19"/>
      <c r="AG834" s="17"/>
      <c r="AK834" s="7"/>
      <c r="AL834" s="108">
        <f t="shared" si="194"/>
        <v>0</v>
      </c>
      <c r="AM834" s="108">
        <f t="shared" si="195"/>
        <v>0</v>
      </c>
      <c r="AN834" s="113"/>
    </row>
    <row r="835" spans="2:40" x14ac:dyDescent="0.2">
      <c r="B835" s="7"/>
      <c r="C835" s="8"/>
      <c r="D835" s="8"/>
      <c r="E835" s="9"/>
      <c r="F835" s="6"/>
      <c r="G835" s="8"/>
      <c r="H835" s="32"/>
      <c r="I835" s="10" t="str">
        <f t="shared" si="192"/>
        <v>21</v>
      </c>
      <c r="J835" s="11">
        <v>1</v>
      </c>
      <c r="K835" s="11"/>
      <c r="L835" s="11"/>
      <c r="M835" s="11">
        <f t="shared" si="196"/>
        <v>0</v>
      </c>
      <c r="N835" s="11"/>
      <c r="O835" s="11">
        <f t="shared" si="197"/>
        <v>0</v>
      </c>
      <c r="P835" s="11"/>
      <c r="Q835" s="11"/>
      <c r="R835" s="11"/>
      <c r="S835" s="11">
        <f t="shared" si="198"/>
        <v>0</v>
      </c>
      <c r="T835" s="11">
        <f t="shared" si="199"/>
        <v>1666.6666666666667</v>
      </c>
      <c r="U835" s="11">
        <f t="shared" si="200"/>
        <v>0</v>
      </c>
      <c r="V835" s="24">
        <f t="shared" si="201"/>
        <v>0</v>
      </c>
      <c r="W835" s="11">
        <f>IF(V835&lt;=40000,0,
IF(V835&lt;=55000,(V835-40000)*10%,
IF(V835&lt;=70000,(V835-55000)*15%+1500,
IF(V835&lt;=200000,(V835-70000)*20%+1500+2250,
IF(V835&lt;=400000,(V835-200000)*22.5%+1500+2250+26000,
IF(V835&lt;=600000,(V835-400000)*25%+1500+2250+26000+45000,
IF(AND(V835&gt;600000,V835&lt;=1200000),(V835-400000)*25%+1500+2250+26000+45000
+IFERROR(LOOKUP(V835,{600001;700001;800001;900001},{4000;6750;10250;15250}),0),IF(V835&gt;1200000,((V835-1200000)*27.5%)+300000,0)
)))))))</f>
        <v>0</v>
      </c>
      <c r="X835" s="12">
        <f t="shared" si="202"/>
        <v>0</v>
      </c>
      <c r="Y835" s="12">
        <f t="shared" si="203"/>
        <v>0</v>
      </c>
      <c r="Z835" s="11"/>
      <c r="AA835" s="13">
        <f t="shared" si="204"/>
        <v>0</v>
      </c>
      <c r="AB835" s="12">
        <f t="shared" si="205"/>
        <v>0</v>
      </c>
      <c r="AC835" s="14">
        <f t="shared" si="193"/>
        <v>0</v>
      </c>
      <c r="AE835" s="19">
        <f t="shared" si="206"/>
        <v>0</v>
      </c>
      <c r="AF835" s="19"/>
      <c r="AG835" s="17"/>
      <c r="AK835" s="7"/>
      <c r="AL835" s="108">
        <f t="shared" si="194"/>
        <v>0</v>
      </c>
      <c r="AM835" s="108">
        <f t="shared" si="195"/>
        <v>0</v>
      </c>
      <c r="AN835" s="113"/>
    </row>
    <row r="836" spans="2:40" x14ac:dyDescent="0.2">
      <c r="B836" s="7"/>
      <c r="C836" s="8"/>
      <c r="D836" s="8"/>
      <c r="E836" s="9"/>
      <c r="F836" s="6"/>
      <c r="G836" s="8"/>
      <c r="H836" s="32"/>
      <c r="I836" s="10" t="str">
        <f t="shared" si="192"/>
        <v>21</v>
      </c>
      <c r="J836" s="11">
        <v>1</v>
      </c>
      <c r="K836" s="11"/>
      <c r="L836" s="11"/>
      <c r="M836" s="11">
        <f t="shared" si="196"/>
        <v>0</v>
      </c>
      <c r="N836" s="11"/>
      <c r="O836" s="11">
        <f t="shared" si="197"/>
        <v>0</v>
      </c>
      <c r="P836" s="11"/>
      <c r="Q836" s="11"/>
      <c r="R836" s="11"/>
      <c r="S836" s="11">
        <f t="shared" si="198"/>
        <v>0</v>
      </c>
      <c r="T836" s="11">
        <f t="shared" si="199"/>
        <v>1666.6666666666667</v>
      </c>
      <c r="U836" s="11">
        <f t="shared" si="200"/>
        <v>0</v>
      </c>
      <c r="V836" s="24">
        <f t="shared" si="201"/>
        <v>0</v>
      </c>
      <c r="W836" s="11">
        <f>IF(V836&lt;=40000,0,
IF(V836&lt;=55000,(V836-40000)*10%,
IF(V836&lt;=70000,(V836-55000)*15%+1500,
IF(V836&lt;=200000,(V836-70000)*20%+1500+2250,
IF(V836&lt;=400000,(V836-200000)*22.5%+1500+2250+26000,
IF(V836&lt;=600000,(V836-400000)*25%+1500+2250+26000+45000,
IF(AND(V836&gt;600000,V836&lt;=1200000),(V836-400000)*25%+1500+2250+26000+45000
+IFERROR(LOOKUP(V836,{600001;700001;800001;900001},{4000;6750;10250;15250}),0),IF(V836&gt;1200000,((V836-1200000)*27.5%)+300000,0)
)))))))</f>
        <v>0</v>
      </c>
      <c r="X836" s="12">
        <f t="shared" si="202"/>
        <v>0</v>
      </c>
      <c r="Y836" s="12">
        <f t="shared" si="203"/>
        <v>0</v>
      </c>
      <c r="Z836" s="11"/>
      <c r="AA836" s="13">
        <f t="shared" si="204"/>
        <v>0</v>
      </c>
      <c r="AB836" s="12">
        <f t="shared" si="205"/>
        <v>0</v>
      </c>
      <c r="AC836" s="14">
        <f t="shared" si="193"/>
        <v>0</v>
      </c>
      <c r="AE836" s="19">
        <f t="shared" si="206"/>
        <v>0</v>
      </c>
      <c r="AF836" s="19"/>
      <c r="AG836" s="17"/>
      <c r="AK836" s="7"/>
      <c r="AL836" s="108">
        <f t="shared" si="194"/>
        <v>0</v>
      </c>
      <c r="AM836" s="108">
        <f t="shared" si="195"/>
        <v>0</v>
      </c>
      <c r="AN836" s="113"/>
    </row>
    <row r="837" spans="2:40" x14ac:dyDescent="0.2">
      <c r="B837" s="7"/>
      <c r="C837" s="8"/>
      <c r="D837" s="8"/>
      <c r="E837" s="9"/>
      <c r="F837" s="6"/>
      <c r="G837" s="8"/>
      <c r="H837" s="32"/>
      <c r="I837" s="10" t="str">
        <f t="shared" ref="I837:I900" si="207">IF(G837&gt;0,"1","21")</f>
        <v>21</v>
      </c>
      <c r="J837" s="11">
        <v>1</v>
      </c>
      <c r="K837" s="11"/>
      <c r="L837" s="11"/>
      <c r="M837" s="11">
        <f t="shared" si="196"/>
        <v>0</v>
      </c>
      <c r="N837" s="11"/>
      <c r="O837" s="11">
        <f t="shared" si="197"/>
        <v>0</v>
      </c>
      <c r="P837" s="11"/>
      <c r="Q837" s="11"/>
      <c r="R837" s="11"/>
      <c r="S837" s="11">
        <f t="shared" si="198"/>
        <v>0</v>
      </c>
      <c r="T837" s="11">
        <f t="shared" si="199"/>
        <v>1666.6666666666667</v>
      </c>
      <c r="U837" s="11">
        <f t="shared" si="200"/>
        <v>0</v>
      </c>
      <c r="V837" s="24">
        <f t="shared" si="201"/>
        <v>0</v>
      </c>
      <c r="W837" s="11">
        <f>IF(V837&lt;=40000,0,
IF(V837&lt;=55000,(V837-40000)*10%,
IF(V837&lt;=70000,(V837-55000)*15%+1500,
IF(V837&lt;=200000,(V837-70000)*20%+1500+2250,
IF(V837&lt;=400000,(V837-200000)*22.5%+1500+2250+26000,
IF(V837&lt;=600000,(V837-400000)*25%+1500+2250+26000+45000,
IF(AND(V837&gt;600000,V837&lt;=1200000),(V837-400000)*25%+1500+2250+26000+45000
+IFERROR(LOOKUP(V837,{600001;700001;800001;900001},{4000;6750;10250;15250}),0),IF(V837&gt;1200000,((V837-1200000)*27.5%)+300000,0)
)))))))</f>
        <v>0</v>
      </c>
      <c r="X837" s="12">
        <f t="shared" si="202"/>
        <v>0</v>
      </c>
      <c r="Y837" s="12">
        <f t="shared" si="203"/>
        <v>0</v>
      </c>
      <c r="Z837" s="11"/>
      <c r="AA837" s="13">
        <f t="shared" si="204"/>
        <v>0</v>
      </c>
      <c r="AB837" s="12">
        <f t="shared" si="205"/>
        <v>0</v>
      </c>
      <c r="AC837" s="14">
        <f t="shared" ref="AC837:AC900" si="208">+M837-P837-Y837</f>
        <v>0</v>
      </c>
      <c r="AE837" s="19">
        <f t="shared" si="206"/>
        <v>0</v>
      </c>
      <c r="AF837" s="19"/>
      <c r="AG837" s="17"/>
      <c r="AK837" s="7"/>
      <c r="AL837" s="108">
        <f t="shared" ref="AL837:AL900" si="209">+AK837+AD837</f>
        <v>0</v>
      </c>
      <c r="AM837" s="108">
        <f t="shared" ref="AM837:AM900" si="210">+AL837-AC837</f>
        <v>0</v>
      </c>
      <c r="AN837" s="113"/>
    </row>
    <row r="838" spans="2:40" x14ac:dyDescent="0.2">
      <c r="B838" s="7"/>
      <c r="C838" s="8"/>
      <c r="D838" s="8"/>
      <c r="E838" s="9"/>
      <c r="F838" s="6"/>
      <c r="G838" s="8"/>
      <c r="H838" s="32"/>
      <c r="I838" s="10" t="str">
        <f t="shared" si="207"/>
        <v>21</v>
      </c>
      <c r="J838" s="11">
        <v>1</v>
      </c>
      <c r="K838" s="11"/>
      <c r="L838" s="11"/>
      <c r="M838" s="11">
        <f t="shared" si="196"/>
        <v>0</v>
      </c>
      <c r="N838" s="11"/>
      <c r="O838" s="11">
        <f t="shared" si="197"/>
        <v>0</v>
      </c>
      <c r="P838" s="11"/>
      <c r="Q838" s="11"/>
      <c r="R838" s="11"/>
      <c r="S838" s="11">
        <f t="shared" si="198"/>
        <v>0</v>
      </c>
      <c r="T838" s="11">
        <f t="shared" si="199"/>
        <v>1666.6666666666667</v>
      </c>
      <c r="U838" s="11">
        <f t="shared" si="200"/>
        <v>0</v>
      </c>
      <c r="V838" s="24">
        <f t="shared" si="201"/>
        <v>0</v>
      </c>
      <c r="W838" s="11">
        <f>IF(V838&lt;=40000,0,
IF(V838&lt;=55000,(V838-40000)*10%,
IF(V838&lt;=70000,(V838-55000)*15%+1500,
IF(V838&lt;=200000,(V838-70000)*20%+1500+2250,
IF(V838&lt;=400000,(V838-200000)*22.5%+1500+2250+26000,
IF(V838&lt;=600000,(V838-400000)*25%+1500+2250+26000+45000,
IF(AND(V838&gt;600000,V838&lt;=1200000),(V838-400000)*25%+1500+2250+26000+45000
+IFERROR(LOOKUP(V838,{600001;700001;800001;900001},{4000;6750;10250;15250}),0),IF(V838&gt;1200000,((V838-1200000)*27.5%)+300000,0)
)))))))</f>
        <v>0</v>
      </c>
      <c r="X838" s="12">
        <f t="shared" si="202"/>
        <v>0</v>
      </c>
      <c r="Y838" s="12">
        <f t="shared" si="203"/>
        <v>0</v>
      </c>
      <c r="Z838" s="11"/>
      <c r="AA838" s="13">
        <f t="shared" si="204"/>
        <v>0</v>
      </c>
      <c r="AB838" s="12">
        <f t="shared" si="205"/>
        <v>0</v>
      </c>
      <c r="AC838" s="14">
        <f t="shared" si="208"/>
        <v>0</v>
      </c>
      <c r="AE838" s="19">
        <f t="shared" si="206"/>
        <v>0</v>
      </c>
      <c r="AF838" s="19"/>
      <c r="AG838" s="17"/>
      <c r="AK838" s="7"/>
      <c r="AL838" s="108">
        <f t="shared" si="209"/>
        <v>0</v>
      </c>
      <c r="AM838" s="108">
        <f t="shared" si="210"/>
        <v>0</v>
      </c>
      <c r="AN838" s="113"/>
    </row>
    <row r="839" spans="2:40" x14ac:dyDescent="0.2">
      <c r="B839" s="7"/>
      <c r="C839" s="8"/>
      <c r="D839" s="8"/>
      <c r="E839" s="9"/>
      <c r="F839" s="6"/>
      <c r="G839" s="8"/>
      <c r="H839" s="32"/>
      <c r="I839" s="10" t="str">
        <f t="shared" si="207"/>
        <v>21</v>
      </c>
      <c r="J839" s="11">
        <v>1</v>
      </c>
      <c r="K839" s="11"/>
      <c r="L839" s="11"/>
      <c r="M839" s="11">
        <f t="shared" si="196"/>
        <v>0</v>
      </c>
      <c r="N839" s="11"/>
      <c r="O839" s="11">
        <f t="shared" si="197"/>
        <v>0</v>
      </c>
      <c r="P839" s="11"/>
      <c r="Q839" s="11"/>
      <c r="R839" s="11"/>
      <c r="S839" s="11">
        <f t="shared" si="198"/>
        <v>0</v>
      </c>
      <c r="T839" s="11">
        <f t="shared" si="199"/>
        <v>1666.6666666666667</v>
      </c>
      <c r="U839" s="11">
        <f t="shared" si="200"/>
        <v>0</v>
      </c>
      <c r="V839" s="24">
        <f t="shared" si="201"/>
        <v>0</v>
      </c>
      <c r="W839" s="11">
        <f>IF(V839&lt;=40000,0,
IF(V839&lt;=55000,(V839-40000)*10%,
IF(V839&lt;=70000,(V839-55000)*15%+1500,
IF(V839&lt;=200000,(V839-70000)*20%+1500+2250,
IF(V839&lt;=400000,(V839-200000)*22.5%+1500+2250+26000,
IF(V839&lt;=600000,(V839-400000)*25%+1500+2250+26000+45000,
IF(AND(V839&gt;600000,V839&lt;=1200000),(V839-400000)*25%+1500+2250+26000+45000
+IFERROR(LOOKUP(V839,{600001;700001;800001;900001},{4000;6750;10250;15250}),0),IF(V839&gt;1200000,((V839-1200000)*27.5%)+300000,0)
)))))))</f>
        <v>0</v>
      </c>
      <c r="X839" s="12">
        <f t="shared" si="202"/>
        <v>0</v>
      </c>
      <c r="Y839" s="12">
        <f t="shared" si="203"/>
        <v>0</v>
      </c>
      <c r="Z839" s="11"/>
      <c r="AA839" s="13">
        <f t="shared" si="204"/>
        <v>0</v>
      </c>
      <c r="AB839" s="12">
        <f t="shared" si="205"/>
        <v>0</v>
      </c>
      <c r="AC839" s="14">
        <f t="shared" si="208"/>
        <v>0</v>
      </c>
      <c r="AE839" s="19">
        <f t="shared" si="206"/>
        <v>0</v>
      </c>
      <c r="AF839" s="19"/>
      <c r="AG839" s="17"/>
      <c r="AK839" s="7"/>
      <c r="AL839" s="108">
        <f t="shared" si="209"/>
        <v>0</v>
      </c>
      <c r="AM839" s="108">
        <f t="shared" si="210"/>
        <v>0</v>
      </c>
      <c r="AN839" s="113"/>
    </row>
    <row r="840" spans="2:40" x14ac:dyDescent="0.2">
      <c r="B840" s="7"/>
      <c r="C840" s="8"/>
      <c r="D840" s="8"/>
      <c r="E840" s="9"/>
      <c r="F840" s="6"/>
      <c r="G840" s="8"/>
      <c r="H840" s="32"/>
      <c r="I840" s="10" t="str">
        <f t="shared" si="207"/>
        <v>21</v>
      </c>
      <c r="J840" s="11">
        <v>1</v>
      </c>
      <c r="K840" s="11"/>
      <c r="L840" s="11"/>
      <c r="M840" s="11">
        <f t="shared" si="196"/>
        <v>0</v>
      </c>
      <c r="N840" s="11"/>
      <c r="O840" s="11">
        <f t="shared" si="197"/>
        <v>0</v>
      </c>
      <c r="P840" s="11"/>
      <c r="Q840" s="11"/>
      <c r="R840" s="11"/>
      <c r="S840" s="11">
        <f t="shared" si="198"/>
        <v>0</v>
      </c>
      <c r="T840" s="11">
        <f t="shared" si="199"/>
        <v>1666.6666666666667</v>
      </c>
      <c r="U840" s="11">
        <f t="shared" si="200"/>
        <v>0</v>
      </c>
      <c r="V840" s="24">
        <f t="shared" si="201"/>
        <v>0</v>
      </c>
      <c r="W840" s="11">
        <f>IF(V840&lt;=40000,0,
IF(V840&lt;=55000,(V840-40000)*10%,
IF(V840&lt;=70000,(V840-55000)*15%+1500,
IF(V840&lt;=200000,(V840-70000)*20%+1500+2250,
IF(V840&lt;=400000,(V840-200000)*22.5%+1500+2250+26000,
IF(V840&lt;=600000,(V840-400000)*25%+1500+2250+26000+45000,
IF(AND(V840&gt;600000,V840&lt;=1200000),(V840-400000)*25%+1500+2250+26000+45000
+IFERROR(LOOKUP(V840,{600001;700001;800001;900001},{4000;6750;10250;15250}),0),IF(V840&gt;1200000,((V840-1200000)*27.5%)+300000,0)
)))))))</f>
        <v>0</v>
      </c>
      <c r="X840" s="12">
        <f t="shared" si="202"/>
        <v>0</v>
      </c>
      <c r="Y840" s="12">
        <f t="shared" si="203"/>
        <v>0</v>
      </c>
      <c r="Z840" s="11"/>
      <c r="AA840" s="13">
        <f t="shared" si="204"/>
        <v>0</v>
      </c>
      <c r="AB840" s="12">
        <f t="shared" si="205"/>
        <v>0</v>
      </c>
      <c r="AC840" s="14">
        <f t="shared" si="208"/>
        <v>0</v>
      </c>
      <c r="AE840" s="19">
        <f t="shared" si="206"/>
        <v>0</v>
      </c>
      <c r="AF840" s="19"/>
      <c r="AG840" s="17"/>
      <c r="AK840" s="7"/>
      <c r="AL840" s="108">
        <f t="shared" si="209"/>
        <v>0</v>
      </c>
      <c r="AM840" s="108">
        <f t="shared" si="210"/>
        <v>0</v>
      </c>
      <c r="AN840" s="113"/>
    </row>
    <row r="841" spans="2:40" x14ac:dyDescent="0.2">
      <c r="B841" s="7"/>
      <c r="C841" s="8"/>
      <c r="D841" s="8"/>
      <c r="E841" s="9"/>
      <c r="F841" s="6"/>
      <c r="G841" s="8"/>
      <c r="H841" s="32"/>
      <c r="I841" s="10" t="str">
        <f t="shared" si="207"/>
        <v>21</v>
      </c>
      <c r="J841" s="11">
        <v>1</v>
      </c>
      <c r="K841" s="11"/>
      <c r="L841" s="11"/>
      <c r="M841" s="11">
        <f t="shared" si="196"/>
        <v>0</v>
      </c>
      <c r="N841" s="11"/>
      <c r="O841" s="11">
        <f t="shared" si="197"/>
        <v>0</v>
      </c>
      <c r="P841" s="11"/>
      <c r="Q841" s="11"/>
      <c r="R841" s="11"/>
      <c r="S841" s="11">
        <f t="shared" si="198"/>
        <v>0</v>
      </c>
      <c r="T841" s="11">
        <f t="shared" si="199"/>
        <v>1666.6666666666667</v>
      </c>
      <c r="U841" s="11">
        <f t="shared" si="200"/>
        <v>0</v>
      </c>
      <c r="V841" s="24">
        <f t="shared" si="201"/>
        <v>0</v>
      </c>
      <c r="W841" s="11">
        <f>IF(V841&lt;=40000,0,
IF(V841&lt;=55000,(V841-40000)*10%,
IF(V841&lt;=70000,(V841-55000)*15%+1500,
IF(V841&lt;=200000,(V841-70000)*20%+1500+2250,
IF(V841&lt;=400000,(V841-200000)*22.5%+1500+2250+26000,
IF(V841&lt;=600000,(V841-400000)*25%+1500+2250+26000+45000,
IF(AND(V841&gt;600000,V841&lt;=1200000),(V841-400000)*25%+1500+2250+26000+45000
+IFERROR(LOOKUP(V841,{600001;700001;800001;900001},{4000;6750;10250;15250}),0),IF(V841&gt;1200000,((V841-1200000)*27.5%)+300000,0)
)))))))</f>
        <v>0</v>
      </c>
      <c r="X841" s="12">
        <f t="shared" si="202"/>
        <v>0</v>
      </c>
      <c r="Y841" s="12">
        <f t="shared" si="203"/>
        <v>0</v>
      </c>
      <c r="Z841" s="11"/>
      <c r="AA841" s="13">
        <f t="shared" si="204"/>
        <v>0</v>
      </c>
      <c r="AB841" s="12">
        <f t="shared" si="205"/>
        <v>0</v>
      </c>
      <c r="AC841" s="14">
        <f t="shared" si="208"/>
        <v>0</v>
      </c>
      <c r="AE841" s="19">
        <f t="shared" si="206"/>
        <v>0</v>
      </c>
      <c r="AF841" s="19"/>
      <c r="AG841" s="17"/>
      <c r="AK841" s="7"/>
      <c r="AL841" s="108">
        <f t="shared" si="209"/>
        <v>0</v>
      </c>
      <c r="AM841" s="108">
        <f t="shared" si="210"/>
        <v>0</v>
      </c>
      <c r="AN841" s="113"/>
    </row>
    <row r="842" spans="2:40" x14ac:dyDescent="0.2">
      <c r="B842" s="7"/>
      <c r="C842" s="8"/>
      <c r="D842" s="8"/>
      <c r="E842" s="9"/>
      <c r="F842" s="6"/>
      <c r="G842" s="8"/>
      <c r="H842" s="32"/>
      <c r="I842" s="10" t="str">
        <f t="shared" si="207"/>
        <v>21</v>
      </c>
      <c r="J842" s="11">
        <v>1</v>
      </c>
      <c r="K842" s="11"/>
      <c r="L842" s="11"/>
      <c r="M842" s="11">
        <f t="shared" si="196"/>
        <v>0</v>
      </c>
      <c r="N842" s="11"/>
      <c r="O842" s="11">
        <f t="shared" si="197"/>
        <v>0</v>
      </c>
      <c r="P842" s="11"/>
      <c r="Q842" s="11"/>
      <c r="R842" s="11"/>
      <c r="S842" s="11">
        <f t="shared" si="198"/>
        <v>0</v>
      </c>
      <c r="T842" s="11">
        <f t="shared" si="199"/>
        <v>1666.6666666666667</v>
      </c>
      <c r="U842" s="11">
        <f t="shared" si="200"/>
        <v>0</v>
      </c>
      <c r="V842" s="24">
        <f t="shared" si="201"/>
        <v>0</v>
      </c>
      <c r="W842" s="11">
        <f>IF(V842&lt;=40000,0,
IF(V842&lt;=55000,(V842-40000)*10%,
IF(V842&lt;=70000,(V842-55000)*15%+1500,
IF(V842&lt;=200000,(V842-70000)*20%+1500+2250,
IF(V842&lt;=400000,(V842-200000)*22.5%+1500+2250+26000,
IF(V842&lt;=600000,(V842-400000)*25%+1500+2250+26000+45000,
IF(AND(V842&gt;600000,V842&lt;=1200000),(V842-400000)*25%+1500+2250+26000+45000
+IFERROR(LOOKUP(V842,{600001;700001;800001;900001},{4000;6750;10250;15250}),0),IF(V842&gt;1200000,((V842-1200000)*27.5%)+300000,0)
)))))))</f>
        <v>0</v>
      </c>
      <c r="X842" s="12">
        <f t="shared" si="202"/>
        <v>0</v>
      </c>
      <c r="Y842" s="12">
        <f t="shared" si="203"/>
        <v>0</v>
      </c>
      <c r="Z842" s="11"/>
      <c r="AA842" s="13">
        <f t="shared" si="204"/>
        <v>0</v>
      </c>
      <c r="AB842" s="12">
        <f t="shared" si="205"/>
        <v>0</v>
      </c>
      <c r="AC842" s="14">
        <f t="shared" si="208"/>
        <v>0</v>
      </c>
      <c r="AE842" s="19">
        <f t="shared" si="206"/>
        <v>0</v>
      </c>
      <c r="AF842" s="19"/>
      <c r="AG842" s="17"/>
      <c r="AK842" s="7"/>
      <c r="AL842" s="108">
        <f t="shared" si="209"/>
        <v>0</v>
      </c>
      <c r="AM842" s="108">
        <f t="shared" si="210"/>
        <v>0</v>
      </c>
      <c r="AN842" s="113"/>
    </row>
    <row r="843" spans="2:40" x14ac:dyDescent="0.2">
      <c r="B843" s="7"/>
      <c r="C843" s="8"/>
      <c r="D843" s="8"/>
      <c r="E843" s="9"/>
      <c r="F843" s="6"/>
      <c r="G843" s="8"/>
      <c r="H843" s="32"/>
      <c r="I843" s="10" t="str">
        <f t="shared" si="207"/>
        <v>21</v>
      </c>
      <c r="J843" s="11">
        <v>1</v>
      </c>
      <c r="K843" s="11"/>
      <c r="L843" s="11"/>
      <c r="M843" s="11">
        <f t="shared" si="196"/>
        <v>0</v>
      </c>
      <c r="N843" s="11"/>
      <c r="O843" s="11">
        <f t="shared" si="197"/>
        <v>0</v>
      </c>
      <c r="P843" s="11"/>
      <c r="Q843" s="11"/>
      <c r="R843" s="11"/>
      <c r="S843" s="11">
        <f t="shared" si="198"/>
        <v>0</v>
      </c>
      <c r="T843" s="11">
        <f t="shared" si="199"/>
        <v>1666.6666666666667</v>
      </c>
      <c r="U843" s="11">
        <f t="shared" si="200"/>
        <v>0</v>
      </c>
      <c r="V843" s="24">
        <f t="shared" si="201"/>
        <v>0</v>
      </c>
      <c r="W843" s="11">
        <f>IF(V843&lt;=40000,0,
IF(V843&lt;=55000,(V843-40000)*10%,
IF(V843&lt;=70000,(V843-55000)*15%+1500,
IF(V843&lt;=200000,(V843-70000)*20%+1500+2250,
IF(V843&lt;=400000,(V843-200000)*22.5%+1500+2250+26000,
IF(V843&lt;=600000,(V843-400000)*25%+1500+2250+26000+45000,
IF(AND(V843&gt;600000,V843&lt;=1200000),(V843-400000)*25%+1500+2250+26000+45000
+IFERROR(LOOKUP(V843,{600001;700001;800001;900001},{4000;6750;10250;15250}),0),IF(V843&gt;1200000,((V843-1200000)*27.5%)+300000,0)
)))))))</f>
        <v>0</v>
      </c>
      <c r="X843" s="12">
        <f t="shared" si="202"/>
        <v>0</v>
      </c>
      <c r="Y843" s="12">
        <f t="shared" si="203"/>
        <v>0</v>
      </c>
      <c r="Z843" s="11"/>
      <c r="AA843" s="13">
        <f t="shared" si="204"/>
        <v>0</v>
      </c>
      <c r="AB843" s="12">
        <f t="shared" si="205"/>
        <v>0</v>
      </c>
      <c r="AC843" s="14">
        <f t="shared" si="208"/>
        <v>0</v>
      </c>
      <c r="AE843" s="19">
        <f t="shared" si="206"/>
        <v>0</v>
      </c>
      <c r="AF843" s="19"/>
      <c r="AG843" s="17"/>
      <c r="AK843" s="7"/>
      <c r="AL843" s="108">
        <f t="shared" si="209"/>
        <v>0</v>
      </c>
      <c r="AM843" s="108">
        <f t="shared" si="210"/>
        <v>0</v>
      </c>
      <c r="AN843" s="113"/>
    </row>
    <row r="844" spans="2:40" x14ac:dyDescent="0.2">
      <c r="B844" s="7"/>
      <c r="C844" s="8"/>
      <c r="D844" s="8"/>
      <c r="E844" s="9"/>
      <c r="F844" s="6"/>
      <c r="G844" s="8"/>
      <c r="H844" s="32"/>
      <c r="I844" s="10" t="str">
        <f t="shared" si="207"/>
        <v>21</v>
      </c>
      <c r="J844" s="11">
        <v>1</v>
      </c>
      <c r="K844" s="11"/>
      <c r="L844" s="11"/>
      <c r="M844" s="11">
        <f t="shared" si="196"/>
        <v>0</v>
      </c>
      <c r="N844" s="11"/>
      <c r="O844" s="11">
        <f t="shared" si="197"/>
        <v>0</v>
      </c>
      <c r="P844" s="11"/>
      <c r="Q844" s="11"/>
      <c r="R844" s="11"/>
      <c r="S844" s="11">
        <f t="shared" si="198"/>
        <v>0</v>
      </c>
      <c r="T844" s="11">
        <f t="shared" si="199"/>
        <v>1666.6666666666667</v>
      </c>
      <c r="U844" s="11">
        <f t="shared" si="200"/>
        <v>0</v>
      </c>
      <c r="V844" s="24">
        <f t="shared" si="201"/>
        <v>0</v>
      </c>
      <c r="W844" s="11">
        <f>IF(V844&lt;=40000,0,
IF(V844&lt;=55000,(V844-40000)*10%,
IF(V844&lt;=70000,(V844-55000)*15%+1500,
IF(V844&lt;=200000,(V844-70000)*20%+1500+2250,
IF(V844&lt;=400000,(V844-200000)*22.5%+1500+2250+26000,
IF(V844&lt;=600000,(V844-400000)*25%+1500+2250+26000+45000,
IF(AND(V844&gt;600000,V844&lt;=1200000),(V844-400000)*25%+1500+2250+26000+45000
+IFERROR(LOOKUP(V844,{600001;700001;800001;900001},{4000;6750;10250;15250}),0),IF(V844&gt;1200000,((V844-1200000)*27.5%)+300000,0)
)))))))</f>
        <v>0</v>
      </c>
      <c r="X844" s="12">
        <f t="shared" si="202"/>
        <v>0</v>
      </c>
      <c r="Y844" s="12">
        <f t="shared" si="203"/>
        <v>0</v>
      </c>
      <c r="Z844" s="11"/>
      <c r="AA844" s="13">
        <f t="shared" si="204"/>
        <v>0</v>
      </c>
      <c r="AB844" s="12">
        <f t="shared" si="205"/>
        <v>0</v>
      </c>
      <c r="AC844" s="14">
        <f t="shared" si="208"/>
        <v>0</v>
      </c>
      <c r="AE844" s="19">
        <f t="shared" si="206"/>
        <v>0</v>
      </c>
      <c r="AF844" s="19"/>
      <c r="AG844" s="17"/>
      <c r="AK844" s="7"/>
      <c r="AL844" s="108">
        <f t="shared" si="209"/>
        <v>0</v>
      </c>
      <c r="AM844" s="108">
        <f t="shared" si="210"/>
        <v>0</v>
      </c>
      <c r="AN844" s="113"/>
    </row>
    <row r="845" spans="2:40" x14ac:dyDescent="0.2">
      <c r="B845" s="7"/>
      <c r="C845" s="8"/>
      <c r="D845" s="8"/>
      <c r="E845" s="9"/>
      <c r="F845" s="6"/>
      <c r="G845" s="8"/>
      <c r="H845" s="32"/>
      <c r="I845" s="10" t="str">
        <f t="shared" si="207"/>
        <v>21</v>
      </c>
      <c r="J845" s="11">
        <v>1</v>
      </c>
      <c r="K845" s="11"/>
      <c r="L845" s="11"/>
      <c r="M845" s="11">
        <f t="shared" si="196"/>
        <v>0</v>
      </c>
      <c r="N845" s="11"/>
      <c r="O845" s="11">
        <f t="shared" si="197"/>
        <v>0</v>
      </c>
      <c r="P845" s="11"/>
      <c r="Q845" s="11"/>
      <c r="R845" s="11"/>
      <c r="S845" s="11">
        <f t="shared" si="198"/>
        <v>0</v>
      </c>
      <c r="T845" s="11">
        <f t="shared" si="199"/>
        <v>1666.6666666666667</v>
      </c>
      <c r="U845" s="11">
        <f t="shared" si="200"/>
        <v>0</v>
      </c>
      <c r="V845" s="24">
        <f t="shared" si="201"/>
        <v>0</v>
      </c>
      <c r="W845" s="11">
        <f>IF(V845&lt;=40000,0,
IF(V845&lt;=55000,(V845-40000)*10%,
IF(V845&lt;=70000,(V845-55000)*15%+1500,
IF(V845&lt;=200000,(V845-70000)*20%+1500+2250,
IF(V845&lt;=400000,(V845-200000)*22.5%+1500+2250+26000,
IF(V845&lt;=600000,(V845-400000)*25%+1500+2250+26000+45000,
IF(AND(V845&gt;600000,V845&lt;=1200000),(V845-400000)*25%+1500+2250+26000+45000
+IFERROR(LOOKUP(V845,{600001;700001;800001;900001},{4000;6750;10250;15250}),0),IF(V845&gt;1200000,((V845-1200000)*27.5%)+300000,0)
)))))))</f>
        <v>0</v>
      </c>
      <c r="X845" s="12">
        <f t="shared" si="202"/>
        <v>0</v>
      </c>
      <c r="Y845" s="12">
        <f t="shared" si="203"/>
        <v>0</v>
      </c>
      <c r="Z845" s="11"/>
      <c r="AA845" s="13">
        <f t="shared" si="204"/>
        <v>0</v>
      </c>
      <c r="AB845" s="12">
        <f t="shared" si="205"/>
        <v>0</v>
      </c>
      <c r="AC845" s="14">
        <f t="shared" si="208"/>
        <v>0</v>
      </c>
      <c r="AE845" s="19">
        <f t="shared" si="206"/>
        <v>0</v>
      </c>
      <c r="AF845" s="19"/>
      <c r="AG845" s="17"/>
      <c r="AK845" s="7"/>
      <c r="AL845" s="108">
        <f t="shared" si="209"/>
        <v>0</v>
      </c>
      <c r="AM845" s="108">
        <f t="shared" si="210"/>
        <v>0</v>
      </c>
      <c r="AN845" s="113"/>
    </row>
    <row r="846" spans="2:40" x14ac:dyDescent="0.2">
      <c r="B846" s="7"/>
      <c r="C846" s="8"/>
      <c r="D846" s="8"/>
      <c r="E846" s="9"/>
      <c r="F846" s="6"/>
      <c r="G846" s="8"/>
      <c r="H846" s="32"/>
      <c r="I846" s="10" t="str">
        <f t="shared" si="207"/>
        <v>21</v>
      </c>
      <c r="J846" s="11">
        <v>1</v>
      </c>
      <c r="K846" s="11"/>
      <c r="L846" s="11"/>
      <c r="M846" s="11">
        <f t="shared" si="196"/>
        <v>0</v>
      </c>
      <c r="N846" s="11"/>
      <c r="O846" s="11">
        <f t="shared" si="197"/>
        <v>0</v>
      </c>
      <c r="P846" s="11"/>
      <c r="Q846" s="11"/>
      <c r="R846" s="11"/>
      <c r="S846" s="11">
        <f t="shared" si="198"/>
        <v>0</v>
      </c>
      <c r="T846" s="11">
        <f t="shared" si="199"/>
        <v>1666.6666666666667</v>
      </c>
      <c r="U846" s="11">
        <f t="shared" si="200"/>
        <v>0</v>
      </c>
      <c r="V846" s="24">
        <f t="shared" si="201"/>
        <v>0</v>
      </c>
      <c r="W846" s="11">
        <f>IF(V846&lt;=40000,0,
IF(V846&lt;=55000,(V846-40000)*10%,
IF(V846&lt;=70000,(V846-55000)*15%+1500,
IF(V846&lt;=200000,(V846-70000)*20%+1500+2250,
IF(V846&lt;=400000,(V846-200000)*22.5%+1500+2250+26000,
IF(V846&lt;=600000,(V846-400000)*25%+1500+2250+26000+45000,
IF(AND(V846&gt;600000,V846&lt;=1200000),(V846-400000)*25%+1500+2250+26000+45000
+IFERROR(LOOKUP(V846,{600001;700001;800001;900001},{4000;6750;10250;15250}),0),IF(V846&gt;1200000,((V846-1200000)*27.5%)+300000,0)
)))))))</f>
        <v>0</v>
      </c>
      <c r="X846" s="12">
        <f t="shared" si="202"/>
        <v>0</v>
      </c>
      <c r="Y846" s="12">
        <f t="shared" si="203"/>
        <v>0</v>
      </c>
      <c r="Z846" s="11"/>
      <c r="AA846" s="13">
        <f t="shared" si="204"/>
        <v>0</v>
      </c>
      <c r="AB846" s="12">
        <f t="shared" si="205"/>
        <v>0</v>
      </c>
      <c r="AC846" s="14">
        <f t="shared" si="208"/>
        <v>0</v>
      </c>
      <c r="AE846" s="19">
        <f t="shared" si="206"/>
        <v>0</v>
      </c>
      <c r="AF846" s="19"/>
      <c r="AG846" s="17"/>
      <c r="AK846" s="7"/>
      <c r="AL846" s="108">
        <f t="shared" si="209"/>
        <v>0</v>
      </c>
      <c r="AM846" s="108">
        <f t="shared" si="210"/>
        <v>0</v>
      </c>
      <c r="AN846" s="113"/>
    </row>
    <row r="847" spans="2:40" x14ac:dyDescent="0.2">
      <c r="B847" s="7"/>
      <c r="C847" s="8"/>
      <c r="D847" s="8"/>
      <c r="E847" s="9"/>
      <c r="F847" s="6"/>
      <c r="G847" s="8"/>
      <c r="H847" s="32"/>
      <c r="I847" s="10" t="str">
        <f t="shared" si="207"/>
        <v>21</v>
      </c>
      <c r="J847" s="11">
        <v>1</v>
      </c>
      <c r="K847" s="11"/>
      <c r="L847" s="11"/>
      <c r="M847" s="11">
        <f t="shared" si="196"/>
        <v>0</v>
      </c>
      <c r="N847" s="11"/>
      <c r="O847" s="11">
        <f t="shared" si="197"/>
        <v>0</v>
      </c>
      <c r="P847" s="11"/>
      <c r="Q847" s="11"/>
      <c r="R847" s="11"/>
      <c r="S847" s="11">
        <f t="shared" si="198"/>
        <v>0</v>
      </c>
      <c r="T847" s="11">
        <f t="shared" si="199"/>
        <v>1666.6666666666667</v>
      </c>
      <c r="U847" s="11">
        <f t="shared" si="200"/>
        <v>0</v>
      </c>
      <c r="V847" s="24">
        <f t="shared" si="201"/>
        <v>0</v>
      </c>
      <c r="W847" s="11">
        <f>IF(V847&lt;=40000,0,
IF(V847&lt;=55000,(V847-40000)*10%,
IF(V847&lt;=70000,(V847-55000)*15%+1500,
IF(V847&lt;=200000,(V847-70000)*20%+1500+2250,
IF(V847&lt;=400000,(V847-200000)*22.5%+1500+2250+26000,
IF(V847&lt;=600000,(V847-400000)*25%+1500+2250+26000+45000,
IF(AND(V847&gt;600000,V847&lt;=1200000),(V847-400000)*25%+1500+2250+26000+45000
+IFERROR(LOOKUP(V847,{600001;700001;800001;900001},{4000;6750;10250;15250}),0),IF(V847&gt;1200000,((V847-1200000)*27.5%)+300000,0)
)))))))</f>
        <v>0</v>
      </c>
      <c r="X847" s="12">
        <f t="shared" si="202"/>
        <v>0</v>
      </c>
      <c r="Y847" s="12">
        <f t="shared" si="203"/>
        <v>0</v>
      </c>
      <c r="Z847" s="11"/>
      <c r="AA847" s="13">
        <f t="shared" si="204"/>
        <v>0</v>
      </c>
      <c r="AB847" s="12">
        <f t="shared" si="205"/>
        <v>0</v>
      </c>
      <c r="AC847" s="14">
        <f t="shared" si="208"/>
        <v>0</v>
      </c>
      <c r="AE847" s="19">
        <f t="shared" si="206"/>
        <v>0</v>
      </c>
      <c r="AF847" s="19"/>
      <c r="AG847" s="17"/>
      <c r="AK847" s="7"/>
      <c r="AL847" s="108">
        <f t="shared" si="209"/>
        <v>0</v>
      </c>
      <c r="AM847" s="108">
        <f t="shared" si="210"/>
        <v>0</v>
      </c>
      <c r="AN847" s="113"/>
    </row>
    <row r="848" spans="2:40" x14ac:dyDescent="0.2">
      <c r="B848" s="7"/>
      <c r="C848" s="8"/>
      <c r="D848" s="8"/>
      <c r="E848" s="9"/>
      <c r="F848" s="6"/>
      <c r="G848" s="8"/>
      <c r="H848" s="32"/>
      <c r="I848" s="10" t="str">
        <f t="shared" si="207"/>
        <v>21</v>
      </c>
      <c r="J848" s="11">
        <v>1</v>
      </c>
      <c r="K848" s="11"/>
      <c r="L848" s="11"/>
      <c r="M848" s="11">
        <f t="shared" si="196"/>
        <v>0</v>
      </c>
      <c r="N848" s="11"/>
      <c r="O848" s="11">
        <f t="shared" si="197"/>
        <v>0</v>
      </c>
      <c r="P848" s="11"/>
      <c r="Q848" s="11"/>
      <c r="R848" s="11"/>
      <c r="S848" s="11">
        <f t="shared" si="198"/>
        <v>0</v>
      </c>
      <c r="T848" s="11">
        <f t="shared" si="199"/>
        <v>1666.6666666666667</v>
      </c>
      <c r="U848" s="11">
        <f t="shared" si="200"/>
        <v>0</v>
      </c>
      <c r="V848" s="24">
        <f t="shared" si="201"/>
        <v>0</v>
      </c>
      <c r="W848" s="11">
        <f>IF(V848&lt;=40000,0,
IF(V848&lt;=55000,(V848-40000)*10%,
IF(V848&lt;=70000,(V848-55000)*15%+1500,
IF(V848&lt;=200000,(V848-70000)*20%+1500+2250,
IF(V848&lt;=400000,(V848-200000)*22.5%+1500+2250+26000,
IF(V848&lt;=600000,(V848-400000)*25%+1500+2250+26000+45000,
IF(AND(V848&gt;600000,V848&lt;=1200000),(V848-400000)*25%+1500+2250+26000+45000
+IFERROR(LOOKUP(V848,{600001;700001;800001;900001},{4000;6750;10250;15250}),0),IF(V848&gt;1200000,((V848-1200000)*27.5%)+300000,0)
)))))))</f>
        <v>0</v>
      </c>
      <c r="X848" s="12">
        <f t="shared" si="202"/>
        <v>0</v>
      </c>
      <c r="Y848" s="12">
        <f t="shared" si="203"/>
        <v>0</v>
      </c>
      <c r="Z848" s="11"/>
      <c r="AA848" s="13">
        <f t="shared" si="204"/>
        <v>0</v>
      </c>
      <c r="AB848" s="12">
        <f t="shared" si="205"/>
        <v>0</v>
      </c>
      <c r="AC848" s="14">
        <f t="shared" si="208"/>
        <v>0</v>
      </c>
      <c r="AE848" s="19">
        <f t="shared" si="206"/>
        <v>0</v>
      </c>
      <c r="AF848" s="19"/>
      <c r="AG848" s="17"/>
      <c r="AK848" s="7"/>
      <c r="AL848" s="108">
        <f t="shared" si="209"/>
        <v>0</v>
      </c>
      <c r="AM848" s="108">
        <f t="shared" si="210"/>
        <v>0</v>
      </c>
      <c r="AN848" s="113"/>
    </row>
    <row r="849" spans="2:40" x14ac:dyDescent="0.2">
      <c r="B849" s="7"/>
      <c r="C849" s="8"/>
      <c r="D849" s="8"/>
      <c r="E849" s="9"/>
      <c r="F849" s="6"/>
      <c r="G849" s="8"/>
      <c r="H849" s="32"/>
      <c r="I849" s="10" t="str">
        <f t="shared" si="207"/>
        <v>21</v>
      </c>
      <c r="J849" s="11">
        <v>1</v>
      </c>
      <c r="K849" s="11"/>
      <c r="L849" s="11"/>
      <c r="M849" s="11">
        <f t="shared" si="196"/>
        <v>0</v>
      </c>
      <c r="N849" s="11"/>
      <c r="O849" s="11">
        <f t="shared" si="197"/>
        <v>0</v>
      </c>
      <c r="P849" s="11"/>
      <c r="Q849" s="11"/>
      <c r="R849" s="11"/>
      <c r="S849" s="11">
        <f t="shared" si="198"/>
        <v>0</v>
      </c>
      <c r="T849" s="11">
        <f t="shared" si="199"/>
        <v>1666.6666666666667</v>
      </c>
      <c r="U849" s="11">
        <f t="shared" si="200"/>
        <v>0</v>
      </c>
      <c r="V849" s="24">
        <f t="shared" si="201"/>
        <v>0</v>
      </c>
      <c r="W849" s="11">
        <f>IF(V849&lt;=40000,0,
IF(V849&lt;=55000,(V849-40000)*10%,
IF(V849&lt;=70000,(V849-55000)*15%+1500,
IF(V849&lt;=200000,(V849-70000)*20%+1500+2250,
IF(V849&lt;=400000,(V849-200000)*22.5%+1500+2250+26000,
IF(V849&lt;=600000,(V849-400000)*25%+1500+2250+26000+45000,
IF(AND(V849&gt;600000,V849&lt;=1200000),(V849-400000)*25%+1500+2250+26000+45000
+IFERROR(LOOKUP(V849,{600001;700001;800001;900001},{4000;6750;10250;15250}),0),IF(V849&gt;1200000,((V849-1200000)*27.5%)+300000,0)
)))))))</f>
        <v>0</v>
      </c>
      <c r="X849" s="12">
        <f t="shared" si="202"/>
        <v>0</v>
      </c>
      <c r="Y849" s="12">
        <f t="shared" si="203"/>
        <v>0</v>
      </c>
      <c r="Z849" s="11"/>
      <c r="AA849" s="13">
        <f t="shared" si="204"/>
        <v>0</v>
      </c>
      <c r="AB849" s="12">
        <f t="shared" si="205"/>
        <v>0</v>
      </c>
      <c r="AC849" s="14">
        <f t="shared" si="208"/>
        <v>0</v>
      </c>
      <c r="AE849" s="19">
        <f t="shared" si="206"/>
        <v>0</v>
      </c>
      <c r="AF849" s="19"/>
      <c r="AG849" s="17"/>
      <c r="AK849" s="7"/>
      <c r="AL849" s="108">
        <f t="shared" si="209"/>
        <v>0</v>
      </c>
      <c r="AM849" s="108">
        <f t="shared" si="210"/>
        <v>0</v>
      </c>
      <c r="AN849" s="113"/>
    </row>
    <row r="850" spans="2:40" x14ac:dyDescent="0.2">
      <c r="B850" s="7"/>
      <c r="C850" s="8"/>
      <c r="D850" s="8"/>
      <c r="E850" s="9"/>
      <c r="F850" s="6"/>
      <c r="G850" s="8"/>
      <c r="H850" s="32"/>
      <c r="I850" s="10" t="str">
        <f t="shared" si="207"/>
        <v>21</v>
      </c>
      <c r="J850" s="11">
        <v>1</v>
      </c>
      <c r="K850" s="11"/>
      <c r="L850" s="11"/>
      <c r="M850" s="11">
        <f t="shared" si="196"/>
        <v>0</v>
      </c>
      <c r="N850" s="11"/>
      <c r="O850" s="11">
        <f t="shared" si="197"/>
        <v>0</v>
      </c>
      <c r="P850" s="11"/>
      <c r="Q850" s="11"/>
      <c r="R850" s="11"/>
      <c r="S850" s="11">
        <f t="shared" si="198"/>
        <v>0</v>
      </c>
      <c r="T850" s="11">
        <f t="shared" si="199"/>
        <v>1666.6666666666667</v>
      </c>
      <c r="U850" s="11">
        <f t="shared" si="200"/>
        <v>0</v>
      </c>
      <c r="V850" s="24">
        <f t="shared" si="201"/>
        <v>0</v>
      </c>
      <c r="W850" s="11">
        <f>IF(V850&lt;=40000,0,
IF(V850&lt;=55000,(V850-40000)*10%,
IF(V850&lt;=70000,(V850-55000)*15%+1500,
IF(V850&lt;=200000,(V850-70000)*20%+1500+2250,
IF(V850&lt;=400000,(V850-200000)*22.5%+1500+2250+26000,
IF(V850&lt;=600000,(V850-400000)*25%+1500+2250+26000+45000,
IF(AND(V850&gt;600000,V850&lt;=1200000),(V850-400000)*25%+1500+2250+26000+45000
+IFERROR(LOOKUP(V850,{600001;700001;800001;900001},{4000;6750;10250;15250}),0),IF(V850&gt;1200000,((V850-1200000)*27.5%)+300000,0)
)))))))</f>
        <v>0</v>
      </c>
      <c r="X850" s="12">
        <f t="shared" si="202"/>
        <v>0</v>
      </c>
      <c r="Y850" s="12">
        <f t="shared" si="203"/>
        <v>0</v>
      </c>
      <c r="Z850" s="11"/>
      <c r="AA850" s="13">
        <f t="shared" si="204"/>
        <v>0</v>
      </c>
      <c r="AB850" s="12">
        <f t="shared" si="205"/>
        <v>0</v>
      </c>
      <c r="AC850" s="14">
        <f t="shared" si="208"/>
        <v>0</v>
      </c>
      <c r="AE850" s="19">
        <f t="shared" si="206"/>
        <v>0</v>
      </c>
      <c r="AF850" s="19"/>
      <c r="AG850" s="17"/>
      <c r="AK850" s="7"/>
      <c r="AL850" s="108">
        <f t="shared" si="209"/>
        <v>0</v>
      </c>
      <c r="AM850" s="108">
        <f t="shared" si="210"/>
        <v>0</v>
      </c>
      <c r="AN850" s="113"/>
    </row>
    <row r="851" spans="2:40" x14ac:dyDescent="0.2">
      <c r="B851" s="7"/>
      <c r="C851" s="8"/>
      <c r="D851" s="8"/>
      <c r="E851" s="9"/>
      <c r="F851" s="6"/>
      <c r="G851" s="8"/>
      <c r="H851" s="32"/>
      <c r="I851" s="10" t="str">
        <f t="shared" si="207"/>
        <v>21</v>
      </c>
      <c r="J851" s="11">
        <v>1</v>
      </c>
      <c r="K851" s="11"/>
      <c r="L851" s="11"/>
      <c r="M851" s="11">
        <f t="shared" si="196"/>
        <v>0</v>
      </c>
      <c r="N851" s="11"/>
      <c r="O851" s="11">
        <f t="shared" si="197"/>
        <v>0</v>
      </c>
      <c r="P851" s="11"/>
      <c r="Q851" s="11"/>
      <c r="R851" s="11"/>
      <c r="S851" s="11">
        <f t="shared" si="198"/>
        <v>0</v>
      </c>
      <c r="T851" s="11">
        <f t="shared" si="199"/>
        <v>1666.6666666666667</v>
      </c>
      <c r="U851" s="11">
        <f t="shared" si="200"/>
        <v>0</v>
      </c>
      <c r="V851" s="24">
        <f t="shared" si="201"/>
        <v>0</v>
      </c>
      <c r="W851" s="11">
        <f>IF(V851&lt;=40000,0,
IF(V851&lt;=55000,(V851-40000)*10%,
IF(V851&lt;=70000,(V851-55000)*15%+1500,
IF(V851&lt;=200000,(V851-70000)*20%+1500+2250,
IF(V851&lt;=400000,(V851-200000)*22.5%+1500+2250+26000,
IF(V851&lt;=600000,(V851-400000)*25%+1500+2250+26000+45000,
IF(AND(V851&gt;600000,V851&lt;=1200000),(V851-400000)*25%+1500+2250+26000+45000
+IFERROR(LOOKUP(V851,{600001;700001;800001;900001},{4000;6750;10250;15250}),0),IF(V851&gt;1200000,((V851-1200000)*27.5%)+300000,0)
)))))))</f>
        <v>0</v>
      </c>
      <c r="X851" s="12">
        <f t="shared" si="202"/>
        <v>0</v>
      </c>
      <c r="Y851" s="12">
        <f t="shared" si="203"/>
        <v>0</v>
      </c>
      <c r="Z851" s="11"/>
      <c r="AA851" s="13">
        <f t="shared" si="204"/>
        <v>0</v>
      </c>
      <c r="AB851" s="12">
        <f t="shared" si="205"/>
        <v>0</v>
      </c>
      <c r="AC851" s="14">
        <f t="shared" si="208"/>
        <v>0</v>
      </c>
      <c r="AE851" s="19">
        <f t="shared" si="206"/>
        <v>0</v>
      </c>
      <c r="AF851" s="19"/>
      <c r="AG851" s="17"/>
      <c r="AK851" s="7"/>
      <c r="AL851" s="108">
        <f t="shared" si="209"/>
        <v>0</v>
      </c>
      <c r="AM851" s="108">
        <f t="shared" si="210"/>
        <v>0</v>
      </c>
      <c r="AN851" s="113"/>
    </row>
    <row r="852" spans="2:40" x14ac:dyDescent="0.2">
      <c r="B852" s="7"/>
      <c r="C852" s="8"/>
      <c r="D852" s="8"/>
      <c r="E852" s="9"/>
      <c r="F852" s="6"/>
      <c r="G852" s="8"/>
      <c r="H852" s="32"/>
      <c r="I852" s="10" t="str">
        <f t="shared" si="207"/>
        <v>21</v>
      </c>
      <c r="J852" s="11">
        <v>1</v>
      </c>
      <c r="K852" s="11"/>
      <c r="L852" s="11"/>
      <c r="M852" s="11">
        <f t="shared" si="196"/>
        <v>0</v>
      </c>
      <c r="N852" s="11"/>
      <c r="O852" s="11">
        <f t="shared" si="197"/>
        <v>0</v>
      </c>
      <c r="P852" s="11"/>
      <c r="Q852" s="11"/>
      <c r="R852" s="11"/>
      <c r="S852" s="11">
        <f t="shared" si="198"/>
        <v>0</v>
      </c>
      <c r="T852" s="11">
        <f t="shared" si="199"/>
        <v>1666.6666666666667</v>
      </c>
      <c r="U852" s="11">
        <f t="shared" si="200"/>
        <v>0</v>
      </c>
      <c r="V852" s="24">
        <f t="shared" si="201"/>
        <v>0</v>
      </c>
      <c r="W852" s="11">
        <f>IF(V852&lt;=40000,0,
IF(V852&lt;=55000,(V852-40000)*10%,
IF(V852&lt;=70000,(V852-55000)*15%+1500,
IF(V852&lt;=200000,(V852-70000)*20%+1500+2250,
IF(V852&lt;=400000,(V852-200000)*22.5%+1500+2250+26000,
IF(V852&lt;=600000,(V852-400000)*25%+1500+2250+26000+45000,
IF(AND(V852&gt;600000,V852&lt;=1200000),(V852-400000)*25%+1500+2250+26000+45000
+IFERROR(LOOKUP(V852,{600001;700001;800001;900001},{4000;6750;10250;15250}),0),IF(V852&gt;1200000,((V852-1200000)*27.5%)+300000,0)
)))))))</f>
        <v>0</v>
      </c>
      <c r="X852" s="12">
        <f t="shared" si="202"/>
        <v>0</v>
      </c>
      <c r="Y852" s="12">
        <f t="shared" si="203"/>
        <v>0</v>
      </c>
      <c r="Z852" s="11"/>
      <c r="AA852" s="13">
        <f t="shared" si="204"/>
        <v>0</v>
      </c>
      <c r="AB852" s="12">
        <f t="shared" si="205"/>
        <v>0</v>
      </c>
      <c r="AC852" s="14">
        <f t="shared" si="208"/>
        <v>0</v>
      </c>
      <c r="AE852" s="19">
        <f t="shared" si="206"/>
        <v>0</v>
      </c>
      <c r="AF852" s="19"/>
      <c r="AG852" s="17"/>
      <c r="AK852" s="7"/>
      <c r="AL852" s="108">
        <f t="shared" si="209"/>
        <v>0</v>
      </c>
      <c r="AM852" s="108">
        <f t="shared" si="210"/>
        <v>0</v>
      </c>
      <c r="AN852" s="113"/>
    </row>
    <row r="853" spans="2:40" x14ac:dyDescent="0.2">
      <c r="B853" s="7"/>
      <c r="C853" s="8"/>
      <c r="D853" s="8"/>
      <c r="E853" s="9"/>
      <c r="F853" s="6"/>
      <c r="G853" s="8"/>
      <c r="H853" s="32"/>
      <c r="I853" s="10" t="str">
        <f t="shared" si="207"/>
        <v>21</v>
      </c>
      <c r="J853" s="11">
        <v>1</v>
      </c>
      <c r="K853" s="11"/>
      <c r="L853" s="11"/>
      <c r="M853" s="11">
        <f t="shared" si="196"/>
        <v>0</v>
      </c>
      <c r="N853" s="11"/>
      <c r="O853" s="11">
        <f t="shared" si="197"/>
        <v>0</v>
      </c>
      <c r="P853" s="11"/>
      <c r="Q853" s="11"/>
      <c r="R853" s="11"/>
      <c r="S853" s="11">
        <f t="shared" si="198"/>
        <v>0</v>
      </c>
      <c r="T853" s="11">
        <f t="shared" si="199"/>
        <v>1666.6666666666667</v>
      </c>
      <c r="U853" s="11">
        <f t="shared" si="200"/>
        <v>0</v>
      </c>
      <c r="V853" s="24">
        <f t="shared" si="201"/>
        <v>0</v>
      </c>
      <c r="W853" s="11">
        <f>IF(V853&lt;=40000,0,
IF(V853&lt;=55000,(V853-40000)*10%,
IF(V853&lt;=70000,(V853-55000)*15%+1500,
IF(V853&lt;=200000,(V853-70000)*20%+1500+2250,
IF(V853&lt;=400000,(V853-200000)*22.5%+1500+2250+26000,
IF(V853&lt;=600000,(V853-400000)*25%+1500+2250+26000+45000,
IF(AND(V853&gt;600000,V853&lt;=1200000),(V853-400000)*25%+1500+2250+26000+45000
+IFERROR(LOOKUP(V853,{600001;700001;800001;900001},{4000;6750;10250;15250}),0),IF(V853&gt;1200000,((V853-1200000)*27.5%)+300000,0)
)))))))</f>
        <v>0</v>
      </c>
      <c r="X853" s="12">
        <f t="shared" si="202"/>
        <v>0</v>
      </c>
      <c r="Y853" s="12">
        <f t="shared" si="203"/>
        <v>0</v>
      </c>
      <c r="Z853" s="11"/>
      <c r="AA853" s="13">
        <f t="shared" si="204"/>
        <v>0</v>
      </c>
      <c r="AB853" s="12">
        <f t="shared" si="205"/>
        <v>0</v>
      </c>
      <c r="AC853" s="14">
        <f t="shared" si="208"/>
        <v>0</v>
      </c>
      <c r="AE853" s="19">
        <f t="shared" si="206"/>
        <v>0</v>
      </c>
      <c r="AF853" s="19"/>
      <c r="AG853" s="17"/>
      <c r="AK853" s="7"/>
      <c r="AL853" s="108">
        <f t="shared" si="209"/>
        <v>0</v>
      </c>
      <c r="AM853" s="108">
        <f t="shared" si="210"/>
        <v>0</v>
      </c>
      <c r="AN853" s="113"/>
    </row>
    <row r="854" spans="2:40" x14ac:dyDescent="0.2">
      <c r="B854" s="7"/>
      <c r="C854" s="8"/>
      <c r="D854" s="8"/>
      <c r="E854" s="9"/>
      <c r="F854" s="6"/>
      <c r="G854" s="8"/>
      <c r="H854" s="32"/>
      <c r="I854" s="10" t="str">
        <f t="shared" si="207"/>
        <v>21</v>
      </c>
      <c r="J854" s="11">
        <v>1</v>
      </c>
      <c r="K854" s="11"/>
      <c r="L854" s="11"/>
      <c r="M854" s="11">
        <f t="shared" si="196"/>
        <v>0</v>
      </c>
      <c r="N854" s="11"/>
      <c r="O854" s="11">
        <f t="shared" si="197"/>
        <v>0</v>
      </c>
      <c r="P854" s="11"/>
      <c r="Q854" s="11"/>
      <c r="R854" s="11"/>
      <c r="S854" s="11">
        <f t="shared" si="198"/>
        <v>0</v>
      </c>
      <c r="T854" s="11">
        <f t="shared" si="199"/>
        <v>1666.6666666666667</v>
      </c>
      <c r="U854" s="11">
        <f t="shared" si="200"/>
        <v>0</v>
      </c>
      <c r="V854" s="24">
        <f t="shared" si="201"/>
        <v>0</v>
      </c>
      <c r="W854" s="11">
        <f>IF(V854&lt;=40000,0,
IF(V854&lt;=55000,(V854-40000)*10%,
IF(V854&lt;=70000,(V854-55000)*15%+1500,
IF(V854&lt;=200000,(V854-70000)*20%+1500+2250,
IF(V854&lt;=400000,(V854-200000)*22.5%+1500+2250+26000,
IF(V854&lt;=600000,(V854-400000)*25%+1500+2250+26000+45000,
IF(AND(V854&gt;600000,V854&lt;=1200000),(V854-400000)*25%+1500+2250+26000+45000
+IFERROR(LOOKUP(V854,{600001;700001;800001;900001},{4000;6750;10250;15250}),0),IF(V854&gt;1200000,((V854-1200000)*27.5%)+300000,0)
)))))))</f>
        <v>0</v>
      </c>
      <c r="X854" s="12">
        <f t="shared" si="202"/>
        <v>0</v>
      </c>
      <c r="Y854" s="12">
        <f t="shared" si="203"/>
        <v>0</v>
      </c>
      <c r="Z854" s="11"/>
      <c r="AA854" s="13">
        <f t="shared" si="204"/>
        <v>0</v>
      </c>
      <c r="AB854" s="12">
        <f t="shared" si="205"/>
        <v>0</v>
      </c>
      <c r="AC854" s="14">
        <f t="shared" si="208"/>
        <v>0</v>
      </c>
      <c r="AE854" s="19">
        <f t="shared" si="206"/>
        <v>0</v>
      </c>
      <c r="AF854" s="19"/>
      <c r="AG854" s="17"/>
      <c r="AK854" s="7"/>
      <c r="AL854" s="108">
        <f t="shared" si="209"/>
        <v>0</v>
      </c>
      <c r="AM854" s="108">
        <f t="shared" si="210"/>
        <v>0</v>
      </c>
      <c r="AN854" s="113"/>
    </row>
    <row r="855" spans="2:40" x14ac:dyDescent="0.2">
      <c r="B855" s="7"/>
      <c r="C855" s="8"/>
      <c r="D855" s="8"/>
      <c r="E855" s="9"/>
      <c r="F855" s="6"/>
      <c r="G855" s="8"/>
      <c r="H855" s="32"/>
      <c r="I855" s="10" t="str">
        <f t="shared" si="207"/>
        <v>21</v>
      </c>
      <c r="J855" s="11">
        <v>1</v>
      </c>
      <c r="K855" s="11"/>
      <c r="L855" s="11"/>
      <c r="M855" s="11">
        <f t="shared" si="196"/>
        <v>0</v>
      </c>
      <c r="N855" s="11"/>
      <c r="O855" s="11">
        <f t="shared" si="197"/>
        <v>0</v>
      </c>
      <c r="P855" s="11"/>
      <c r="Q855" s="11"/>
      <c r="R855" s="11"/>
      <c r="S855" s="11">
        <f t="shared" si="198"/>
        <v>0</v>
      </c>
      <c r="T855" s="11">
        <f t="shared" si="199"/>
        <v>1666.6666666666667</v>
      </c>
      <c r="U855" s="11">
        <f t="shared" si="200"/>
        <v>0</v>
      </c>
      <c r="V855" s="24">
        <f t="shared" si="201"/>
        <v>0</v>
      </c>
      <c r="W855" s="11">
        <f>IF(V855&lt;=40000,0,
IF(V855&lt;=55000,(V855-40000)*10%,
IF(V855&lt;=70000,(V855-55000)*15%+1500,
IF(V855&lt;=200000,(V855-70000)*20%+1500+2250,
IF(V855&lt;=400000,(V855-200000)*22.5%+1500+2250+26000,
IF(V855&lt;=600000,(V855-400000)*25%+1500+2250+26000+45000,
IF(AND(V855&gt;600000,V855&lt;=1200000),(V855-400000)*25%+1500+2250+26000+45000
+IFERROR(LOOKUP(V855,{600001;700001;800001;900001},{4000;6750;10250;15250}),0),IF(V855&gt;1200000,((V855-1200000)*27.5%)+300000,0)
)))))))</f>
        <v>0</v>
      </c>
      <c r="X855" s="12">
        <f t="shared" si="202"/>
        <v>0</v>
      </c>
      <c r="Y855" s="12">
        <f t="shared" si="203"/>
        <v>0</v>
      </c>
      <c r="Z855" s="11"/>
      <c r="AA855" s="13">
        <f t="shared" si="204"/>
        <v>0</v>
      </c>
      <c r="AB855" s="12">
        <f t="shared" si="205"/>
        <v>0</v>
      </c>
      <c r="AC855" s="14">
        <f t="shared" si="208"/>
        <v>0</v>
      </c>
      <c r="AE855" s="19">
        <f t="shared" si="206"/>
        <v>0</v>
      </c>
      <c r="AF855" s="19"/>
      <c r="AG855" s="17"/>
      <c r="AK855" s="7"/>
      <c r="AL855" s="108">
        <f t="shared" si="209"/>
        <v>0</v>
      </c>
      <c r="AM855" s="108">
        <f t="shared" si="210"/>
        <v>0</v>
      </c>
      <c r="AN855" s="113"/>
    </row>
    <row r="856" spans="2:40" x14ac:dyDescent="0.2">
      <c r="B856" s="7"/>
      <c r="C856" s="8"/>
      <c r="D856" s="8"/>
      <c r="E856" s="9"/>
      <c r="F856" s="6"/>
      <c r="G856" s="8"/>
      <c r="H856" s="32"/>
      <c r="I856" s="10" t="str">
        <f t="shared" si="207"/>
        <v>21</v>
      </c>
      <c r="J856" s="11">
        <v>1</v>
      </c>
      <c r="K856" s="11"/>
      <c r="L856" s="11"/>
      <c r="M856" s="11">
        <f t="shared" si="196"/>
        <v>0</v>
      </c>
      <c r="N856" s="11"/>
      <c r="O856" s="11">
        <f t="shared" si="197"/>
        <v>0</v>
      </c>
      <c r="P856" s="11"/>
      <c r="Q856" s="11"/>
      <c r="R856" s="11"/>
      <c r="S856" s="11">
        <f t="shared" si="198"/>
        <v>0</v>
      </c>
      <c r="T856" s="11">
        <f t="shared" si="199"/>
        <v>1666.6666666666667</v>
      </c>
      <c r="U856" s="11">
        <f t="shared" si="200"/>
        <v>0</v>
      </c>
      <c r="V856" s="24">
        <f t="shared" si="201"/>
        <v>0</v>
      </c>
      <c r="W856" s="11">
        <f>IF(V856&lt;=40000,0,
IF(V856&lt;=55000,(V856-40000)*10%,
IF(V856&lt;=70000,(V856-55000)*15%+1500,
IF(V856&lt;=200000,(V856-70000)*20%+1500+2250,
IF(V856&lt;=400000,(V856-200000)*22.5%+1500+2250+26000,
IF(V856&lt;=600000,(V856-400000)*25%+1500+2250+26000+45000,
IF(AND(V856&gt;600000,V856&lt;=1200000),(V856-400000)*25%+1500+2250+26000+45000
+IFERROR(LOOKUP(V856,{600001;700001;800001;900001},{4000;6750;10250;15250}),0),IF(V856&gt;1200000,((V856-1200000)*27.5%)+300000,0)
)))))))</f>
        <v>0</v>
      </c>
      <c r="X856" s="12">
        <f t="shared" si="202"/>
        <v>0</v>
      </c>
      <c r="Y856" s="12">
        <f t="shared" si="203"/>
        <v>0</v>
      </c>
      <c r="Z856" s="11"/>
      <c r="AA856" s="13">
        <f t="shared" si="204"/>
        <v>0</v>
      </c>
      <c r="AB856" s="12">
        <f t="shared" si="205"/>
        <v>0</v>
      </c>
      <c r="AC856" s="14">
        <f t="shared" si="208"/>
        <v>0</v>
      </c>
      <c r="AE856" s="19">
        <f t="shared" si="206"/>
        <v>0</v>
      </c>
      <c r="AF856" s="19"/>
      <c r="AG856" s="17"/>
      <c r="AK856" s="7"/>
      <c r="AL856" s="108">
        <f t="shared" si="209"/>
        <v>0</v>
      </c>
      <c r="AM856" s="108">
        <f t="shared" si="210"/>
        <v>0</v>
      </c>
      <c r="AN856" s="113"/>
    </row>
    <row r="857" spans="2:40" x14ac:dyDescent="0.2">
      <c r="B857" s="7"/>
      <c r="C857" s="8"/>
      <c r="D857" s="8"/>
      <c r="E857" s="9"/>
      <c r="F857" s="6"/>
      <c r="G857" s="8"/>
      <c r="H857" s="32"/>
      <c r="I857" s="10" t="str">
        <f t="shared" si="207"/>
        <v>21</v>
      </c>
      <c r="J857" s="11">
        <v>1</v>
      </c>
      <c r="K857" s="11"/>
      <c r="L857" s="11"/>
      <c r="M857" s="11">
        <f t="shared" si="196"/>
        <v>0</v>
      </c>
      <c r="N857" s="11"/>
      <c r="O857" s="11">
        <f t="shared" si="197"/>
        <v>0</v>
      </c>
      <c r="P857" s="11"/>
      <c r="Q857" s="11"/>
      <c r="R857" s="11"/>
      <c r="S857" s="11">
        <f t="shared" si="198"/>
        <v>0</v>
      </c>
      <c r="T857" s="11">
        <f t="shared" si="199"/>
        <v>1666.6666666666667</v>
      </c>
      <c r="U857" s="11">
        <f t="shared" si="200"/>
        <v>0</v>
      </c>
      <c r="V857" s="24">
        <f t="shared" si="201"/>
        <v>0</v>
      </c>
      <c r="W857" s="11">
        <f>IF(V857&lt;=40000,0,
IF(V857&lt;=55000,(V857-40000)*10%,
IF(V857&lt;=70000,(V857-55000)*15%+1500,
IF(V857&lt;=200000,(V857-70000)*20%+1500+2250,
IF(V857&lt;=400000,(V857-200000)*22.5%+1500+2250+26000,
IF(V857&lt;=600000,(V857-400000)*25%+1500+2250+26000+45000,
IF(AND(V857&gt;600000,V857&lt;=1200000),(V857-400000)*25%+1500+2250+26000+45000
+IFERROR(LOOKUP(V857,{600001;700001;800001;900001},{4000;6750;10250;15250}),0),IF(V857&gt;1200000,((V857-1200000)*27.5%)+300000,0)
)))))))</f>
        <v>0</v>
      </c>
      <c r="X857" s="12">
        <f t="shared" si="202"/>
        <v>0</v>
      </c>
      <c r="Y857" s="12">
        <f t="shared" si="203"/>
        <v>0</v>
      </c>
      <c r="Z857" s="11"/>
      <c r="AA857" s="13">
        <f t="shared" si="204"/>
        <v>0</v>
      </c>
      <c r="AB857" s="12">
        <f t="shared" si="205"/>
        <v>0</v>
      </c>
      <c r="AC857" s="14">
        <f t="shared" si="208"/>
        <v>0</v>
      </c>
      <c r="AE857" s="19">
        <f t="shared" si="206"/>
        <v>0</v>
      </c>
      <c r="AF857" s="19"/>
      <c r="AG857" s="17"/>
      <c r="AK857" s="7"/>
      <c r="AL857" s="108">
        <f t="shared" si="209"/>
        <v>0</v>
      </c>
      <c r="AM857" s="108">
        <f t="shared" si="210"/>
        <v>0</v>
      </c>
      <c r="AN857" s="113"/>
    </row>
    <row r="858" spans="2:40" x14ac:dyDescent="0.2">
      <c r="B858" s="7"/>
      <c r="C858" s="8"/>
      <c r="D858" s="8"/>
      <c r="E858" s="9"/>
      <c r="F858" s="6"/>
      <c r="G858" s="8"/>
      <c r="H858" s="32"/>
      <c r="I858" s="10" t="str">
        <f t="shared" si="207"/>
        <v>21</v>
      </c>
      <c r="J858" s="11">
        <v>1</v>
      </c>
      <c r="K858" s="11"/>
      <c r="L858" s="11"/>
      <c r="M858" s="11">
        <f t="shared" si="196"/>
        <v>0</v>
      </c>
      <c r="N858" s="11"/>
      <c r="O858" s="11">
        <f t="shared" si="197"/>
        <v>0</v>
      </c>
      <c r="P858" s="11"/>
      <c r="Q858" s="11"/>
      <c r="R858" s="11"/>
      <c r="S858" s="11">
        <f t="shared" si="198"/>
        <v>0</v>
      </c>
      <c r="T858" s="11">
        <f t="shared" si="199"/>
        <v>1666.6666666666667</v>
      </c>
      <c r="U858" s="11">
        <f t="shared" si="200"/>
        <v>0</v>
      </c>
      <c r="V858" s="24">
        <f t="shared" si="201"/>
        <v>0</v>
      </c>
      <c r="W858" s="11">
        <f>IF(V858&lt;=40000,0,
IF(V858&lt;=55000,(V858-40000)*10%,
IF(V858&lt;=70000,(V858-55000)*15%+1500,
IF(V858&lt;=200000,(V858-70000)*20%+1500+2250,
IF(V858&lt;=400000,(V858-200000)*22.5%+1500+2250+26000,
IF(V858&lt;=600000,(V858-400000)*25%+1500+2250+26000+45000,
IF(AND(V858&gt;600000,V858&lt;=1200000),(V858-400000)*25%+1500+2250+26000+45000
+IFERROR(LOOKUP(V858,{600001;700001;800001;900001},{4000;6750;10250;15250}),0),IF(V858&gt;1200000,((V858-1200000)*27.5%)+300000,0)
)))))))</f>
        <v>0</v>
      </c>
      <c r="X858" s="12">
        <f t="shared" si="202"/>
        <v>0</v>
      </c>
      <c r="Y858" s="12">
        <f t="shared" si="203"/>
        <v>0</v>
      </c>
      <c r="Z858" s="11"/>
      <c r="AA858" s="13">
        <f t="shared" si="204"/>
        <v>0</v>
      </c>
      <c r="AB858" s="12">
        <f t="shared" si="205"/>
        <v>0</v>
      </c>
      <c r="AC858" s="14">
        <f t="shared" si="208"/>
        <v>0</v>
      </c>
      <c r="AE858" s="19">
        <f t="shared" si="206"/>
        <v>0</v>
      </c>
      <c r="AF858" s="19"/>
      <c r="AG858" s="17"/>
      <c r="AK858" s="7"/>
      <c r="AL858" s="108">
        <f t="shared" si="209"/>
        <v>0</v>
      </c>
      <c r="AM858" s="108">
        <f t="shared" si="210"/>
        <v>0</v>
      </c>
      <c r="AN858" s="113"/>
    </row>
    <row r="859" spans="2:40" x14ac:dyDescent="0.2">
      <c r="B859" s="7"/>
      <c r="C859" s="8"/>
      <c r="D859" s="8"/>
      <c r="E859" s="9"/>
      <c r="F859" s="6"/>
      <c r="G859" s="8"/>
      <c r="H859" s="32"/>
      <c r="I859" s="10" t="str">
        <f t="shared" si="207"/>
        <v>21</v>
      </c>
      <c r="J859" s="11">
        <v>1</v>
      </c>
      <c r="K859" s="11"/>
      <c r="L859" s="11"/>
      <c r="M859" s="11">
        <f t="shared" si="196"/>
        <v>0</v>
      </c>
      <c r="N859" s="11"/>
      <c r="O859" s="11">
        <f t="shared" si="197"/>
        <v>0</v>
      </c>
      <c r="P859" s="11"/>
      <c r="Q859" s="11"/>
      <c r="R859" s="11"/>
      <c r="S859" s="11">
        <f t="shared" si="198"/>
        <v>0</v>
      </c>
      <c r="T859" s="11">
        <f t="shared" si="199"/>
        <v>1666.6666666666667</v>
      </c>
      <c r="U859" s="11">
        <f t="shared" si="200"/>
        <v>0</v>
      </c>
      <c r="V859" s="24">
        <f t="shared" si="201"/>
        <v>0</v>
      </c>
      <c r="W859" s="11">
        <f>IF(V859&lt;=40000,0,
IF(V859&lt;=55000,(V859-40000)*10%,
IF(V859&lt;=70000,(V859-55000)*15%+1500,
IF(V859&lt;=200000,(V859-70000)*20%+1500+2250,
IF(V859&lt;=400000,(V859-200000)*22.5%+1500+2250+26000,
IF(V859&lt;=600000,(V859-400000)*25%+1500+2250+26000+45000,
IF(AND(V859&gt;600000,V859&lt;=1200000),(V859-400000)*25%+1500+2250+26000+45000
+IFERROR(LOOKUP(V859,{600001;700001;800001;900001},{4000;6750;10250;15250}),0),IF(V859&gt;1200000,((V859-1200000)*27.5%)+300000,0)
)))))))</f>
        <v>0</v>
      </c>
      <c r="X859" s="12">
        <f t="shared" si="202"/>
        <v>0</v>
      </c>
      <c r="Y859" s="12">
        <f t="shared" si="203"/>
        <v>0</v>
      </c>
      <c r="Z859" s="11"/>
      <c r="AA859" s="13">
        <f t="shared" si="204"/>
        <v>0</v>
      </c>
      <c r="AB859" s="12">
        <f t="shared" si="205"/>
        <v>0</v>
      </c>
      <c r="AC859" s="14">
        <f t="shared" si="208"/>
        <v>0</v>
      </c>
      <c r="AE859" s="19">
        <f t="shared" si="206"/>
        <v>0</v>
      </c>
      <c r="AF859" s="19"/>
      <c r="AG859" s="17"/>
      <c r="AK859" s="7"/>
      <c r="AL859" s="108">
        <f t="shared" si="209"/>
        <v>0</v>
      </c>
      <c r="AM859" s="108">
        <f t="shared" si="210"/>
        <v>0</v>
      </c>
      <c r="AN859" s="113"/>
    </row>
    <row r="860" spans="2:40" x14ac:dyDescent="0.2">
      <c r="B860" s="7"/>
      <c r="C860" s="8"/>
      <c r="D860" s="8"/>
      <c r="E860" s="9"/>
      <c r="F860" s="6"/>
      <c r="G860" s="8"/>
      <c r="H860" s="32"/>
      <c r="I860" s="10" t="str">
        <f t="shared" si="207"/>
        <v>21</v>
      </c>
      <c r="J860" s="11">
        <v>1</v>
      </c>
      <c r="K860" s="11"/>
      <c r="L860" s="11"/>
      <c r="M860" s="11">
        <f t="shared" si="196"/>
        <v>0</v>
      </c>
      <c r="N860" s="11"/>
      <c r="O860" s="11">
        <f t="shared" si="197"/>
        <v>0</v>
      </c>
      <c r="P860" s="11"/>
      <c r="Q860" s="11"/>
      <c r="R860" s="11"/>
      <c r="S860" s="11">
        <f t="shared" si="198"/>
        <v>0</v>
      </c>
      <c r="T860" s="11">
        <f t="shared" si="199"/>
        <v>1666.6666666666667</v>
      </c>
      <c r="U860" s="11">
        <f t="shared" si="200"/>
        <v>0</v>
      </c>
      <c r="V860" s="24">
        <f t="shared" si="201"/>
        <v>0</v>
      </c>
      <c r="W860" s="11">
        <f>IF(V860&lt;=40000,0,
IF(V860&lt;=55000,(V860-40000)*10%,
IF(V860&lt;=70000,(V860-55000)*15%+1500,
IF(V860&lt;=200000,(V860-70000)*20%+1500+2250,
IF(V860&lt;=400000,(V860-200000)*22.5%+1500+2250+26000,
IF(V860&lt;=600000,(V860-400000)*25%+1500+2250+26000+45000,
IF(AND(V860&gt;600000,V860&lt;=1200000),(V860-400000)*25%+1500+2250+26000+45000
+IFERROR(LOOKUP(V860,{600001;700001;800001;900001},{4000;6750;10250;15250}),0),IF(V860&gt;1200000,((V860-1200000)*27.5%)+300000,0)
)))))))</f>
        <v>0</v>
      </c>
      <c r="X860" s="12">
        <f t="shared" si="202"/>
        <v>0</v>
      </c>
      <c r="Y860" s="12">
        <f t="shared" si="203"/>
        <v>0</v>
      </c>
      <c r="Z860" s="11"/>
      <c r="AA860" s="13">
        <f t="shared" si="204"/>
        <v>0</v>
      </c>
      <c r="AB860" s="12">
        <f t="shared" si="205"/>
        <v>0</v>
      </c>
      <c r="AC860" s="14">
        <f t="shared" si="208"/>
        <v>0</v>
      </c>
      <c r="AE860" s="19">
        <f t="shared" si="206"/>
        <v>0</v>
      </c>
      <c r="AF860" s="19"/>
      <c r="AG860" s="17"/>
      <c r="AK860" s="7"/>
      <c r="AL860" s="108">
        <f t="shared" si="209"/>
        <v>0</v>
      </c>
      <c r="AM860" s="108">
        <f t="shared" si="210"/>
        <v>0</v>
      </c>
      <c r="AN860" s="113"/>
    </row>
    <row r="861" spans="2:40" x14ac:dyDescent="0.2">
      <c r="B861" s="7"/>
      <c r="C861" s="8"/>
      <c r="D861" s="8"/>
      <c r="E861" s="9"/>
      <c r="F861" s="6"/>
      <c r="G861" s="8"/>
      <c r="H861" s="32"/>
      <c r="I861" s="10" t="str">
        <f t="shared" si="207"/>
        <v>21</v>
      </c>
      <c r="J861" s="11">
        <v>1</v>
      </c>
      <c r="K861" s="11"/>
      <c r="L861" s="11"/>
      <c r="M861" s="11">
        <f t="shared" ref="M861:M924" si="211">SUM(K861:L861)</f>
        <v>0</v>
      </c>
      <c r="N861" s="11"/>
      <c r="O861" s="11">
        <f t="shared" ref="O861:O924" si="212">+N861+M861</f>
        <v>0</v>
      </c>
      <c r="P861" s="11"/>
      <c r="Q861" s="11"/>
      <c r="R861" s="11"/>
      <c r="S861" s="11">
        <f t="shared" ref="S861:S924" si="213">O861-P861-Q861-R861</f>
        <v>0</v>
      </c>
      <c r="T861" s="11">
        <f t="shared" ref="T861:T924" si="214">IF(J861&gt;0,(20000/12*J861),0)</f>
        <v>1666.6666666666667</v>
      </c>
      <c r="U861" s="11">
        <f t="shared" ref="U861:U924" si="215">IF(AND(J861&gt;0,S861-T861&gt;0),S861-T861,0)</f>
        <v>0</v>
      </c>
      <c r="V861" s="24">
        <f t="shared" ref="V861:V924" si="216">IF(J861=0,0,(U861/J861*12))</f>
        <v>0</v>
      </c>
      <c r="W861" s="11">
        <f>IF(V861&lt;=40000,0,
IF(V861&lt;=55000,(V861-40000)*10%,
IF(V861&lt;=70000,(V861-55000)*15%+1500,
IF(V861&lt;=200000,(V861-70000)*20%+1500+2250,
IF(V861&lt;=400000,(V861-200000)*22.5%+1500+2250+26000,
IF(V861&lt;=600000,(V861-400000)*25%+1500+2250+26000+45000,
IF(AND(V861&gt;600000,V861&lt;=1200000),(V861-400000)*25%+1500+2250+26000+45000
+IFERROR(LOOKUP(V861,{600001;700001;800001;900001},{4000;6750;10250;15250}),0),IF(V861&gt;1200000,((V861-1200000)*27.5%)+300000,0)
)))))))</f>
        <v>0</v>
      </c>
      <c r="X861" s="12">
        <f t="shared" ref="X861:X924" si="217">N861*0.1</f>
        <v>0</v>
      </c>
      <c r="Y861" s="12">
        <f t="shared" ref="Y861:Y924" si="218">(W861/12*J861)-X861</f>
        <v>0</v>
      </c>
      <c r="Z861" s="11"/>
      <c r="AA861" s="13">
        <f t="shared" ref="AA861:AA924" si="219">+O861-P861-Y861-Z861</f>
        <v>0</v>
      </c>
      <c r="AB861" s="12">
        <f t="shared" ref="AB861:AB924" si="220">(P861/0.11)*18.75%</f>
        <v>0</v>
      </c>
      <c r="AC861" s="14">
        <f t="shared" si="208"/>
        <v>0</v>
      </c>
      <c r="AE861" s="19">
        <f t="shared" ref="AE861:AE924" si="221">+AD861-AC861</f>
        <v>0</v>
      </c>
      <c r="AF861" s="19"/>
      <c r="AG861" s="17"/>
      <c r="AK861" s="7"/>
      <c r="AL861" s="108">
        <f t="shared" si="209"/>
        <v>0</v>
      </c>
      <c r="AM861" s="108">
        <f t="shared" si="210"/>
        <v>0</v>
      </c>
      <c r="AN861" s="113"/>
    </row>
    <row r="862" spans="2:40" x14ac:dyDescent="0.2">
      <c r="B862" s="7"/>
      <c r="C862" s="8"/>
      <c r="D862" s="8"/>
      <c r="E862" s="9"/>
      <c r="F862" s="6"/>
      <c r="G862" s="8"/>
      <c r="H862" s="32"/>
      <c r="I862" s="10" t="str">
        <f t="shared" si="207"/>
        <v>21</v>
      </c>
      <c r="J862" s="11">
        <v>1</v>
      </c>
      <c r="K862" s="11"/>
      <c r="L862" s="11"/>
      <c r="M862" s="11">
        <f t="shared" si="211"/>
        <v>0</v>
      </c>
      <c r="N862" s="11"/>
      <c r="O862" s="11">
        <f t="shared" si="212"/>
        <v>0</v>
      </c>
      <c r="P862" s="11"/>
      <c r="Q862" s="11"/>
      <c r="R862" s="11"/>
      <c r="S862" s="11">
        <f t="shared" si="213"/>
        <v>0</v>
      </c>
      <c r="T862" s="11">
        <f t="shared" si="214"/>
        <v>1666.6666666666667</v>
      </c>
      <c r="U862" s="11">
        <f t="shared" si="215"/>
        <v>0</v>
      </c>
      <c r="V862" s="24">
        <f t="shared" si="216"/>
        <v>0</v>
      </c>
      <c r="W862" s="11">
        <f>IF(V862&lt;=40000,0,
IF(V862&lt;=55000,(V862-40000)*10%,
IF(V862&lt;=70000,(V862-55000)*15%+1500,
IF(V862&lt;=200000,(V862-70000)*20%+1500+2250,
IF(V862&lt;=400000,(V862-200000)*22.5%+1500+2250+26000,
IF(V862&lt;=600000,(V862-400000)*25%+1500+2250+26000+45000,
IF(AND(V862&gt;600000,V862&lt;=1200000),(V862-400000)*25%+1500+2250+26000+45000
+IFERROR(LOOKUP(V862,{600001;700001;800001;900001},{4000;6750;10250;15250}),0),IF(V862&gt;1200000,((V862-1200000)*27.5%)+300000,0)
)))))))</f>
        <v>0</v>
      </c>
      <c r="X862" s="12">
        <f t="shared" si="217"/>
        <v>0</v>
      </c>
      <c r="Y862" s="12">
        <f t="shared" si="218"/>
        <v>0</v>
      </c>
      <c r="Z862" s="11"/>
      <c r="AA862" s="13">
        <f t="shared" si="219"/>
        <v>0</v>
      </c>
      <c r="AB862" s="12">
        <f t="shared" si="220"/>
        <v>0</v>
      </c>
      <c r="AC862" s="14">
        <f t="shared" si="208"/>
        <v>0</v>
      </c>
      <c r="AE862" s="19">
        <f t="shared" si="221"/>
        <v>0</v>
      </c>
      <c r="AF862" s="19"/>
      <c r="AG862" s="17"/>
      <c r="AK862" s="7"/>
      <c r="AL862" s="108">
        <f t="shared" si="209"/>
        <v>0</v>
      </c>
      <c r="AM862" s="108">
        <f t="shared" si="210"/>
        <v>0</v>
      </c>
      <c r="AN862" s="113"/>
    </row>
    <row r="863" spans="2:40" x14ac:dyDescent="0.2">
      <c r="B863" s="7"/>
      <c r="C863" s="8"/>
      <c r="D863" s="8"/>
      <c r="E863" s="9"/>
      <c r="F863" s="6"/>
      <c r="G863" s="8"/>
      <c r="H863" s="32"/>
      <c r="I863" s="10" t="str">
        <f t="shared" si="207"/>
        <v>21</v>
      </c>
      <c r="J863" s="11">
        <v>1</v>
      </c>
      <c r="K863" s="11"/>
      <c r="L863" s="11"/>
      <c r="M863" s="11">
        <f t="shared" si="211"/>
        <v>0</v>
      </c>
      <c r="N863" s="11"/>
      <c r="O863" s="11">
        <f t="shared" si="212"/>
        <v>0</v>
      </c>
      <c r="P863" s="11"/>
      <c r="Q863" s="11"/>
      <c r="R863" s="11"/>
      <c r="S863" s="11">
        <f t="shared" si="213"/>
        <v>0</v>
      </c>
      <c r="T863" s="11">
        <f t="shared" si="214"/>
        <v>1666.6666666666667</v>
      </c>
      <c r="U863" s="11">
        <f t="shared" si="215"/>
        <v>0</v>
      </c>
      <c r="V863" s="24">
        <f t="shared" si="216"/>
        <v>0</v>
      </c>
      <c r="W863" s="11">
        <f>IF(V863&lt;=40000,0,
IF(V863&lt;=55000,(V863-40000)*10%,
IF(V863&lt;=70000,(V863-55000)*15%+1500,
IF(V863&lt;=200000,(V863-70000)*20%+1500+2250,
IF(V863&lt;=400000,(V863-200000)*22.5%+1500+2250+26000,
IF(V863&lt;=600000,(V863-400000)*25%+1500+2250+26000+45000,
IF(AND(V863&gt;600000,V863&lt;=1200000),(V863-400000)*25%+1500+2250+26000+45000
+IFERROR(LOOKUP(V863,{600001;700001;800001;900001},{4000;6750;10250;15250}),0),IF(V863&gt;1200000,((V863-1200000)*27.5%)+300000,0)
)))))))</f>
        <v>0</v>
      </c>
      <c r="X863" s="12">
        <f t="shared" si="217"/>
        <v>0</v>
      </c>
      <c r="Y863" s="12">
        <f t="shared" si="218"/>
        <v>0</v>
      </c>
      <c r="Z863" s="11"/>
      <c r="AA863" s="13">
        <f t="shared" si="219"/>
        <v>0</v>
      </c>
      <c r="AB863" s="12">
        <f t="shared" si="220"/>
        <v>0</v>
      </c>
      <c r="AC863" s="14">
        <f t="shared" si="208"/>
        <v>0</v>
      </c>
      <c r="AE863" s="19">
        <f t="shared" si="221"/>
        <v>0</v>
      </c>
      <c r="AF863" s="19"/>
      <c r="AG863" s="17"/>
      <c r="AK863" s="7"/>
      <c r="AL863" s="108">
        <f t="shared" si="209"/>
        <v>0</v>
      </c>
      <c r="AM863" s="108">
        <f t="shared" si="210"/>
        <v>0</v>
      </c>
      <c r="AN863" s="113"/>
    </row>
    <row r="864" spans="2:40" x14ac:dyDescent="0.2">
      <c r="B864" s="7"/>
      <c r="C864" s="8"/>
      <c r="D864" s="8"/>
      <c r="E864" s="9"/>
      <c r="F864" s="6"/>
      <c r="G864" s="8"/>
      <c r="H864" s="32"/>
      <c r="I864" s="10" t="str">
        <f t="shared" si="207"/>
        <v>21</v>
      </c>
      <c r="J864" s="11">
        <v>1</v>
      </c>
      <c r="K864" s="11"/>
      <c r="L864" s="11"/>
      <c r="M864" s="11">
        <f t="shared" si="211"/>
        <v>0</v>
      </c>
      <c r="N864" s="11"/>
      <c r="O864" s="11">
        <f t="shared" si="212"/>
        <v>0</v>
      </c>
      <c r="P864" s="11"/>
      <c r="Q864" s="11"/>
      <c r="R864" s="11"/>
      <c r="S864" s="11">
        <f t="shared" si="213"/>
        <v>0</v>
      </c>
      <c r="T864" s="11">
        <f t="shared" si="214"/>
        <v>1666.6666666666667</v>
      </c>
      <c r="U864" s="11">
        <f t="shared" si="215"/>
        <v>0</v>
      </c>
      <c r="V864" s="24">
        <f t="shared" si="216"/>
        <v>0</v>
      </c>
      <c r="W864" s="11">
        <f>IF(V864&lt;=40000,0,
IF(V864&lt;=55000,(V864-40000)*10%,
IF(V864&lt;=70000,(V864-55000)*15%+1500,
IF(V864&lt;=200000,(V864-70000)*20%+1500+2250,
IF(V864&lt;=400000,(V864-200000)*22.5%+1500+2250+26000,
IF(V864&lt;=600000,(V864-400000)*25%+1500+2250+26000+45000,
IF(AND(V864&gt;600000,V864&lt;=1200000),(V864-400000)*25%+1500+2250+26000+45000
+IFERROR(LOOKUP(V864,{600001;700001;800001;900001},{4000;6750;10250;15250}),0),IF(V864&gt;1200000,((V864-1200000)*27.5%)+300000,0)
)))))))</f>
        <v>0</v>
      </c>
      <c r="X864" s="12">
        <f t="shared" si="217"/>
        <v>0</v>
      </c>
      <c r="Y864" s="12">
        <f t="shared" si="218"/>
        <v>0</v>
      </c>
      <c r="Z864" s="11"/>
      <c r="AA864" s="13">
        <f t="shared" si="219"/>
        <v>0</v>
      </c>
      <c r="AB864" s="12">
        <f t="shared" si="220"/>
        <v>0</v>
      </c>
      <c r="AC864" s="14">
        <f t="shared" si="208"/>
        <v>0</v>
      </c>
      <c r="AE864" s="19">
        <f t="shared" si="221"/>
        <v>0</v>
      </c>
      <c r="AF864" s="19"/>
      <c r="AG864" s="17"/>
      <c r="AK864" s="7"/>
      <c r="AL864" s="108">
        <f t="shared" si="209"/>
        <v>0</v>
      </c>
      <c r="AM864" s="108">
        <f t="shared" si="210"/>
        <v>0</v>
      </c>
      <c r="AN864" s="113"/>
    </row>
    <row r="865" spans="2:40" x14ac:dyDescent="0.2">
      <c r="B865" s="7"/>
      <c r="C865" s="8"/>
      <c r="D865" s="8"/>
      <c r="E865" s="9"/>
      <c r="F865" s="6"/>
      <c r="G865" s="8"/>
      <c r="H865" s="32"/>
      <c r="I865" s="10" t="str">
        <f t="shared" si="207"/>
        <v>21</v>
      </c>
      <c r="J865" s="11">
        <v>1</v>
      </c>
      <c r="K865" s="11"/>
      <c r="L865" s="11"/>
      <c r="M865" s="11">
        <f t="shared" si="211"/>
        <v>0</v>
      </c>
      <c r="N865" s="11"/>
      <c r="O865" s="11">
        <f t="shared" si="212"/>
        <v>0</v>
      </c>
      <c r="P865" s="11"/>
      <c r="Q865" s="11"/>
      <c r="R865" s="11"/>
      <c r="S865" s="11">
        <f t="shared" si="213"/>
        <v>0</v>
      </c>
      <c r="T865" s="11">
        <f t="shared" si="214"/>
        <v>1666.6666666666667</v>
      </c>
      <c r="U865" s="11">
        <f t="shared" si="215"/>
        <v>0</v>
      </c>
      <c r="V865" s="24">
        <f t="shared" si="216"/>
        <v>0</v>
      </c>
      <c r="W865" s="11">
        <f>IF(V865&lt;=40000,0,
IF(V865&lt;=55000,(V865-40000)*10%,
IF(V865&lt;=70000,(V865-55000)*15%+1500,
IF(V865&lt;=200000,(V865-70000)*20%+1500+2250,
IF(V865&lt;=400000,(V865-200000)*22.5%+1500+2250+26000,
IF(V865&lt;=600000,(V865-400000)*25%+1500+2250+26000+45000,
IF(AND(V865&gt;600000,V865&lt;=1200000),(V865-400000)*25%+1500+2250+26000+45000
+IFERROR(LOOKUP(V865,{600001;700001;800001;900001},{4000;6750;10250;15250}),0),IF(V865&gt;1200000,((V865-1200000)*27.5%)+300000,0)
)))))))</f>
        <v>0</v>
      </c>
      <c r="X865" s="12">
        <f t="shared" si="217"/>
        <v>0</v>
      </c>
      <c r="Y865" s="12">
        <f t="shared" si="218"/>
        <v>0</v>
      </c>
      <c r="Z865" s="11"/>
      <c r="AA865" s="13">
        <f t="shared" si="219"/>
        <v>0</v>
      </c>
      <c r="AB865" s="12">
        <f t="shared" si="220"/>
        <v>0</v>
      </c>
      <c r="AC865" s="14">
        <f t="shared" si="208"/>
        <v>0</v>
      </c>
      <c r="AE865" s="19">
        <f t="shared" si="221"/>
        <v>0</v>
      </c>
      <c r="AF865" s="19"/>
      <c r="AG865" s="17"/>
      <c r="AK865" s="7"/>
      <c r="AL865" s="108">
        <f t="shared" si="209"/>
        <v>0</v>
      </c>
      <c r="AM865" s="108">
        <f t="shared" si="210"/>
        <v>0</v>
      </c>
      <c r="AN865" s="113"/>
    </row>
    <row r="866" spans="2:40" x14ac:dyDescent="0.2">
      <c r="B866" s="7"/>
      <c r="C866" s="8"/>
      <c r="D866" s="8"/>
      <c r="E866" s="9"/>
      <c r="F866" s="6"/>
      <c r="G866" s="8"/>
      <c r="H866" s="32"/>
      <c r="I866" s="10" t="str">
        <f t="shared" si="207"/>
        <v>21</v>
      </c>
      <c r="J866" s="11">
        <v>1</v>
      </c>
      <c r="K866" s="11"/>
      <c r="L866" s="11"/>
      <c r="M866" s="11">
        <f t="shared" si="211"/>
        <v>0</v>
      </c>
      <c r="N866" s="11"/>
      <c r="O866" s="11">
        <f t="shared" si="212"/>
        <v>0</v>
      </c>
      <c r="P866" s="11"/>
      <c r="Q866" s="11"/>
      <c r="R866" s="11"/>
      <c r="S866" s="11">
        <f t="shared" si="213"/>
        <v>0</v>
      </c>
      <c r="T866" s="11">
        <f t="shared" si="214"/>
        <v>1666.6666666666667</v>
      </c>
      <c r="U866" s="11">
        <f t="shared" si="215"/>
        <v>0</v>
      </c>
      <c r="V866" s="24">
        <f t="shared" si="216"/>
        <v>0</v>
      </c>
      <c r="W866" s="11">
        <f>IF(V866&lt;=40000,0,
IF(V866&lt;=55000,(V866-40000)*10%,
IF(V866&lt;=70000,(V866-55000)*15%+1500,
IF(V866&lt;=200000,(V866-70000)*20%+1500+2250,
IF(V866&lt;=400000,(V866-200000)*22.5%+1500+2250+26000,
IF(V866&lt;=600000,(V866-400000)*25%+1500+2250+26000+45000,
IF(AND(V866&gt;600000,V866&lt;=1200000),(V866-400000)*25%+1500+2250+26000+45000
+IFERROR(LOOKUP(V866,{600001;700001;800001;900001},{4000;6750;10250;15250}),0),IF(V866&gt;1200000,((V866-1200000)*27.5%)+300000,0)
)))))))</f>
        <v>0</v>
      </c>
      <c r="X866" s="12">
        <f t="shared" si="217"/>
        <v>0</v>
      </c>
      <c r="Y866" s="12">
        <f t="shared" si="218"/>
        <v>0</v>
      </c>
      <c r="Z866" s="11"/>
      <c r="AA866" s="13">
        <f t="shared" si="219"/>
        <v>0</v>
      </c>
      <c r="AB866" s="12">
        <f t="shared" si="220"/>
        <v>0</v>
      </c>
      <c r="AC866" s="14">
        <f t="shared" si="208"/>
        <v>0</v>
      </c>
      <c r="AE866" s="19">
        <f t="shared" si="221"/>
        <v>0</v>
      </c>
      <c r="AF866" s="19"/>
      <c r="AG866" s="17"/>
      <c r="AK866" s="7"/>
      <c r="AL866" s="108">
        <f t="shared" si="209"/>
        <v>0</v>
      </c>
      <c r="AM866" s="108">
        <f t="shared" si="210"/>
        <v>0</v>
      </c>
      <c r="AN866" s="113"/>
    </row>
    <row r="867" spans="2:40" x14ac:dyDescent="0.2">
      <c r="B867" s="7"/>
      <c r="C867" s="8"/>
      <c r="D867" s="8"/>
      <c r="E867" s="9"/>
      <c r="F867" s="6"/>
      <c r="G867" s="8"/>
      <c r="H867" s="32"/>
      <c r="I867" s="10" t="str">
        <f t="shared" si="207"/>
        <v>21</v>
      </c>
      <c r="J867" s="11">
        <v>1</v>
      </c>
      <c r="K867" s="11"/>
      <c r="L867" s="11"/>
      <c r="M867" s="11">
        <f t="shared" si="211"/>
        <v>0</v>
      </c>
      <c r="N867" s="11"/>
      <c r="O867" s="11">
        <f t="shared" si="212"/>
        <v>0</v>
      </c>
      <c r="P867" s="11"/>
      <c r="Q867" s="11"/>
      <c r="R867" s="11"/>
      <c r="S867" s="11">
        <f t="shared" si="213"/>
        <v>0</v>
      </c>
      <c r="T867" s="11">
        <f t="shared" si="214"/>
        <v>1666.6666666666667</v>
      </c>
      <c r="U867" s="11">
        <f t="shared" si="215"/>
        <v>0</v>
      </c>
      <c r="V867" s="24">
        <f t="shared" si="216"/>
        <v>0</v>
      </c>
      <c r="W867" s="11">
        <f>IF(V867&lt;=40000,0,
IF(V867&lt;=55000,(V867-40000)*10%,
IF(V867&lt;=70000,(V867-55000)*15%+1500,
IF(V867&lt;=200000,(V867-70000)*20%+1500+2250,
IF(V867&lt;=400000,(V867-200000)*22.5%+1500+2250+26000,
IF(V867&lt;=600000,(V867-400000)*25%+1500+2250+26000+45000,
IF(AND(V867&gt;600000,V867&lt;=1200000),(V867-400000)*25%+1500+2250+26000+45000
+IFERROR(LOOKUP(V867,{600001;700001;800001;900001},{4000;6750;10250;15250}),0),IF(V867&gt;1200000,((V867-1200000)*27.5%)+300000,0)
)))))))</f>
        <v>0</v>
      </c>
      <c r="X867" s="12">
        <f t="shared" si="217"/>
        <v>0</v>
      </c>
      <c r="Y867" s="12">
        <f t="shared" si="218"/>
        <v>0</v>
      </c>
      <c r="Z867" s="11"/>
      <c r="AA867" s="13">
        <f t="shared" si="219"/>
        <v>0</v>
      </c>
      <c r="AB867" s="12">
        <f t="shared" si="220"/>
        <v>0</v>
      </c>
      <c r="AC867" s="14">
        <f t="shared" si="208"/>
        <v>0</v>
      </c>
      <c r="AE867" s="19">
        <f t="shared" si="221"/>
        <v>0</v>
      </c>
      <c r="AF867" s="19"/>
      <c r="AG867" s="17"/>
      <c r="AK867" s="7"/>
      <c r="AL867" s="108">
        <f t="shared" si="209"/>
        <v>0</v>
      </c>
      <c r="AM867" s="108">
        <f t="shared" si="210"/>
        <v>0</v>
      </c>
      <c r="AN867" s="113"/>
    </row>
    <row r="868" spans="2:40" x14ac:dyDescent="0.2">
      <c r="B868" s="7"/>
      <c r="C868" s="8"/>
      <c r="D868" s="8"/>
      <c r="E868" s="9"/>
      <c r="F868" s="6"/>
      <c r="G868" s="8"/>
      <c r="H868" s="32"/>
      <c r="I868" s="10" t="str">
        <f t="shared" si="207"/>
        <v>21</v>
      </c>
      <c r="J868" s="11">
        <v>1</v>
      </c>
      <c r="K868" s="11"/>
      <c r="L868" s="11"/>
      <c r="M868" s="11">
        <f t="shared" si="211"/>
        <v>0</v>
      </c>
      <c r="N868" s="11"/>
      <c r="O868" s="11">
        <f t="shared" si="212"/>
        <v>0</v>
      </c>
      <c r="P868" s="11"/>
      <c r="Q868" s="11"/>
      <c r="R868" s="11"/>
      <c r="S868" s="11">
        <f t="shared" si="213"/>
        <v>0</v>
      </c>
      <c r="T868" s="11">
        <f t="shared" si="214"/>
        <v>1666.6666666666667</v>
      </c>
      <c r="U868" s="11">
        <f t="shared" si="215"/>
        <v>0</v>
      </c>
      <c r="V868" s="24">
        <f t="shared" si="216"/>
        <v>0</v>
      </c>
      <c r="W868" s="11">
        <f>IF(V868&lt;=40000,0,
IF(V868&lt;=55000,(V868-40000)*10%,
IF(V868&lt;=70000,(V868-55000)*15%+1500,
IF(V868&lt;=200000,(V868-70000)*20%+1500+2250,
IF(V868&lt;=400000,(V868-200000)*22.5%+1500+2250+26000,
IF(V868&lt;=600000,(V868-400000)*25%+1500+2250+26000+45000,
IF(AND(V868&gt;600000,V868&lt;=1200000),(V868-400000)*25%+1500+2250+26000+45000
+IFERROR(LOOKUP(V868,{600001;700001;800001;900001},{4000;6750;10250;15250}),0),IF(V868&gt;1200000,((V868-1200000)*27.5%)+300000,0)
)))))))</f>
        <v>0</v>
      </c>
      <c r="X868" s="12">
        <f t="shared" si="217"/>
        <v>0</v>
      </c>
      <c r="Y868" s="12">
        <f t="shared" si="218"/>
        <v>0</v>
      </c>
      <c r="Z868" s="11"/>
      <c r="AA868" s="13">
        <f t="shared" si="219"/>
        <v>0</v>
      </c>
      <c r="AB868" s="12">
        <f t="shared" si="220"/>
        <v>0</v>
      </c>
      <c r="AC868" s="14">
        <f t="shared" si="208"/>
        <v>0</v>
      </c>
      <c r="AE868" s="19">
        <f t="shared" si="221"/>
        <v>0</v>
      </c>
      <c r="AF868" s="19"/>
      <c r="AG868" s="17"/>
      <c r="AK868" s="7"/>
      <c r="AL868" s="108">
        <f t="shared" si="209"/>
        <v>0</v>
      </c>
      <c r="AM868" s="108">
        <f t="shared" si="210"/>
        <v>0</v>
      </c>
      <c r="AN868" s="113"/>
    </row>
    <row r="869" spans="2:40" x14ac:dyDescent="0.2">
      <c r="B869" s="7"/>
      <c r="C869" s="8"/>
      <c r="D869" s="8"/>
      <c r="E869" s="9"/>
      <c r="F869" s="6"/>
      <c r="G869" s="8"/>
      <c r="H869" s="32"/>
      <c r="I869" s="10" t="str">
        <f t="shared" si="207"/>
        <v>21</v>
      </c>
      <c r="J869" s="11">
        <v>1</v>
      </c>
      <c r="K869" s="11"/>
      <c r="L869" s="11"/>
      <c r="M869" s="11">
        <f t="shared" si="211"/>
        <v>0</v>
      </c>
      <c r="N869" s="11"/>
      <c r="O869" s="11">
        <f t="shared" si="212"/>
        <v>0</v>
      </c>
      <c r="P869" s="11"/>
      <c r="Q869" s="11"/>
      <c r="R869" s="11"/>
      <c r="S869" s="11">
        <f t="shared" si="213"/>
        <v>0</v>
      </c>
      <c r="T869" s="11">
        <f t="shared" si="214"/>
        <v>1666.6666666666667</v>
      </c>
      <c r="U869" s="11">
        <f t="shared" si="215"/>
        <v>0</v>
      </c>
      <c r="V869" s="24">
        <f t="shared" si="216"/>
        <v>0</v>
      </c>
      <c r="W869" s="11">
        <f>IF(V869&lt;=40000,0,
IF(V869&lt;=55000,(V869-40000)*10%,
IF(V869&lt;=70000,(V869-55000)*15%+1500,
IF(V869&lt;=200000,(V869-70000)*20%+1500+2250,
IF(V869&lt;=400000,(V869-200000)*22.5%+1500+2250+26000,
IF(V869&lt;=600000,(V869-400000)*25%+1500+2250+26000+45000,
IF(AND(V869&gt;600000,V869&lt;=1200000),(V869-400000)*25%+1500+2250+26000+45000
+IFERROR(LOOKUP(V869,{600001;700001;800001;900001},{4000;6750;10250;15250}),0),IF(V869&gt;1200000,((V869-1200000)*27.5%)+300000,0)
)))))))</f>
        <v>0</v>
      </c>
      <c r="X869" s="12">
        <f t="shared" si="217"/>
        <v>0</v>
      </c>
      <c r="Y869" s="12">
        <f t="shared" si="218"/>
        <v>0</v>
      </c>
      <c r="Z869" s="11"/>
      <c r="AA869" s="13">
        <f t="shared" si="219"/>
        <v>0</v>
      </c>
      <c r="AB869" s="12">
        <f t="shared" si="220"/>
        <v>0</v>
      </c>
      <c r="AC869" s="14">
        <f t="shared" si="208"/>
        <v>0</v>
      </c>
      <c r="AE869" s="19">
        <f t="shared" si="221"/>
        <v>0</v>
      </c>
      <c r="AF869" s="19"/>
      <c r="AG869" s="17"/>
      <c r="AK869" s="7"/>
      <c r="AL869" s="108">
        <f t="shared" si="209"/>
        <v>0</v>
      </c>
      <c r="AM869" s="108">
        <f t="shared" si="210"/>
        <v>0</v>
      </c>
      <c r="AN869" s="113"/>
    </row>
    <row r="870" spans="2:40" x14ac:dyDescent="0.2">
      <c r="B870" s="7"/>
      <c r="C870" s="8"/>
      <c r="D870" s="8"/>
      <c r="E870" s="9"/>
      <c r="F870" s="6"/>
      <c r="G870" s="8"/>
      <c r="H870" s="32"/>
      <c r="I870" s="10" t="str">
        <f t="shared" si="207"/>
        <v>21</v>
      </c>
      <c r="J870" s="11">
        <v>1</v>
      </c>
      <c r="K870" s="11"/>
      <c r="L870" s="11"/>
      <c r="M870" s="11">
        <f t="shared" si="211"/>
        <v>0</v>
      </c>
      <c r="N870" s="11"/>
      <c r="O870" s="11">
        <f t="shared" si="212"/>
        <v>0</v>
      </c>
      <c r="P870" s="11"/>
      <c r="Q870" s="11"/>
      <c r="R870" s="11"/>
      <c r="S870" s="11">
        <f t="shared" si="213"/>
        <v>0</v>
      </c>
      <c r="T870" s="11">
        <f t="shared" si="214"/>
        <v>1666.6666666666667</v>
      </c>
      <c r="U870" s="11">
        <f t="shared" si="215"/>
        <v>0</v>
      </c>
      <c r="V870" s="24">
        <f t="shared" si="216"/>
        <v>0</v>
      </c>
      <c r="W870" s="11">
        <f>IF(V870&lt;=40000,0,
IF(V870&lt;=55000,(V870-40000)*10%,
IF(V870&lt;=70000,(V870-55000)*15%+1500,
IF(V870&lt;=200000,(V870-70000)*20%+1500+2250,
IF(V870&lt;=400000,(V870-200000)*22.5%+1500+2250+26000,
IF(V870&lt;=600000,(V870-400000)*25%+1500+2250+26000+45000,
IF(AND(V870&gt;600000,V870&lt;=1200000),(V870-400000)*25%+1500+2250+26000+45000
+IFERROR(LOOKUP(V870,{600001;700001;800001;900001},{4000;6750;10250;15250}),0),IF(V870&gt;1200000,((V870-1200000)*27.5%)+300000,0)
)))))))</f>
        <v>0</v>
      </c>
      <c r="X870" s="12">
        <f t="shared" si="217"/>
        <v>0</v>
      </c>
      <c r="Y870" s="12">
        <f t="shared" si="218"/>
        <v>0</v>
      </c>
      <c r="Z870" s="11"/>
      <c r="AA870" s="13">
        <f t="shared" si="219"/>
        <v>0</v>
      </c>
      <c r="AB870" s="12">
        <f t="shared" si="220"/>
        <v>0</v>
      </c>
      <c r="AC870" s="14">
        <f t="shared" si="208"/>
        <v>0</v>
      </c>
      <c r="AE870" s="19">
        <f t="shared" si="221"/>
        <v>0</v>
      </c>
      <c r="AF870" s="19"/>
      <c r="AG870" s="17"/>
      <c r="AK870" s="7"/>
      <c r="AL870" s="108">
        <f t="shared" si="209"/>
        <v>0</v>
      </c>
      <c r="AM870" s="108">
        <f t="shared" si="210"/>
        <v>0</v>
      </c>
      <c r="AN870" s="113"/>
    </row>
    <row r="871" spans="2:40" x14ac:dyDescent="0.2">
      <c r="B871" s="7"/>
      <c r="C871" s="8"/>
      <c r="D871" s="8"/>
      <c r="E871" s="9"/>
      <c r="F871" s="6"/>
      <c r="G871" s="8"/>
      <c r="H871" s="32"/>
      <c r="I871" s="10" t="str">
        <f t="shared" si="207"/>
        <v>21</v>
      </c>
      <c r="J871" s="11">
        <v>1</v>
      </c>
      <c r="K871" s="11"/>
      <c r="L871" s="11"/>
      <c r="M871" s="11">
        <f t="shared" si="211"/>
        <v>0</v>
      </c>
      <c r="N871" s="11"/>
      <c r="O871" s="11">
        <f t="shared" si="212"/>
        <v>0</v>
      </c>
      <c r="P871" s="11"/>
      <c r="Q871" s="11"/>
      <c r="R871" s="11"/>
      <c r="S871" s="11">
        <f t="shared" si="213"/>
        <v>0</v>
      </c>
      <c r="T871" s="11">
        <f t="shared" si="214"/>
        <v>1666.6666666666667</v>
      </c>
      <c r="U871" s="11">
        <f t="shared" si="215"/>
        <v>0</v>
      </c>
      <c r="V871" s="24">
        <f t="shared" si="216"/>
        <v>0</v>
      </c>
      <c r="W871" s="11">
        <f>IF(V871&lt;=40000,0,
IF(V871&lt;=55000,(V871-40000)*10%,
IF(V871&lt;=70000,(V871-55000)*15%+1500,
IF(V871&lt;=200000,(V871-70000)*20%+1500+2250,
IF(V871&lt;=400000,(V871-200000)*22.5%+1500+2250+26000,
IF(V871&lt;=600000,(V871-400000)*25%+1500+2250+26000+45000,
IF(AND(V871&gt;600000,V871&lt;=1200000),(V871-400000)*25%+1500+2250+26000+45000
+IFERROR(LOOKUP(V871,{600001;700001;800001;900001},{4000;6750;10250;15250}),0),IF(V871&gt;1200000,((V871-1200000)*27.5%)+300000,0)
)))))))</f>
        <v>0</v>
      </c>
      <c r="X871" s="12">
        <f t="shared" si="217"/>
        <v>0</v>
      </c>
      <c r="Y871" s="12">
        <f t="shared" si="218"/>
        <v>0</v>
      </c>
      <c r="Z871" s="11"/>
      <c r="AA871" s="13">
        <f t="shared" si="219"/>
        <v>0</v>
      </c>
      <c r="AB871" s="12">
        <f t="shared" si="220"/>
        <v>0</v>
      </c>
      <c r="AC871" s="14">
        <f t="shared" si="208"/>
        <v>0</v>
      </c>
      <c r="AE871" s="19">
        <f t="shared" si="221"/>
        <v>0</v>
      </c>
      <c r="AF871" s="19"/>
      <c r="AG871" s="17"/>
      <c r="AK871" s="7"/>
      <c r="AL871" s="108">
        <f t="shared" si="209"/>
        <v>0</v>
      </c>
      <c r="AM871" s="108">
        <f t="shared" si="210"/>
        <v>0</v>
      </c>
      <c r="AN871" s="113"/>
    </row>
    <row r="872" spans="2:40" x14ac:dyDescent="0.2">
      <c r="B872" s="7"/>
      <c r="C872" s="8"/>
      <c r="D872" s="8"/>
      <c r="E872" s="9"/>
      <c r="F872" s="6"/>
      <c r="G872" s="8"/>
      <c r="H872" s="32"/>
      <c r="I872" s="10" t="str">
        <f t="shared" si="207"/>
        <v>21</v>
      </c>
      <c r="J872" s="11">
        <v>1</v>
      </c>
      <c r="K872" s="11"/>
      <c r="L872" s="11"/>
      <c r="M872" s="11">
        <f t="shared" si="211"/>
        <v>0</v>
      </c>
      <c r="N872" s="11"/>
      <c r="O872" s="11">
        <f t="shared" si="212"/>
        <v>0</v>
      </c>
      <c r="P872" s="11"/>
      <c r="Q872" s="11"/>
      <c r="R872" s="11"/>
      <c r="S872" s="11">
        <f t="shared" si="213"/>
        <v>0</v>
      </c>
      <c r="T872" s="11">
        <f t="shared" si="214"/>
        <v>1666.6666666666667</v>
      </c>
      <c r="U872" s="11">
        <f t="shared" si="215"/>
        <v>0</v>
      </c>
      <c r="V872" s="24">
        <f t="shared" si="216"/>
        <v>0</v>
      </c>
      <c r="W872" s="11">
        <f>IF(V872&lt;=40000,0,
IF(V872&lt;=55000,(V872-40000)*10%,
IF(V872&lt;=70000,(V872-55000)*15%+1500,
IF(V872&lt;=200000,(V872-70000)*20%+1500+2250,
IF(V872&lt;=400000,(V872-200000)*22.5%+1500+2250+26000,
IF(V872&lt;=600000,(V872-400000)*25%+1500+2250+26000+45000,
IF(AND(V872&gt;600000,V872&lt;=1200000),(V872-400000)*25%+1500+2250+26000+45000
+IFERROR(LOOKUP(V872,{600001;700001;800001;900001},{4000;6750;10250;15250}),0),IF(V872&gt;1200000,((V872-1200000)*27.5%)+300000,0)
)))))))</f>
        <v>0</v>
      </c>
      <c r="X872" s="12">
        <f t="shared" si="217"/>
        <v>0</v>
      </c>
      <c r="Y872" s="12">
        <f t="shared" si="218"/>
        <v>0</v>
      </c>
      <c r="Z872" s="11"/>
      <c r="AA872" s="13">
        <f t="shared" si="219"/>
        <v>0</v>
      </c>
      <c r="AB872" s="12">
        <f t="shared" si="220"/>
        <v>0</v>
      </c>
      <c r="AC872" s="14">
        <f t="shared" si="208"/>
        <v>0</v>
      </c>
      <c r="AE872" s="19">
        <f t="shared" si="221"/>
        <v>0</v>
      </c>
      <c r="AF872" s="19"/>
      <c r="AG872" s="17"/>
      <c r="AK872" s="7"/>
      <c r="AL872" s="108">
        <f t="shared" si="209"/>
        <v>0</v>
      </c>
      <c r="AM872" s="108">
        <f t="shared" si="210"/>
        <v>0</v>
      </c>
      <c r="AN872" s="113"/>
    </row>
    <row r="873" spans="2:40" x14ac:dyDescent="0.2">
      <c r="B873" s="7"/>
      <c r="C873" s="8"/>
      <c r="D873" s="8"/>
      <c r="E873" s="9"/>
      <c r="F873" s="6"/>
      <c r="G873" s="8"/>
      <c r="H873" s="32"/>
      <c r="I873" s="10" t="str">
        <f t="shared" si="207"/>
        <v>21</v>
      </c>
      <c r="J873" s="11">
        <v>1</v>
      </c>
      <c r="K873" s="11"/>
      <c r="L873" s="11"/>
      <c r="M873" s="11">
        <f t="shared" si="211"/>
        <v>0</v>
      </c>
      <c r="N873" s="11"/>
      <c r="O873" s="11">
        <f t="shared" si="212"/>
        <v>0</v>
      </c>
      <c r="P873" s="11"/>
      <c r="Q873" s="11"/>
      <c r="R873" s="11"/>
      <c r="S873" s="11">
        <f t="shared" si="213"/>
        <v>0</v>
      </c>
      <c r="T873" s="11">
        <f t="shared" si="214"/>
        <v>1666.6666666666667</v>
      </c>
      <c r="U873" s="11">
        <f t="shared" si="215"/>
        <v>0</v>
      </c>
      <c r="V873" s="24">
        <f t="shared" si="216"/>
        <v>0</v>
      </c>
      <c r="W873" s="11">
        <f>IF(V873&lt;=40000,0,
IF(V873&lt;=55000,(V873-40000)*10%,
IF(V873&lt;=70000,(V873-55000)*15%+1500,
IF(V873&lt;=200000,(V873-70000)*20%+1500+2250,
IF(V873&lt;=400000,(V873-200000)*22.5%+1500+2250+26000,
IF(V873&lt;=600000,(V873-400000)*25%+1500+2250+26000+45000,
IF(AND(V873&gt;600000,V873&lt;=1200000),(V873-400000)*25%+1500+2250+26000+45000
+IFERROR(LOOKUP(V873,{600001;700001;800001;900001},{4000;6750;10250;15250}),0),IF(V873&gt;1200000,((V873-1200000)*27.5%)+300000,0)
)))))))</f>
        <v>0</v>
      </c>
      <c r="X873" s="12">
        <f t="shared" si="217"/>
        <v>0</v>
      </c>
      <c r="Y873" s="12">
        <f t="shared" si="218"/>
        <v>0</v>
      </c>
      <c r="Z873" s="11"/>
      <c r="AA873" s="13">
        <f t="shared" si="219"/>
        <v>0</v>
      </c>
      <c r="AB873" s="12">
        <f t="shared" si="220"/>
        <v>0</v>
      </c>
      <c r="AC873" s="14">
        <f t="shared" si="208"/>
        <v>0</v>
      </c>
      <c r="AE873" s="19">
        <f t="shared" si="221"/>
        <v>0</v>
      </c>
      <c r="AF873" s="19"/>
      <c r="AG873" s="17"/>
      <c r="AK873" s="7"/>
      <c r="AL873" s="108">
        <f t="shared" si="209"/>
        <v>0</v>
      </c>
      <c r="AM873" s="108">
        <f t="shared" si="210"/>
        <v>0</v>
      </c>
      <c r="AN873" s="113"/>
    </row>
    <row r="874" spans="2:40" x14ac:dyDescent="0.2">
      <c r="B874" s="7"/>
      <c r="C874" s="8"/>
      <c r="D874" s="8"/>
      <c r="E874" s="9"/>
      <c r="F874" s="6"/>
      <c r="G874" s="8"/>
      <c r="H874" s="32"/>
      <c r="I874" s="10" t="str">
        <f t="shared" si="207"/>
        <v>21</v>
      </c>
      <c r="J874" s="11">
        <v>1</v>
      </c>
      <c r="K874" s="11"/>
      <c r="L874" s="11"/>
      <c r="M874" s="11">
        <f t="shared" si="211"/>
        <v>0</v>
      </c>
      <c r="N874" s="11"/>
      <c r="O874" s="11">
        <f t="shared" si="212"/>
        <v>0</v>
      </c>
      <c r="P874" s="11"/>
      <c r="Q874" s="11"/>
      <c r="R874" s="11"/>
      <c r="S874" s="11">
        <f t="shared" si="213"/>
        <v>0</v>
      </c>
      <c r="T874" s="11">
        <f t="shared" si="214"/>
        <v>1666.6666666666667</v>
      </c>
      <c r="U874" s="11">
        <f t="shared" si="215"/>
        <v>0</v>
      </c>
      <c r="V874" s="24">
        <f t="shared" si="216"/>
        <v>0</v>
      </c>
      <c r="W874" s="11">
        <f>IF(V874&lt;=40000,0,
IF(V874&lt;=55000,(V874-40000)*10%,
IF(V874&lt;=70000,(V874-55000)*15%+1500,
IF(V874&lt;=200000,(V874-70000)*20%+1500+2250,
IF(V874&lt;=400000,(V874-200000)*22.5%+1500+2250+26000,
IF(V874&lt;=600000,(V874-400000)*25%+1500+2250+26000+45000,
IF(AND(V874&gt;600000,V874&lt;=1200000),(V874-400000)*25%+1500+2250+26000+45000
+IFERROR(LOOKUP(V874,{600001;700001;800001;900001},{4000;6750;10250;15250}),0),IF(V874&gt;1200000,((V874-1200000)*27.5%)+300000,0)
)))))))</f>
        <v>0</v>
      </c>
      <c r="X874" s="12">
        <f t="shared" si="217"/>
        <v>0</v>
      </c>
      <c r="Y874" s="12">
        <f t="shared" si="218"/>
        <v>0</v>
      </c>
      <c r="Z874" s="11"/>
      <c r="AA874" s="13">
        <f t="shared" si="219"/>
        <v>0</v>
      </c>
      <c r="AB874" s="12">
        <f t="shared" si="220"/>
        <v>0</v>
      </c>
      <c r="AC874" s="14">
        <f t="shared" si="208"/>
        <v>0</v>
      </c>
      <c r="AE874" s="19">
        <f t="shared" si="221"/>
        <v>0</v>
      </c>
      <c r="AF874" s="19"/>
      <c r="AG874" s="17"/>
      <c r="AK874" s="7"/>
      <c r="AL874" s="108">
        <f t="shared" si="209"/>
        <v>0</v>
      </c>
      <c r="AM874" s="108">
        <f t="shared" si="210"/>
        <v>0</v>
      </c>
      <c r="AN874" s="113"/>
    </row>
    <row r="875" spans="2:40" x14ac:dyDescent="0.2">
      <c r="B875" s="7"/>
      <c r="C875" s="8"/>
      <c r="D875" s="8"/>
      <c r="E875" s="9"/>
      <c r="F875" s="6"/>
      <c r="G875" s="8"/>
      <c r="H875" s="32"/>
      <c r="I875" s="10" t="str">
        <f t="shared" si="207"/>
        <v>21</v>
      </c>
      <c r="J875" s="11">
        <v>1</v>
      </c>
      <c r="K875" s="11"/>
      <c r="L875" s="11"/>
      <c r="M875" s="11">
        <f t="shared" si="211"/>
        <v>0</v>
      </c>
      <c r="N875" s="11"/>
      <c r="O875" s="11">
        <f t="shared" si="212"/>
        <v>0</v>
      </c>
      <c r="P875" s="11"/>
      <c r="Q875" s="11"/>
      <c r="R875" s="11"/>
      <c r="S875" s="11">
        <f t="shared" si="213"/>
        <v>0</v>
      </c>
      <c r="T875" s="11">
        <f t="shared" si="214"/>
        <v>1666.6666666666667</v>
      </c>
      <c r="U875" s="11">
        <f t="shared" si="215"/>
        <v>0</v>
      </c>
      <c r="V875" s="24">
        <f t="shared" si="216"/>
        <v>0</v>
      </c>
      <c r="W875" s="11">
        <f>IF(V875&lt;=40000,0,
IF(V875&lt;=55000,(V875-40000)*10%,
IF(V875&lt;=70000,(V875-55000)*15%+1500,
IF(V875&lt;=200000,(V875-70000)*20%+1500+2250,
IF(V875&lt;=400000,(V875-200000)*22.5%+1500+2250+26000,
IF(V875&lt;=600000,(V875-400000)*25%+1500+2250+26000+45000,
IF(AND(V875&gt;600000,V875&lt;=1200000),(V875-400000)*25%+1500+2250+26000+45000
+IFERROR(LOOKUP(V875,{600001;700001;800001;900001},{4000;6750;10250;15250}),0),IF(V875&gt;1200000,((V875-1200000)*27.5%)+300000,0)
)))))))</f>
        <v>0</v>
      </c>
      <c r="X875" s="12">
        <f t="shared" si="217"/>
        <v>0</v>
      </c>
      <c r="Y875" s="12">
        <f t="shared" si="218"/>
        <v>0</v>
      </c>
      <c r="Z875" s="11"/>
      <c r="AA875" s="13">
        <f t="shared" si="219"/>
        <v>0</v>
      </c>
      <c r="AB875" s="12">
        <f t="shared" si="220"/>
        <v>0</v>
      </c>
      <c r="AC875" s="14">
        <f t="shared" si="208"/>
        <v>0</v>
      </c>
      <c r="AE875" s="19">
        <f t="shared" si="221"/>
        <v>0</v>
      </c>
      <c r="AF875" s="19"/>
      <c r="AG875" s="17"/>
      <c r="AK875" s="7"/>
      <c r="AL875" s="108">
        <f t="shared" si="209"/>
        <v>0</v>
      </c>
      <c r="AM875" s="108">
        <f t="shared" si="210"/>
        <v>0</v>
      </c>
      <c r="AN875" s="113"/>
    </row>
    <row r="876" spans="2:40" x14ac:dyDescent="0.2">
      <c r="B876" s="7"/>
      <c r="C876" s="8"/>
      <c r="D876" s="8"/>
      <c r="E876" s="9"/>
      <c r="F876" s="6"/>
      <c r="G876" s="8"/>
      <c r="H876" s="32"/>
      <c r="I876" s="10" t="str">
        <f t="shared" si="207"/>
        <v>21</v>
      </c>
      <c r="J876" s="11">
        <v>1</v>
      </c>
      <c r="K876" s="11"/>
      <c r="L876" s="11"/>
      <c r="M876" s="11">
        <f t="shared" si="211"/>
        <v>0</v>
      </c>
      <c r="N876" s="11"/>
      <c r="O876" s="11">
        <f t="shared" si="212"/>
        <v>0</v>
      </c>
      <c r="P876" s="11"/>
      <c r="Q876" s="11"/>
      <c r="R876" s="11"/>
      <c r="S876" s="11">
        <f t="shared" si="213"/>
        <v>0</v>
      </c>
      <c r="T876" s="11">
        <f t="shared" si="214"/>
        <v>1666.6666666666667</v>
      </c>
      <c r="U876" s="11">
        <f t="shared" si="215"/>
        <v>0</v>
      </c>
      <c r="V876" s="24">
        <f t="shared" si="216"/>
        <v>0</v>
      </c>
      <c r="W876" s="11">
        <f>IF(V876&lt;=40000,0,
IF(V876&lt;=55000,(V876-40000)*10%,
IF(V876&lt;=70000,(V876-55000)*15%+1500,
IF(V876&lt;=200000,(V876-70000)*20%+1500+2250,
IF(V876&lt;=400000,(V876-200000)*22.5%+1500+2250+26000,
IF(V876&lt;=600000,(V876-400000)*25%+1500+2250+26000+45000,
IF(AND(V876&gt;600000,V876&lt;=1200000),(V876-400000)*25%+1500+2250+26000+45000
+IFERROR(LOOKUP(V876,{600001;700001;800001;900001},{4000;6750;10250;15250}),0),IF(V876&gt;1200000,((V876-1200000)*27.5%)+300000,0)
)))))))</f>
        <v>0</v>
      </c>
      <c r="X876" s="12">
        <f t="shared" si="217"/>
        <v>0</v>
      </c>
      <c r="Y876" s="12">
        <f t="shared" si="218"/>
        <v>0</v>
      </c>
      <c r="Z876" s="11"/>
      <c r="AA876" s="13">
        <f t="shared" si="219"/>
        <v>0</v>
      </c>
      <c r="AB876" s="12">
        <f t="shared" si="220"/>
        <v>0</v>
      </c>
      <c r="AC876" s="14">
        <f t="shared" si="208"/>
        <v>0</v>
      </c>
      <c r="AE876" s="19">
        <f t="shared" si="221"/>
        <v>0</v>
      </c>
      <c r="AF876" s="19"/>
      <c r="AG876" s="17"/>
      <c r="AK876" s="7"/>
      <c r="AL876" s="108">
        <f t="shared" si="209"/>
        <v>0</v>
      </c>
      <c r="AM876" s="108">
        <f t="shared" si="210"/>
        <v>0</v>
      </c>
      <c r="AN876" s="113"/>
    </row>
    <row r="877" spans="2:40" x14ac:dyDescent="0.2">
      <c r="B877" s="7"/>
      <c r="C877" s="8"/>
      <c r="D877" s="8"/>
      <c r="E877" s="9"/>
      <c r="F877" s="6"/>
      <c r="G877" s="8"/>
      <c r="H877" s="32"/>
      <c r="I877" s="10" t="str">
        <f t="shared" si="207"/>
        <v>21</v>
      </c>
      <c r="J877" s="11">
        <v>1</v>
      </c>
      <c r="K877" s="11"/>
      <c r="L877" s="11"/>
      <c r="M877" s="11">
        <f t="shared" si="211"/>
        <v>0</v>
      </c>
      <c r="N877" s="11"/>
      <c r="O877" s="11">
        <f t="shared" si="212"/>
        <v>0</v>
      </c>
      <c r="P877" s="11"/>
      <c r="Q877" s="11"/>
      <c r="R877" s="11"/>
      <c r="S877" s="11">
        <f t="shared" si="213"/>
        <v>0</v>
      </c>
      <c r="T877" s="11">
        <f t="shared" si="214"/>
        <v>1666.6666666666667</v>
      </c>
      <c r="U877" s="11">
        <f t="shared" si="215"/>
        <v>0</v>
      </c>
      <c r="V877" s="24">
        <f t="shared" si="216"/>
        <v>0</v>
      </c>
      <c r="W877" s="11">
        <f>IF(V877&lt;=40000,0,
IF(V877&lt;=55000,(V877-40000)*10%,
IF(V877&lt;=70000,(V877-55000)*15%+1500,
IF(V877&lt;=200000,(V877-70000)*20%+1500+2250,
IF(V877&lt;=400000,(V877-200000)*22.5%+1500+2250+26000,
IF(V877&lt;=600000,(V877-400000)*25%+1500+2250+26000+45000,
IF(AND(V877&gt;600000,V877&lt;=1200000),(V877-400000)*25%+1500+2250+26000+45000
+IFERROR(LOOKUP(V877,{600001;700001;800001;900001},{4000;6750;10250;15250}),0),IF(V877&gt;1200000,((V877-1200000)*27.5%)+300000,0)
)))))))</f>
        <v>0</v>
      </c>
      <c r="X877" s="12">
        <f t="shared" si="217"/>
        <v>0</v>
      </c>
      <c r="Y877" s="12">
        <f t="shared" si="218"/>
        <v>0</v>
      </c>
      <c r="Z877" s="11"/>
      <c r="AA877" s="13">
        <f t="shared" si="219"/>
        <v>0</v>
      </c>
      <c r="AB877" s="12">
        <f t="shared" si="220"/>
        <v>0</v>
      </c>
      <c r="AC877" s="14">
        <f t="shared" si="208"/>
        <v>0</v>
      </c>
      <c r="AE877" s="19">
        <f t="shared" si="221"/>
        <v>0</v>
      </c>
      <c r="AF877" s="19"/>
      <c r="AG877" s="17"/>
      <c r="AK877" s="7"/>
      <c r="AL877" s="108">
        <f t="shared" si="209"/>
        <v>0</v>
      </c>
      <c r="AM877" s="108">
        <f t="shared" si="210"/>
        <v>0</v>
      </c>
      <c r="AN877" s="113"/>
    </row>
    <row r="878" spans="2:40" x14ac:dyDescent="0.2">
      <c r="B878" s="7"/>
      <c r="C878" s="8"/>
      <c r="D878" s="8"/>
      <c r="E878" s="9"/>
      <c r="F878" s="6"/>
      <c r="G878" s="8"/>
      <c r="H878" s="32"/>
      <c r="I878" s="10" t="str">
        <f t="shared" si="207"/>
        <v>21</v>
      </c>
      <c r="J878" s="11">
        <v>1</v>
      </c>
      <c r="K878" s="11"/>
      <c r="L878" s="11"/>
      <c r="M878" s="11">
        <f t="shared" si="211"/>
        <v>0</v>
      </c>
      <c r="N878" s="11"/>
      <c r="O878" s="11">
        <f t="shared" si="212"/>
        <v>0</v>
      </c>
      <c r="P878" s="11"/>
      <c r="Q878" s="11"/>
      <c r="R878" s="11"/>
      <c r="S878" s="11">
        <f t="shared" si="213"/>
        <v>0</v>
      </c>
      <c r="T878" s="11">
        <f t="shared" si="214"/>
        <v>1666.6666666666667</v>
      </c>
      <c r="U878" s="11">
        <f t="shared" si="215"/>
        <v>0</v>
      </c>
      <c r="V878" s="24">
        <f t="shared" si="216"/>
        <v>0</v>
      </c>
      <c r="W878" s="11">
        <f>IF(V878&lt;=40000,0,
IF(V878&lt;=55000,(V878-40000)*10%,
IF(V878&lt;=70000,(V878-55000)*15%+1500,
IF(V878&lt;=200000,(V878-70000)*20%+1500+2250,
IF(V878&lt;=400000,(V878-200000)*22.5%+1500+2250+26000,
IF(V878&lt;=600000,(V878-400000)*25%+1500+2250+26000+45000,
IF(AND(V878&gt;600000,V878&lt;=1200000),(V878-400000)*25%+1500+2250+26000+45000
+IFERROR(LOOKUP(V878,{600001;700001;800001;900001},{4000;6750;10250;15250}),0),IF(V878&gt;1200000,((V878-1200000)*27.5%)+300000,0)
)))))))</f>
        <v>0</v>
      </c>
      <c r="X878" s="12">
        <f t="shared" si="217"/>
        <v>0</v>
      </c>
      <c r="Y878" s="12">
        <f t="shared" si="218"/>
        <v>0</v>
      </c>
      <c r="Z878" s="11"/>
      <c r="AA878" s="13">
        <f t="shared" si="219"/>
        <v>0</v>
      </c>
      <c r="AB878" s="12">
        <f t="shared" si="220"/>
        <v>0</v>
      </c>
      <c r="AC878" s="14">
        <f t="shared" si="208"/>
        <v>0</v>
      </c>
      <c r="AE878" s="19">
        <f t="shared" si="221"/>
        <v>0</v>
      </c>
      <c r="AF878" s="19"/>
      <c r="AG878" s="17"/>
      <c r="AK878" s="7"/>
      <c r="AL878" s="108">
        <f t="shared" si="209"/>
        <v>0</v>
      </c>
      <c r="AM878" s="108">
        <f t="shared" si="210"/>
        <v>0</v>
      </c>
      <c r="AN878" s="113"/>
    </row>
    <row r="879" spans="2:40" x14ac:dyDescent="0.2">
      <c r="B879" s="7"/>
      <c r="C879" s="8"/>
      <c r="D879" s="8"/>
      <c r="E879" s="9"/>
      <c r="F879" s="6"/>
      <c r="G879" s="8"/>
      <c r="H879" s="32"/>
      <c r="I879" s="10" t="str">
        <f t="shared" si="207"/>
        <v>21</v>
      </c>
      <c r="J879" s="11">
        <v>1</v>
      </c>
      <c r="K879" s="11"/>
      <c r="L879" s="11"/>
      <c r="M879" s="11">
        <f t="shared" si="211"/>
        <v>0</v>
      </c>
      <c r="N879" s="11"/>
      <c r="O879" s="11">
        <f t="shared" si="212"/>
        <v>0</v>
      </c>
      <c r="P879" s="11"/>
      <c r="Q879" s="11"/>
      <c r="R879" s="11"/>
      <c r="S879" s="11">
        <f t="shared" si="213"/>
        <v>0</v>
      </c>
      <c r="T879" s="11">
        <f t="shared" si="214"/>
        <v>1666.6666666666667</v>
      </c>
      <c r="U879" s="11">
        <f t="shared" si="215"/>
        <v>0</v>
      </c>
      <c r="V879" s="24">
        <f t="shared" si="216"/>
        <v>0</v>
      </c>
      <c r="W879" s="11">
        <f>IF(V879&lt;=40000,0,
IF(V879&lt;=55000,(V879-40000)*10%,
IF(V879&lt;=70000,(V879-55000)*15%+1500,
IF(V879&lt;=200000,(V879-70000)*20%+1500+2250,
IF(V879&lt;=400000,(V879-200000)*22.5%+1500+2250+26000,
IF(V879&lt;=600000,(V879-400000)*25%+1500+2250+26000+45000,
IF(AND(V879&gt;600000,V879&lt;=1200000),(V879-400000)*25%+1500+2250+26000+45000
+IFERROR(LOOKUP(V879,{600001;700001;800001;900001},{4000;6750;10250;15250}),0),IF(V879&gt;1200000,((V879-1200000)*27.5%)+300000,0)
)))))))</f>
        <v>0</v>
      </c>
      <c r="X879" s="12">
        <f t="shared" si="217"/>
        <v>0</v>
      </c>
      <c r="Y879" s="12">
        <f t="shared" si="218"/>
        <v>0</v>
      </c>
      <c r="Z879" s="11"/>
      <c r="AA879" s="13">
        <f t="shared" si="219"/>
        <v>0</v>
      </c>
      <c r="AB879" s="12">
        <f t="shared" si="220"/>
        <v>0</v>
      </c>
      <c r="AC879" s="14">
        <f t="shared" si="208"/>
        <v>0</v>
      </c>
      <c r="AE879" s="19">
        <f t="shared" si="221"/>
        <v>0</v>
      </c>
      <c r="AF879" s="19"/>
      <c r="AG879" s="17"/>
      <c r="AK879" s="7"/>
      <c r="AL879" s="108">
        <f t="shared" si="209"/>
        <v>0</v>
      </c>
      <c r="AM879" s="108">
        <f t="shared" si="210"/>
        <v>0</v>
      </c>
      <c r="AN879" s="113"/>
    </row>
    <row r="880" spans="2:40" x14ac:dyDescent="0.2">
      <c r="B880" s="7"/>
      <c r="C880" s="8"/>
      <c r="D880" s="8"/>
      <c r="E880" s="9"/>
      <c r="F880" s="6"/>
      <c r="G880" s="8"/>
      <c r="H880" s="32"/>
      <c r="I880" s="10" t="str">
        <f t="shared" si="207"/>
        <v>21</v>
      </c>
      <c r="J880" s="11">
        <v>1</v>
      </c>
      <c r="K880" s="11"/>
      <c r="L880" s="11"/>
      <c r="M880" s="11">
        <f t="shared" si="211"/>
        <v>0</v>
      </c>
      <c r="N880" s="11"/>
      <c r="O880" s="11">
        <f t="shared" si="212"/>
        <v>0</v>
      </c>
      <c r="P880" s="11"/>
      <c r="Q880" s="11"/>
      <c r="R880" s="11"/>
      <c r="S880" s="11">
        <f t="shared" si="213"/>
        <v>0</v>
      </c>
      <c r="T880" s="11">
        <f t="shared" si="214"/>
        <v>1666.6666666666667</v>
      </c>
      <c r="U880" s="11">
        <f t="shared" si="215"/>
        <v>0</v>
      </c>
      <c r="V880" s="24">
        <f t="shared" si="216"/>
        <v>0</v>
      </c>
      <c r="W880" s="11">
        <f>IF(V880&lt;=40000,0,
IF(V880&lt;=55000,(V880-40000)*10%,
IF(V880&lt;=70000,(V880-55000)*15%+1500,
IF(V880&lt;=200000,(V880-70000)*20%+1500+2250,
IF(V880&lt;=400000,(V880-200000)*22.5%+1500+2250+26000,
IF(V880&lt;=600000,(V880-400000)*25%+1500+2250+26000+45000,
IF(AND(V880&gt;600000,V880&lt;=1200000),(V880-400000)*25%+1500+2250+26000+45000
+IFERROR(LOOKUP(V880,{600001;700001;800001;900001},{4000;6750;10250;15250}),0),IF(V880&gt;1200000,((V880-1200000)*27.5%)+300000,0)
)))))))</f>
        <v>0</v>
      </c>
      <c r="X880" s="12">
        <f t="shared" si="217"/>
        <v>0</v>
      </c>
      <c r="Y880" s="12">
        <f t="shared" si="218"/>
        <v>0</v>
      </c>
      <c r="Z880" s="11"/>
      <c r="AA880" s="13">
        <f t="shared" si="219"/>
        <v>0</v>
      </c>
      <c r="AB880" s="12">
        <f t="shared" si="220"/>
        <v>0</v>
      </c>
      <c r="AC880" s="14">
        <f t="shared" si="208"/>
        <v>0</v>
      </c>
      <c r="AE880" s="19">
        <f t="shared" si="221"/>
        <v>0</v>
      </c>
      <c r="AF880" s="19"/>
      <c r="AG880" s="17"/>
      <c r="AK880" s="7"/>
      <c r="AL880" s="108">
        <f t="shared" si="209"/>
        <v>0</v>
      </c>
      <c r="AM880" s="108">
        <f t="shared" si="210"/>
        <v>0</v>
      </c>
      <c r="AN880" s="113"/>
    </row>
    <row r="881" spans="2:40" x14ac:dyDescent="0.2">
      <c r="B881" s="7"/>
      <c r="C881" s="8"/>
      <c r="D881" s="8"/>
      <c r="E881" s="9"/>
      <c r="F881" s="6"/>
      <c r="G881" s="8"/>
      <c r="H881" s="32"/>
      <c r="I881" s="10" t="str">
        <f t="shared" si="207"/>
        <v>21</v>
      </c>
      <c r="J881" s="11">
        <v>1</v>
      </c>
      <c r="K881" s="11"/>
      <c r="L881" s="11"/>
      <c r="M881" s="11">
        <f t="shared" si="211"/>
        <v>0</v>
      </c>
      <c r="N881" s="11"/>
      <c r="O881" s="11">
        <f t="shared" si="212"/>
        <v>0</v>
      </c>
      <c r="P881" s="11"/>
      <c r="Q881" s="11"/>
      <c r="R881" s="11"/>
      <c r="S881" s="11">
        <f t="shared" si="213"/>
        <v>0</v>
      </c>
      <c r="T881" s="11">
        <f t="shared" si="214"/>
        <v>1666.6666666666667</v>
      </c>
      <c r="U881" s="11">
        <f t="shared" si="215"/>
        <v>0</v>
      </c>
      <c r="V881" s="24">
        <f t="shared" si="216"/>
        <v>0</v>
      </c>
      <c r="W881" s="11">
        <f>IF(V881&lt;=40000,0,
IF(V881&lt;=55000,(V881-40000)*10%,
IF(V881&lt;=70000,(V881-55000)*15%+1500,
IF(V881&lt;=200000,(V881-70000)*20%+1500+2250,
IF(V881&lt;=400000,(V881-200000)*22.5%+1500+2250+26000,
IF(V881&lt;=600000,(V881-400000)*25%+1500+2250+26000+45000,
IF(AND(V881&gt;600000,V881&lt;=1200000),(V881-400000)*25%+1500+2250+26000+45000
+IFERROR(LOOKUP(V881,{600001;700001;800001;900001},{4000;6750;10250;15250}),0),IF(V881&gt;1200000,((V881-1200000)*27.5%)+300000,0)
)))))))</f>
        <v>0</v>
      </c>
      <c r="X881" s="12">
        <f t="shared" si="217"/>
        <v>0</v>
      </c>
      <c r="Y881" s="12">
        <f t="shared" si="218"/>
        <v>0</v>
      </c>
      <c r="Z881" s="11"/>
      <c r="AA881" s="13">
        <f t="shared" si="219"/>
        <v>0</v>
      </c>
      <c r="AB881" s="12">
        <f t="shared" si="220"/>
        <v>0</v>
      </c>
      <c r="AC881" s="14">
        <f t="shared" si="208"/>
        <v>0</v>
      </c>
      <c r="AE881" s="19">
        <f t="shared" si="221"/>
        <v>0</v>
      </c>
      <c r="AF881" s="19"/>
      <c r="AG881" s="17"/>
      <c r="AK881" s="7"/>
      <c r="AL881" s="108">
        <f t="shared" si="209"/>
        <v>0</v>
      </c>
      <c r="AM881" s="108">
        <f t="shared" si="210"/>
        <v>0</v>
      </c>
      <c r="AN881" s="113"/>
    </row>
    <row r="882" spans="2:40" x14ac:dyDescent="0.2">
      <c r="B882" s="7"/>
      <c r="C882" s="8"/>
      <c r="D882" s="8"/>
      <c r="E882" s="9"/>
      <c r="F882" s="6"/>
      <c r="G882" s="8"/>
      <c r="H882" s="32"/>
      <c r="I882" s="10" t="str">
        <f t="shared" si="207"/>
        <v>21</v>
      </c>
      <c r="J882" s="11">
        <v>1</v>
      </c>
      <c r="K882" s="11"/>
      <c r="L882" s="11"/>
      <c r="M882" s="11">
        <f t="shared" si="211"/>
        <v>0</v>
      </c>
      <c r="N882" s="11"/>
      <c r="O882" s="11">
        <f t="shared" si="212"/>
        <v>0</v>
      </c>
      <c r="P882" s="11"/>
      <c r="Q882" s="11"/>
      <c r="R882" s="11"/>
      <c r="S882" s="11">
        <f t="shared" si="213"/>
        <v>0</v>
      </c>
      <c r="T882" s="11">
        <f t="shared" si="214"/>
        <v>1666.6666666666667</v>
      </c>
      <c r="U882" s="11">
        <f t="shared" si="215"/>
        <v>0</v>
      </c>
      <c r="V882" s="24">
        <f t="shared" si="216"/>
        <v>0</v>
      </c>
      <c r="W882" s="11">
        <f>IF(V882&lt;=40000,0,
IF(V882&lt;=55000,(V882-40000)*10%,
IF(V882&lt;=70000,(V882-55000)*15%+1500,
IF(V882&lt;=200000,(V882-70000)*20%+1500+2250,
IF(V882&lt;=400000,(V882-200000)*22.5%+1500+2250+26000,
IF(V882&lt;=600000,(V882-400000)*25%+1500+2250+26000+45000,
IF(AND(V882&gt;600000,V882&lt;=1200000),(V882-400000)*25%+1500+2250+26000+45000
+IFERROR(LOOKUP(V882,{600001;700001;800001;900001},{4000;6750;10250;15250}),0),IF(V882&gt;1200000,((V882-1200000)*27.5%)+300000,0)
)))))))</f>
        <v>0</v>
      </c>
      <c r="X882" s="12">
        <f t="shared" si="217"/>
        <v>0</v>
      </c>
      <c r="Y882" s="12">
        <f t="shared" si="218"/>
        <v>0</v>
      </c>
      <c r="Z882" s="11"/>
      <c r="AA882" s="13">
        <f t="shared" si="219"/>
        <v>0</v>
      </c>
      <c r="AB882" s="12">
        <f t="shared" si="220"/>
        <v>0</v>
      </c>
      <c r="AC882" s="14">
        <f t="shared" si="208"/>
        <v>0</v>
      </c>
      <c r="AE882" s="19">
        <f t="shared" si="221"/>
        <v>0</v>
      </c>
      <c r="AF882" s="19"/>
      <c r="AG882" s="17"/>
      <c r="AK882" s="7"/>
      <c r="AL882" s="108">
        <f t="shared" si="209"/>
        <v>0</v>
      </c>
      <c r="AM882" s="108">
        <f t="shared" si="210"/>
        <v>0</v>
      </c>
      <c r="AN882" s="113"/>
    </row>
    <row r="883" spans="2:40" x14ac:dyDescent="0.2">
      <c r="B883" s="7"/>
      <c r="C883" s="8"/>
      <c r="D883" s="8"/>
      <c r="E883" s="9"/>
      <c r="F883" s="6"/>
      <c r="G883" s="8"/>
      <c r="H883" s="32"/>
      <c r="I883" s="10" t="str">
        <f t="shared" si="207"/>
        <v>21</v>
      </c>
      <c r="J883" s="11">
        <v>1</v>
      </c>
      <c r="K883" s="11"/>
      <c r="L883" s="11"/>
      <c r="M883" s="11">
        <f t="shared" si="211"/>
        <v>0</v>
      </c>
      <c r="N883" s="11"/>
      <c r="O883" s="11">
        <f t="shared" si="212"/>
        <v>0</v>
      </c>
      <c r="P883" s="11"/>
      <c r="Q883" s="11"/>
      <c r="R883" s="11"/>
      <c r="S883" s="11">
        <f t="shared" si="213"/>
        <v>0</v>
      </c>
      <c r="T883" s="11">
        <f t="shared" si="214"/>
        <v>1666.6666666666667</v>
      </c>
      <c r="U883" s="11">
        <f t="shared" si="215"/>
        <v>0</v>
      </c>
      <c r="V883" s="24">
        <f t="shared" si="216"/>
        <v>0</v>
      </c>
      <c r="W883" s="11">
        <f>IF(V883&lt;=40000,0,
IF(V883&lt;=55000,(V883-40000)*10%,
IF(V883&lt;=70000,(V883-55000)*15%+1500,
IF(V883&lt;=200000,(V883-70000)*20%+1500+2250,
IF(V883&lt;=400000,(V883-200000)*22.5%+1500+2250+26000,
IF(V883&lt;=600000,(V883-400000)*25%+1500+2250+26000+45000,
IF(AND(V883&gt;600000,V883&lt;=1200000),(V883-400000)*25%+1500+2250+26000+45000
+IFERROR(LOOKUP(V883,{600001;700001;800001;900001},{4000;6750;10250;15250}),0),IF(V883&gt;1200000,((V883-1200000)*27.5%)+300000,0)
)))))))</f>
        <v>0</v>
      </c>
      <c r="X883" s="12">
        <f t="shared" si="217"/>
        <v>0</v>
      </c>
      <c r="Y883" s="12">
        <f t="shared" si="218"/>
        <v>0</v>
      </c>
      <c r="Z883" s="11"/>
      <c r="AA883" s="13">
        <f t="shared" si="219"/>
        <v>0</v>
      </c>
      <c r="AB883" s="12">
        <f t="shared" si="220"/>
        <v>0</v>
      </c>
      <c r="AC883" s="14">
        <f t="shared" si="208"/>
        <v>0</v>
      </c>
      <c r="AE883" s="19">
        <f t="shared" si="221"/>
        <v>0</v>
      </c>
      <c r="AF883" s="19"/>
      <c r="AG883" s="17"/>
      <c r="AK883" s="7"/>
      <c r="AL883" s="108">
        <f t="shared" si="209"/>
        <v>0</v>
      </c>
      <c r="AM883" s="108">
        <f t="shared" si="210"/>
        <v>0</v>
      </c>
      <c r="AN883" s="113"/>
    </row>
    <row r="884" spans="2:40" x14ac:dyDescent="0.2">
      <c r="B884" s="7"/>
      <c r="C884" s="8"/>
      <c r="D884" s="8"/>
      <c r="E884" s="9"/>
      <c r="F884" s="6"/>
      <c r="G884" s="8"/>
      <c r="H884" s="32"/>
      <c r="I884" s="10" t="str">
        <f t="shared" si="207"/>
        <v>21</v>
      </c>
      <c r="J884" s="11">
        <v>1</v>
      </c>
      <c r="K884" s="11"/>
      <c r="L884" s="11"/>
      <c r="M884" s="11">
        <f t="shared" si="211"/>
        <v>0</v>
      </c>
      <c r="N884" s="11"/>
      <c r="O884" s="11">
        <f t="shared" si="212"/>
        <v>0</v>
      </c>
      <c r="P884" s="11"/>
      <c r="Q884" s="11"/>
      <c r="R884" s="11"/>
      <c r="S884" s="11">
        <f t="shared" si="213"/>
        <v>0</v>
      </c>
      <c r="T884" s="11">
        <f t="shared" si="214"/>
        <v>1666.6666666666667</v>
      </c>
      <c r="U884" s="11">
        <f t="shared" si="215"/>
        <v>0</v>
      </c>
      <c r="V884" s="24">
        <f t="shared" si="216"/>
        <v>0</v>
      </c>
      <c r="W884" s="11">
        <f>IF(V884&lt;=40000,0,
IF(V884&lt;=55000,(V884-40000)*10%,
IF(V884&lt;=70000,(V884-55000)*15%+1500,
IF(V884&lt;=200000,(V884-70000)*20%+1500+2250,
IF(V884&lt;=400000,(V884-200000)*22.5%+1500+2250+26000,
IF(V884&lt;=600000,(V884-400000)*25%+1500+2250+26000+45000,
IF(AND(V884&gt;600000,V884&lt;=1200000),(V884-400000)*25%+1500+2250+26000+45000
+IFERROR(LOOKUP(V884,{600001;700001;800001;900001},{4000;6750;10250;15250}),0),IF(V884&gt;1200000,((V884-1200000)*27.5%)+300000,0)
)))))))</f>
        <v>0</v>
      </c>
      <c r="X884" s="12">
        <f t="shared" si="217"/>
        <v>0</v>
      </c>
      <c r="Y884" s="12">
        <f t="shared" si="218"/>
        <v>0</v>
      </c>
      <c r="Z884" s="11"/>
      <c r="AA884" s="13">
        <f t="shared" si="219"/>
        <v>0</v>
      </c>
      <c r="AB884" s="12">
        <f t="shared" si="220"/>
        <v>0</v>
      </c>
      <c r="AC884" s="14">
        <f t="shared" si="208"/>
        <v>0</v>
      </c>
      <c r="AE884" s="19">
        <f t="shared" si="221"/>
        <v>0</v>
      </c>
      <c r="AF884" s="19"/>
      <c r="AG884" s="17"/>
      <c r="AK884" s="7"/>
      <c r="AL884" s="108">
        <f t="shared" si="209"/>
        <v>0</v>
      </c>
      <c r="AM884" s="108">
        <f t="shared" si="210"/>
        <v>0</v>
      </c>
      <c r="AN884" s="113"/>
    </row>
    <row r="885" spans="2:40" x14ac:dyDescent="0.2">
      <c r="B885" s="7"/>
      <c r="C885" s="8"/>
      <c r="D885" s="8"/>
      <c r="E885" s="9"/>
      <c r="F885" s="6"/>
      <c r="G885" s="8"/>
      <c r="H885" s="32"/>
      <c r="I885" s="10" t="str">
        <f t="shared" si="207"/>
        <v>21</v>
      </c>
      <c r="J885" s="11">
        <v>1</v>
      </c>
      <c r="K885" s="11"/>
      <c r="L885" s="11"/>
      <c r="M885" s="11">
        <f t="shared" si="211"/>
        <v>0</v>
      </c>
      <c r="N885" s="11"/>
      <c r="O885" s="11">
        <f t="shared" si="212"/>
        <v>0</v>
      </c>
      <c r="P885" s="11"/>
      <c r="Q885" s="11"/>
      <c r="R885" s="11"/>
      <c r="S885" s="11">
        <f t="shared" si="213"/>
        <v>0</v>
      </c>
      <c r="T885" s="11">
        <f t="shared" si="214"/>
        <v>1666.6666666666667</v>
      </c>
      <c r="U885" s="11">
        <f t="shared" si="215"/>
        <v>0</v>
      </c>
      <c r="V885" s="24">
        <f t="shared" si="216"/>
        <v>0</v>
      </c>
      <c r="W885" s="11">
        <f>IF(V885&lt;=40000,0,
IF(V885&lt;=55000,(V885-40000)*10%,
IF(V885&lt;=70000,(V885-55000)*15%+1500,
IF(V885&lt;=200000,(V885-70000)*20%+1500+2250,
IF(V885&lt;=400000,(V885-200000)*22.5%+1500+2250+26000,
IF(V885&lt;=600000,(V885-400000)*25%+1500+2250+26000+45000,
IF(AND(V885&gt;600000,V885&lt;=1200000),(V885-400000)*25%+1500+2250+26000+45000
+IFERROR(LOOKUP(V885,{600001;700001;800001;900001},{4000;6750;10250;15250}),0),IF(V885&gt;1200000,((V885-1200000)*27.5%)+300000,0)
)))))))</f>
        <v>0</v>
      </c>
      <c r="X885" s="12">
        <f t="shared" si="217"/>
        <v>0</v>
      </c>
      <c r="Y885" s="12">
        <f t="shared" si="218"/>
        <v>0</v>
      </c>
      <c r="Z885" s="11"/>
      <c r="AA885" s="13">
        <f t="shared" si="219"/>
        <v>0</v>
      </c>
      <c r="AB885" s="12">
        <f t="shared" si="220"/>
        <v>0</v>
      </c>
      <c r="AC885" s="14">
        <f t="shared" si="208"/>
        <v>0</v>
      </c>
      <c r="AE885" s="19">
        <f t="shared" si="221"/>
        <v>0</v>
      </c>
      <c r="AF885" s="19"/>
      <c r="AG885" s="17"/>
      <c r="AK885" s="7"/>
      <c r="AL885" s="108">
        <f t="shared" si="209"/>
        <v>0</v>
      </c>
      <c r="AM885" s="108">
        <f t="shared" si="210"/>
        <v>0</v>
      </c>
      <c r="AN885" s="113"/>
    </row>
    <row r="886" spans="2:40" x14ac:dyDescent="0.2">
      <c r="B886" s="7"/>
      <c r="C886" s="8"/>
      <c r="D886" s="8"/>
      <c r="E886" s="9"/>
      <c r="F886" s="6"/>
      <c r="G886" s="8"/>
      <c r="H886" s="32"/>
      <c r="I886" s="10" t="str">
        <f t="shared" si="207"/>
        <v>21</v>
      </c>
      <c r="J886" s="11">
        <v>1</v>
      </c>
      <c r="K886" s="11"/>
      <c r="L886" s="11"/>
      <c r="M886" s="11">
        <f t="shared" si="211"/>
        <v>0</v>
      </c>
      <c r="N886" s="11"/>
      <c r="O886" s="11">
        <f t="shared" si="212"/>
        <v>0</v>
      </c>
      <c r="P886" s="11"/>
      <c r="Q886" s="11"/>
      <c r="R886" s="11"/>
      <c r="S886" s="11">
        <f t="shared" si="213"/>
        <v>0</v>
      </c>
      <c r="T886" s="11">
        <f t="shared" si="214"/>
        <v>1666.6666666666667</v>
      </c>
      <c r="U886" s="11">
        <f t="shared" si="215"/>
        <v>0</v>
      </c>
      <c r="V886" s="24">
        <f t="shared" si="216"/>
        <v>0</v>
      </c>
      <c r="W886" s="11">
        <f>IF(V886&lt;=40000,0,
IF(V886&lt;=55000,(V886-40000)*10%,
IF(V886&lt;=70000,(V886-55000)*15%+1500,
IF(V886&lt;=200000,(V886-70000)*20%+1500+2250,
IF(V886&lt;=400000,(V886-200000)*22.5%+1500+2250+26000,
IF(V886&lt;=600000,(V886-400000)*25%+1500+2250+26000+45000,
IF(AND(V886&gt;600000,V886&lt;=1200000),(V886-400000)*25%+1500+2250+26000+45000
+IFERROR(LOOKUP(V886,{600001;700001;800001;900001},{4000;6750;10250;15250}),0),IF(V886&gt;1200000,((V886-1200000)*27.5%)+300000,0)
)))))))</f>
        <v>0</v>
      </c>
      <c r="X886" s="12">
        <f t="shared" si="217"/>
        <v>0</v>
      </c>
      <c r="Y886" s="12">
        <f t="shared" si="218"/>
        <v>0</v>
      </c>
      <c r="Z886" s="11"/>
      <c r="AA886" s="13">
        <f t="shared" si="219"/>
        <v>0</v>
      </c>
      <c r="AB886" s="12">
        <f t="shared" si="220"/>
        <v>0</v>
      </c>
      <c r="AC886" s="14">
        <f t="shared" si="208"/>
        <v>0</v>
      </c>
      <c r="AE886" s="19">
        <f t="shared" si="221"/>
        <v>0</v>
      </c>
      <c r="AF886" s="19"/>
      <c r="AG886" s="17"/>
      <c r="AK886" s="7"/>
      <c r="AL886" s="108">
        <f t="shared" si="209"/>
        <v>0</v>
      </c>
      <c r="AM886" s="108">
        <f t="shared" si="210"/>
        <v>0</v>
      </c>
      <c r="AN886" s="113"/>
    </row>
    <row r="887" spans="2:40" x14ac:dyDescent="0.2">
      <c r="B887" s="7"/>
      <c r="C887" s="8"/>
      <c r="D887" s="8"/>
      <c r="E887" s="9"/>
      <c r="F887" s="6"/>
      <c r="G887" s="8"/>
      <c r="H887" s="32"/>
      <c r="I887" s="10" t="str">
        <f t="shared" si="207"/>
        <v>21</v>
      </c>
      <c r="J887" s="11">
        <v>1</v>
      </c>
      <c r="K887" s="11"/>
      <c r="L887" s="11"/>
      <c r="M887" s="11">
        <f t="shared" si="211"/>
        <v>0</v>
      </c>
      <c r="N887" s="11"/>
      <c r="O887" s="11">
        <f t="shared" si="212"/>
        <v>0</v>
      </c>
      <c r="P887" s="11"/>
      <c r="Q887" s="11"/>
      <c r="R887" s="11"/>
      <c r="S887" s="11">
        <f t="shared" si="213"/>
        <v>0</v>
      </c>
      <c r="T887" s="11">
        <f t="shared" si="214"/>
        <v>1666.6666666666667</v>
      </c>
      <c r="U887" s="11">
        <f t="shared" si="215"/>
        <v>0</v>
      </c>
      <c r="V887" s="24">
        <f t="shared" si="216"/>
        <v>0</v>
      </c>
      <c r="W887" s="11">
        <f>IF(V887&lt;=40000,0,
IF(V887&lt;=55000,(V887-40000)*10%,
IF(V887&lt;=70000,(V887-55000)*15%+1500,
IF(V887&lt;=200000,(V887-70000)*20%+1500+2250,
IF(V887&lt;=400000,(V887-200000)*22.5%+1500+2250+26000,
IF(V887&lt;=600000,(V887-400000)*25%+1500+2250+26000+45000,
IF(AND(V887&gt;600000,V887&lt;=1200000),(V887-400000)*25%+1500+2250+26000+45000
+IFERROR(LOOKUP(V887,{600001;700001;800001;900001},{4000;6750;10250;15250}),0),IF(V887&gt;1200000,((V887-1200000)*27.5%)+300000,0)
)))))))</f>
        <v>0</v>
      </c>
      <c r="X887" s="12">
        <f t="shared" si="217"/>
        <v>0</v>
      </c>
      <c r="Y887" s="12">
        <f t="shared" si="218"/>
        <v>0</v>
      </c>
      <c r="Z887" s="11"/>
      <c r="AA887" s="13">
        <f t="shared" si="219"/>
        <v>0</v>
      </c>
      <c r="AB887" s="12">
        <f t="shared" si="220"/>
        <v>0</v>
      </c>
      <c r="AC887" s="14">
        <f t="shared" si="208"/>
        <v>0</v>
      </c>
      <c r="AE887" s="19">
        <f t="shared" si="221"/>
        <v>0</v>
      </c>
      <c r="AF887" s="19"/>
      <c r="AG887" s="17"/>
      <c r="AK887" s="7"/>
      <c r="AL887" s="108">
        <f t="shared" si="209"/>
        <v>0</v>
      </c>
      <c r="AM887" s="108">
        <f t="shared" si="210"/>
        <v>0</v>
      </c>
      <c r="AN887" s="113"/>
    </row>
    <row r="888" spans="2:40" x14ac:dyDescent="0.2">
      <c r="B888" s="7"/>
      <c r="C888" s="8"/>
      <c r="D888" s="8"/>
      <c r="E888" s="9"/>
      <c r="F888" s="6"/>
      <c r="G888" s="8"/>
      <c r="H888" s="32"/>
      <c r="I888" s="10" t="str">
        <f t="shared" si="207"/>
        <v>21</v>
      </c>
      <c r="J888" s="11">
        <v>1</v>
      </c>
      <c r="K888" s="11"/>
      <c r="L888" s="11"/>
      <c r="M888" s="11">
        <f t="shared" si="211"/>
        <v>0</v>
      </c>
      <c r="N888" s="11"/>
      <c r="O888" s="11">
        <f t="shared" si="212"/>
        <v>0</v>
      </c>
      <c r="P888" s="11"/>
      <c r="Q888" s="11"/>
      <c r="R888" s="11"/>
      <c r="S888" s="11">
        <f t="shared" si="213"/>
        <v>0</v>
      </c>
      <c r="T888" s="11">
        <f t="shared" si="214"/>
        <v>1666.6666666666667</v>
      </c>
      <c r="U888" s="11">
        <f t="shared" si="215"/>
        <v>0</v>
      </c>
      <c r="V888" s="24">
        <f t="shared" si="216"/>
        <v>0</v>
      </c>
      <c r="W888" s="11">
        <f>IF(V888&lt;=40000,0,
IF(V888&lt;=55000,(V888-40000)*10%,
IF(V888&lt;=70000,(V888-55000)*15%+1500,
IF(V888&lt;=200000,(V888-70000)*20%+1500+2250,
IF(V888&lt;=400000,(V888-200000)*22.5%+1500+2250+26000,
IF(V888&lt;=600000,(V888-400000)*25%+1500+2250+26000+45000,
IF(AND(V888&gt;600000,V888&lt;=1200000),(V888-400000)*25%+1500+2250+26000+45000
+IFERROR(LOOKUP(V888,{600001;700001;800001;900001},{4000;6750;10250;15250}),0),IF(V888&gt;1200000,((V888-1200000)*27.5%)+300000,0)
)))))))</f>
        <v>0</v>
      </c>
      <c r="X888" s="12">
        <f t="shared" si="217"/>
        <v>0</v>
      </c>
      <c r="Y888" s="12">
        <f t="shared" si="218"/>
        <v>0</v>
      </c>
      <c r="Z888" s="11"/>
      <c r="AA888" s="13">
        <f t="shared" si="219"/>
        <v>0</v>
      </c>
      <c r="AB888" s="12">
        <f t="shared" si="220"/>
        <v>0</v>
      </c>
      <c r="AC888" s="14">
        <f t="shared" si="208"/>
        <v>0</v>
      </c>
      <c r="AE888" s="19">
        <f t="shared" si="221"/>
        <v>0</v>
      </c>
      <c r="AF888" s="19"/>
      <c r="AG888" s="17"/>
      <c r="AK888" s="7"/>
      <c r="AL888" s="108">
        <f t="shared" si="209"/>
        <v>0</v>
      </c>
      <c r="AM888" s="108">
        <f t="shared" si="210"/>
        <v>0</v>
      </c>
      <c r="AN888" s="113"/>
    </row>
    <row r="889" spans="2:40" x14ac:dyDescent="0.2">
      <c r="B889" s="7"/>
      <c r="C889" s="8"/>
      <c r="D889" s="8"/>
      <c r="E889" s="9"/>
      <c r="F889" s="6"/>
      <c r="G889" s="8"/>
      <c r="H889" s="32"/>
      <c r="I889" s="10" t="str">
        <f t="shared" si="207"/>
        <v>21</v>
      </c>
      <c r="J889" s="11">
        <v>1</v>
      </c>
      <c r="K889" s="11"/>
      <c r="L889" s="11"/>
      <c r="M889" s="11">
        <f t="shared" si="211"/>
        <v>0</v>
      </c>
      <c r="N889" s="11"/>
      <c r="O889" s="11">
        <f t="shared" si="212"/>
        <v>0</v>
      </c>
      <c r="P889" s="11"/>
      <c r="Q889" s="11"/>
      <c r="R889" s="11"/>
      <c r="S889" s="11">
        <f t="shared" si="213"/>
        <v>0</v>
      </c>
      <c r="T889" s="11">
        <f t="shared" si="214"/>
        <v>1666.6666666666667</v>
      </c>
      <c r="U889" s="11">
        <f t="shared" si="215"/>
        <v>0</v>
      </c>
      <c r="V889" s="24">
        <f t="shared" si="216"/>
        <v>0</v>
      </c>
      <c r="W889" s="11">
        <f>IF(V889&lt;=40000,0,
IF(V889&lt;=55000,(V889-40000)*10%,
IF(V889&lt;=70000,(V889-55000)*15%+1500,
IF(V889&lt;=200000,(V889-70000)*20%+1500+2250,
IF(V889&lt;=400000,(V889-200000)*22.5%+1500+2250+26000,
IF(V889&lt;=600000,(V889-400000)*25%+1500+2250+26000+45000,
IF(AND(V889&gt;600000,V889&lt;=1200000),(V889-400000)*25%+1500+2250+26000+45000
+IFERROR(LOOKUP(V889,{600001;700001;800001;900001},{4000;6750;10250;15250}),0),IF(V889&gt;1200000,((V889-1200000)*27.5%)+300000,0)
)))))))</f>
        <v>0</v>
      </c>
      <c r="X889" s="12">
        <f t="shared" si="217"/>
        <v>0</v>
      </c>
      <c r="Y889" s="12">
        <f t="shared" si="218"/>
        <v>0</v>
      </c>
      <c r="Z889" s="11"/>
      <c r="AA889" s="13">
        <f t="shared" si="219"/>
        <v>0</v>
      </c>
      <c r="AB889" s="12">
        <f t="shared" si="220"/>
        <v>0</v>
      </c>
      <c r="AC889" s="14">
        <f t="shared" si="208"/>
        <v>0</v>
      </c>
      <c r="AE889" s="19">
        <f t="shared" si="221"/>
        <v>0</v>
      </c>
      <c r="AF889" s="19"/>
      <c r="AG889" s="17"/>
      <c r="AK889" s="7"/>
      <c r="AL889" s="108">
        <f t="shared" si="209"/>
        <v>0</v>
      </c>
      <c r="AM889" s="108">
        <f t="shared" si="210"/>
        <v>0</v>
      </c>
      <c r="AN889" s="113"/>
    </row>
    <row r="890" spans="2:40" x14ac:dyDescent="0.2">
      <c r="B890" s="7"/>
      <c r="C890" s="8"/>
      <c r="D890" s="8"/>
      <c r="E890" s="9"/>
      <c r="F890" s="6"/>
      <c r="G890" s="8"/>
      <c r="H890" s="32"/>
      <c r="I890" s="10" t="str">
        <f t="shared" si="207"/>
        <v>21</v>
      </c>
      <c r="J890" s="11">
        <v>1</v>
      </c>
      <c r="K890" s="11"/>
      <c r="L890" s="11"/>
      <c r="M890" s="11">
        <f t="shared" si="211"/>
        <v>0</v>
      </c>
      <c r="N890" s="11"/>
      <c r="O890" s="11">
        <f t="shared" si="212"/>
        <v>0</v>
      </c>
      <c r="P890" s="11"/>
      <c r="Q890" s="11"/>
      <c r="R890" s="11"/>
      <c r="S890" s="11">
        <f t="shared" si="213"/>
        <v>0</v>
      </c>
      <c r="T890" s="11">
        <f t="shared" si="214"/>
        <v>1666.6666666666667</v>
      </c>
      <c r="U890" s="11">
        <f t="shared" si="215"/>
        <v>0</v>
      </c>
      <c r="V890" s="24">
        <f t="shared" si="216"/>
        <v>0</v>
      </c>
      <c r="W890" s="11">
        <f>IF(V890&lt;=40000,0,
IF(V890&lt;=55000,(V890-40000)*10%,
IF(V890&lt;=70000,(V890-55000)*15%+1500,
IF(V890&lt;=200000,(V890-70000)*20%+1500+2250,
IF(V890&lt;=400000,(V890-200000)*22.5%+1500+2250+26000,
IF(V890&lt;=600000,(V890-400000)*25%+1500+2250+26000+45000,
IF(AND(V890&gt;600000,V890&lt;=1200000),(V890-400000)*25%+1500+2250+26000+45000
+IFERROR(LOOKUP(V890,{600001;700001;800001;900001},{4000;6750;10250;15250}),0),IF(V890&gt;1200000,((V890-1200000)*27.5%)+300000,0)
)))))))</f>
        <v>0</v>
      </c>
      <c r="X890" s="12">
        <f t="shared" si="217"/>
        <v>0</v>
      </c>
      <c r="Y890" s="12">
        <f t="shared" si="218"/>
        <v>0</v>
      </c>
      <c r="Z890" s="11"/>
      <c r="AA890" s="13">
        <f t="shared" si="219"/>
        <v>0</v>
      </c>
      <c r="AB890" s="12">
        <f t="shared" si="220"/>
        <v>0</v>
      </c>
      <c r="AC890" s="14">
        <f t="shared" si="208"/>
        <v>0</v>
      </c>
      <c r="AE890" s="19">
        <f t="shared" si="221"/>
        <v>0</v>
      </c>
      <c r="AF890" s="19"/>
      <c r="AG890" s="17"/>
      <c r="AK890" s="7"/>
      <c r="AL890" s="108">
        <f t="shared" si="209"/>
        <v>0</v>
      </c>
      <c r="AM890" s="108">
        <f t="shared" si="210"/>
        <v>0</v>
      </c>
      <c r="AN890" s="113"/>
    </row>
    <row r="891" spans="2:40" x14ac:dyDescent="0.2">
      <c r="B891" s="7"/>
      <c r="C891" s="8"/>
      <c r="D891" s="8"/>
      <c r="E891" s="9"/>
      <c r="F891" s="6"/>
      <c r="G891" s="8"/>
      <c r="H891" s="32"/>
      <c r="I891" s="10" t="str">
        <f t="shared" si="207"/>
        <v>21</v>
      </c>
      <c r="J891" s="11">
        <v>1</v>
      </c>
      <c r="K891" s="11"/>
      <c r="L891" s="11"/>
      <c r="M891" s="11">
        <f t="shared" si="211"/>
        <v>0</v>
      </c>
      <c r="N891" s="11"/>
      <c r="O891" s="11">
        <f t="shared" si="212"/>
        <v>0</v>
      </c>
      <c r="P891" s="11"/>
      <c r="Q891" s="11"/>
      <c r="R891" s="11"/>
      <c r="S891" s="11">
        <f t="shared" si="213"/>
        <v>0</v>
      </c>
      <c r="T891" s="11">
        <f t="shared" si="214"/>
        <v>1666.6666666666667</v>
      </c>
      <c r="U891" s="11">
        <f t="shared" si="215"/>
        <v>0</v>
      </c>
      <c r="V891" s="24">
        <f t="shared" si="216"/>
        <v>0</v>
      </c>
      <c r="W891" s="11">
        <f>IF(V891&lt;=40000,0,
IF(V891&lt;=55000,(V891-40000)*10%,
IF(V891&lt;=70000,(V891-55000)*15%+1500,
IF(V891&lt;=200000,(V891-70000)*20%+1500+2250,
IF(V891&lt;=400000,(V891-200000)*22.5%+1500+2250+26000,
IF(V891&lt;=600000,(V891-400000)*25%+1500+2250+26000+45000,
IF(AND(V891&gt;600000,V891&lt;=1200000),(V891-400000)*25%+1500+2250+26000+45000
+IFERROR(LOOKUP(V891,{600001;700001;800001;900001},{4000;6750;10250;15250}),0),IF(V891&gt;1200000,((V891-1200000)*27.5%)+300000,0)
)))))))</f>
        <v>0</v>
      </c>
      <c r="X891" s="12">
        <f t="shared" si="217"/>
        <v>0</v>
      </c>
      <c r="Y891" s="12">
        <f t="shared" si="218"/>
        <v>0</v>
      </c>
      <c r="Z891" s="11"/>
      <c r="AA891" s="13">
        <f t="shared" si="219"/>
        <v>0</v>
      </c>
      <c r="AB891" s="12">
        <f t="shared" si="220"/>
        <v>0</v>
      </c>
      <c r="AC891" s="14">
        <f t="shared" si="208"/>
        <v>0</v>
      </c>
      <c r="AE891" s="19">
        <f t="shared" si="221"/>
        <v>0</v>
      </c>
      <c r="AF891" s="19"/>
      <c r="AG891" s="17"/>
      <c r="AK891" s="7"/>
      <c r="AL891" s="108">
        <f t="shared" si="209"/>
        <v>0</v>
      </c>
      <c r="AM891" s="108">
        <f t="shared" si="210"/>
        <v>0</v>
      </c>
      <c r="AN891" s="113"/>
    </row>
    <row r="892" spans="2:40" x14ac:dyDescent="0.2">
      <c r="B892" s="7"/>
      <c r="C892" s="8"/>
      <c r="D892" s="8"/>
      <c r="E892" s="9"/>
      <c r="F892" s="6"/>
      <c r="G892" s="8"/>
      <c r="H892" s="32"/>
      <c r="I892" s="10" t="str">
        <f t="shared" si="207"/>
        <v>21</v>
      </c>
      <c r="J892" s="11">
        <v>1</v>
      </c>
      <c r="K892" s="11"/>
      <c r="L892" s="11"/>
      <c r="M892" s="11">
        <f t="shared" si="211"/>
        <v>0</v>
      </c>
      <c r="N892" s="11"/>
      <c r="O892" s="11">
        <f t="shared" si="212"/>
        <v>0</v>
      </c>
      <c r="P892" s="11"/>
      <c r="Q892" s="11"/>
      <c r="R892" s="11"/>
      <c r="S892" s="11">
        <f t="shared" si="213"/>
        <v>0</v>
      </c>
      <c r="T892" s="11">
        <f t="shared" si="214"/>
        <v>1666.6666666666667</v>
      </c>
      <c r="U892" s="11">
        <f t="shared" si="215"/>
        <v>0</v>
      </c>
      <c r="V892" s="24">
        <f t="shared" si="216"/>
        <v>0</v>
      </c>
      <c r="W892" s="11">
        <f>IF(V892&lt;=40000,0,
IF(V892&lt;=55000,(V892-40000)*10%,
IF(V892&lt;=70000,(V892-55000)*15%+1500,
IF(V892&lt;=200000,(V892-70000)*20%+1500+2250,
IF(V892&lt;=400000,(V892-200000)*22.5%+1500+2250+26000,
IF(V892&lt;=600000,(V892-400000)*25%+1500+2250+26000+45000,
IF(AND(V892&gt;600000,V892&lt;=1200000),(V892-400000)*25%+1500+2250+26000+45000
+IFERROR(LOOKUP(V892,{600001;700001;800001;900001},{4000;6750;10250;15250}),0),IF(V892&gt;1200000,((V892-1200000)*27.5%)+300000,0)
)))))))</f>
        <v>0</v>
      </c>
      <c r="X892" s="12">
        <f t="shared" si="217"/>
        <v>0</v>
      </c>
      <c r="Y892" s="12">
        <f t="shared" si="218"/>
        <v>0</v>
      </c>
      <c r="Z892" s="11"/>
      <c r="AA892" s="13">
        <f t="shared" si="219"/>
        <v>0</v>
      </c>
      <c r="AB892" s="12">
        <f t="shared" si="220"/>
        <v>0</v>
      </c>
      <c r="AC892" s="14">
        <f t="shared" si="208"/>
        <v>0</v>
      </c>
      <c r="AE892" s="19">
        <f t="shared" si="221"/>
        <v>0</v>
      </c>
      <c r="AF892" s="19"/>
      <c r="AG892" s="17"/>
      <c r="AK892" s="7"/>
      <c r="AL892" s="108">
        <f t="shared" si="209"/>
        <v>0</v>
      </c>
      <c r="AM892" s="108">
        <f t="shared" si="210"/>
        <v>0</v>
      </c>
      <c r="AN892" s="113"/>
    </row>
    <row r="893" spans="2:40" x14ac:dyDescent="0.2">
      <c r="B893" s="7"/>
      <c r="C893" s="8"/>
      <c r="D893" s="8"/>
      <c r="E893" s="9"/>
      <c r="F893" s="6"/>
      <c r="G893" s="8"/>
      <c r="H893" s="32"/>
      <c r="I893" s="10" t="str">
        <f t="shared" si="207"/>
        <v>21</v>
      </c>
      <c r="J893" s="11">
        <v>1</v>
      </c>
      <c r="K893" s="11"/>
      <c r="L893" s="11"/>
      <c r="M893" s="11">
        <f t="shared" si="211"/>
        <v>0</v>
      </c>
      <c r="N893" s="11"/>
      <c r="O893" s="11">
        <f t="shared" si="212"/>
        <v>0</v>
      </c>
      <c r="P893" s="11"/>
      <c r="Q893" s="11"/>
      <c r="R893" s="11"/>
      <c r="S893" s="11">
        <f t="shared" si="213"/>
        <v>0</v>
      </c>
      <c r="T893" s="11">
        <f t="shared" si="214"/>
        <v>1666.6666666666667</v>
      </c>
      <c r="U893" s="11">
        <f t="shared" si="215"/>
        <v>0</v>
      </c>
      <c r="V893" s="24">
        <f t="shared" si="216"/>
        <v>0</v>
      </c>
      <c r="W893" s="11">
        <f>IF(V893&lt;=40000,0,
IF(V893&lt;=55000,(V893-40000)*10%,
IF(V893&lt;=70000,(V893-55000)*15%+1500,
IF(V893&lt;=200000,(V893-70000)*20%+1500+2250,
IF(V893&lt;=400000,(V893-200000)*22.5%+1500+2250+26000,
IF(V893&lt;=600000,(V893-400000)*25%+1500+2250+26000+45000,
IF(AND(V893&gt;600000,V893&lt;=1200000),(V893-400000)*25%+1500+2250+26000+45000
+IFERROR(LOOKUP(V893,{600001;700001;800001;900001},{4000;6750;10250;15250}),0),IF(V893&gt;1200000,((V893-1200000)*27.5%)+300000,0)
)))))))</f>
        <v>0</v>
      </c>
      <c r="X893" s="12">
        <f t="shared" si="217"/>
        <v>0</v>
      </c>
      <c r="Y893" s="12">
        <f t="shared" si="218"/>
        <v>0</v>
      </c>
      <c r="Z893" s="11"/>
      <c r="AA893" s="13">
        <f t="shared" si="219"/>
        <v>0</v>
      </c>
      <c r="AB893" s="12">
        <f t="shared" si="220"/>
        <v>0</v>
      </c>
      <c r="AC893" s="14">
        <f t="shared" si="208"/>
        <v>0</v>
      </c>
      <c r="AE893" s="19">
        <f t="shared" si="221"/>
        <v>0</v>
      </c>
      <c r="AF893" s="19"/>
      <c r="AG893" s="17"/>
      <c r="AK893" s="7"/>
      <c r="AL893" s="108">
        <f t="shared" si="209"/>
        <v>0</v>
      </c>
      <c r="AM893" s="108">
        <f t="shared" si="210"/>
        <v>0</v>
      </c>
      <c r="AN893" s="113"/>
    </row>
    <row r="894" spans="2:40" x14ac:dyDescent="0.2">
      <c r="B894" s="7"/>
      <c r="C894" s="8"/>
      <c r="D894" s="8"/>
      <c r="E894" s="9"/>
      <c r="F894" s="6"/>
      <c r="G894" s="8"/>
      <c r="H894" s="32"/>
      <c r="I894" s="10" t="str">
        <f t="shared" si="207"/>
        <v>21</v>
      </c>
      <c r="J894" s="11">
        <v>1</v>
      </c>
      <c r="K894" s="11"/>
      <c r="L894" s="11"/>
      <c r="M894" s="11">
        <f t="shared" si="211"/>
        <v>0</v>
      </c>
      <c r="N894" s="11"/>
      <c r="O894" s="11">
        <f t="shared" si="212"/>
        <v>0</v>
      </c>
      <c r="P894" s="11"/>
      <c r="Q894" s="11"/>
      <c r="R894" s="11"/>
      <c r="S894" s="11">
        <f t="shared" si="213"/>
        <v>0</v>
      </c>
      <c r="T894" s="11">
        <f t="shared" si="214"/>
        <v>1666.6666666666667</v>
      </c>
      <c r="U894" s="11">
        <f t="shared" si="215"/>
        <v>0</v>
      </c>
      <c r="V894" s="24">
        <f t="shared" si="216"/>
        <v>0</v>
      </c>
      <c r="W894" s="11">
        <f>IF(V894&lt;=40000,0,
IF(V894&lt;=55000,(V894-40000)*10%,
IF(V894&lt;=70000,(V894-55000)*15%+1500,
IF(V894&lt;=200000,(V894-70000)*20%+1500+2250,
IF(V894&lt;=400000,(V894-200000)*22.5%+1500+2250+26000,
IF(V894&lt;=600000,(V894-400000)*25%+1500+2250+26000+45000,
IF(AND(V894&gt;600000,V894&lt;=1200000),(V894-400000)*25%+1500+2250+26000+45000
+IFERROR(LOOKUP(V894,{600001;700001;800001;900001},{4000;6750;10250;15250}),0),IF(V894&gt;1200000,((V894-1200000)*27.5%)+300000,0)
)))))))</f>
        <v>0</v>
      </c>
      <c r="X894" s="12">
        <f t="shared" si="217"/>
        <v>0</v>
      </c>
      <c r="Y894" s="12">
        <f t="shared" si="218"/>
        <v>0</v>
      </c>
      <c r="Z894" s="11"/>
      <c r="AA894" s="13">
        <f t="shared" si="219"/>
        <v>0</v>
      </c>
      <c r="AB894" s="12">
        <f t="shared" si="220"/>
        <v>0</v>
      </c>
      <c r="AC894" s="14">
        <f t="shared" si="208"/>
        <v>0</v>
      </c>
      <c r="AE894" s="19">
        <f t="shared" si="221"/>
        <v>0</v>
      </c>
      <c r="AF894" s="19"/>
      <c r="AG894" s="17"/>
      <c r="AK894" s="7"/>
      <c r="AL894" s="108">
        <f t="shared" si="209"/>
        <v>0</v>
      </c>
      <c r="AM894" s="108">
        <f t="shared" si="210"/>
        <v>0</v>
      </c>
      <c r="AN894" s="113"/>
    </row>
    <row r="895" spans="2:40" x14ac:dyDescent="0.2">
      <c r="B895" s="7"/>
      <c r="C895" s="8"/>
      <c r="D895" s="8"/>
      <c r="E895" s="9"/>
      <c r="F895" s="6"/>
      <c r="G895" s="8"/>
      <c r="H895" s="32"/>
      <c r="I895" s="10" t="str">
        <f t="shared" si="207"/>
        <v>21</v>
      </c>
      <c r="J895" s="11">
        <v>1</v>
      </c>
      <c r="K895" s="11"/>
      <c r="L895" s="11"/>
      <c r="M895" s="11">
        <f t="shared" si="211"/>
        <v>0</v>
      </c>
      <c r="N895" s="11"/>
      <c r="O895" s="11">
        <f t="shared" si="212"/>
        <v>0</v>
      </c>
      <c r="P895" s="11"/>
      <c r="Q895" s="11"/>
      <c r="R895" s="11"/>
      <c r="S895" s="11">
        <f t="shared" si="213"/>
        <v>0</v>
      </c>
      <c r="T895" s="11">
        <f t="shared" si="214"/>
        <v>1666.6666666666667</v>
      </c>
      <c r="U895" s="11">
        <f t="shared" si="215"/>
        <v>0</v>
      </c>
      <c r="V895" s="24">
        <f t="shared" si="216"/>
        <v>0</v>
      </c>
      <c r="W895" s="11">
        <f>IF(V895&lt;=40000,0,
IF(V895&lt;=55000,(V895-40000)*10%,
IF(V895&lt;=70000,(V895-55000)*15%+1500,
IF(V895&lt;=200000,(V895-70000)*20%+1500+2250,
IF(V895&lt;=400000,(V895-200000)*22.5%+1500+2250+26000,
IF(V895&lt;=600000,(V895-400000)*25%+1500+2250+26000+45000,
IF(AND(V895&gt;600000,V895&lt;=1200000),(V895-400000)*25%+1500+2250+26000+45000
+IFERROR(LOOKUP(V895,{600001;700001;800001;900001},{4000;6750;10250;15250}),0),IF(V895&gt;1200000,((V895-1200000)*27.5%)+300000,0)
)))))))</f>
        <v>0</v>
      </c>
      <c r="X895" s="12">
        <f t="shared" si="217"/>
        <v>0</v>
      </c>
      <c r="Y895" s="12">
        <f t="shared" si="218"/>
        <v>0</v>
      </c>
      <c r="Z895" s="11"/>
      <c r="AA895" s="13">
        <f t="shared" si="219"/>
        <v>0</v>
      </c>
      <c r="AB895" s="12">
        <f t="shared" si="220"/>
        <v>0</v>
      </c>
      <c r="AC895" s="14">
        <f t="shared" si="208"/>
        <v>0</v>
      </c>
      <c r="AE895" s="19">
        <f t="shared" si="221"/>
        <v>0</v>
      </c>
      <c r="AF895" s="19"/>
      <c r="AG895" s="17"/>
      <c r="AK895" s="7"/>
      <c r="AL895" s="108">
        <f t="shared" si="209"/>
        <v>0</v>
      </c>
      <c r="AM895" s="108">
        <f t="shared" si="210"/>
        <v>0</v>
      </c>
      <c r="AN895" s="113"/>
    </row>
    <row r="896" spans="2:40" x14ac:dyDescent="0.2">
      <c r="B896" s="7"/>
      <c r="C896" s="8"/>
      <c r="D896" s="8"/>
      <c r="E896" s="9"/>
      <c r="F896" s="6"/>
      <c r="G896" s="8"/>
      <c r="H896" s="32"/>
      <c r="I896" s="10" t="str">
        <f t="shared" si="207"/>
        <v>21</v>
      </c>
      <c r="J896" s="11">
        <v>1</v>
      </c>
      <c r="K896" s="11"/>
      <c r="L896" s="11"/>
      <c r="M896" s="11">
        <f t="shared" si="211"/>
        <v>0</v>
      </c>
      <c r="N896" s="11"/>
      <c r="O896" s="11">
        <f t="shared" si="212"/>
        <v>0</v>
      </c>
      <c r="P896" s="11"/>
      <c r="Q896" s="11"/>
      <c r="R896" s="11"/>
      <c r="S896" s="11">
        <f t="shared" si="213"/>
        <v>0</v>
      </c>
      <c r="T896" s="11">
        <f t="shared" si="214"/>
        <v>1666.6666666666667</v>
      </c>
      <c r="U896" s="11">
        <f t="shared" si="215"/>
        <v>0</v>
      </c>
      <c r="V896" s="24">
        <f t="shared" si="216"/>
        <v>0</v>
      </c>
      <c r="W896" s="11">
        <f>IF(V896&lt;=40000,0,
IF(V896&lt;=55000,(V896-40000)*10%,
IF(V896&lt;=70000,(V896-55000)*15%+1500,
IF(V896&lt;=200000,(V896-70000)*20%+1500+2250,
IF(V896&lt;=400000,(V896-200000)*22.5%+1500+2250+26000,
IF(V896&lt;=600000,(V896-400000)*25%+1500+2250+26000+45000,
IF(AND(V896&gt;600000,V896&lt;=1200000),(V896-400000)*25%+1500+2250+26000+45000
+IFERROR(LOOKUP(V896,{600001;700001;800001;900001},{4000;6750;10250;15250}),0),IF(V896&gt;1200000,((V896-1200000)*27.5%)+300000,0)
)))))))</f>
        <v>0</v>
      </c>
      <c r="X896" s="12">
        <f t="shared" si="217"/>
        <v>0</v>
      </c>
      <c r="Y896" s="12">
        <f t="shared" si="218"/>
        <v>0</v>
      </c>
      <c r="Z896" s="11"/>
      <c r="AA896" s="13">
        <f t="shared" si="219"/>
        <v>0</v>
      </c>
      <c r="AB896" s="12">
        <f t="shared" si="220"/>
        <v>0</v>
      </c>
      <c r="AC896" s="14">
        <f t="shared" si="208"/>
        <v>0</v>
      </c>
      <c r="AE896" s="19">
        <f t="shared" si="221"/>
        <v>0</v>
      </c>
      <c r="AF896" s="19"/>
      <c r="AG896" s="17"/>
      <c r="AK896" s="7"/>
      <c r="AL896" s="108">
        <f t="shared" si="209"/>
        <v>0</v>
      </c>
      <c r="AM896" s="108">
        <f t="shared" si="210"/>
        <v>0</v>
      </c>
      <c r="AN896" s="113"/>
    </row>
    <row r="897" spans="2:40" x14ac:dyDescent="0.2">
      <c r="B897" s="7"/>
      <c r="C897" s="8"/>
      <c r="D897" s="8"/>
      <c r="E897" s="9"/>
      <c r="F897" s="6"/>
      <c r="G897" s="8"/>
      <c r="H897" s="32"/>
      <c r="I897" s="10" t="str">
        <f t="shared" si="207"/>
        <v>21</v>
      </c>
      <c r="J897" s="11">
        <v>1</v>
      </c>
      <c r="K897" s="11"/>
      <c r="L897" s="11"/>
      <c r="M897" s="11">
        <f t="shared" si="211"/>
        <v>0</v>
      </c>
      <c r="N897" s="11"/>
      <c r="O897" s="11">
        <f t="shared" si="212"/>
        <v>0</v>
      </c>
      <c r="P897" s="11"/>
      <c r="Q897" s="11"/>
      <c r="R897" s="11"/>
      <c r="S897" s="11">
        <f t="shared" si="213"/>
        <v>0</v>
      </c>
      <c r="T897" s="11">
        <f t="shared" si="214"/>
        <v>1666.6666666666667</v>
      </c>
      <c r="U897" s="11">
        <f t="shared" si="215"/>
        <v>0</v>
      </c>
      <c r="V897" s="24">
        <f t="shared" si="216"/>
        <v>0</v>
      </c>
      <c r="W897" s="11">
        <f>IF(V897&lt;=40000,0,
IF(V897&lt;=55000,(V897-40000)*10%,
IF(V897&lt;=70000,(V897-55000)*15%+1500,
IF(V897&lt;=200000,(V897-70000)*20%+1500+2250,
IF(V897&lt;=400000,(V897-200000)*22.5%+1500+2250+26000,
IF(V897&lt;=600000,(V897-400000)*25%+1500+2250+26000+45000,
IF(AND(V897&gt;600000,V897&lt;=1200000),(V897-400000)*25%+1500+2250+26000+45000
+IFERROR(LOOKUP(V897,{600001;700001;800001;900001},{4000;6750;10250;15250}),0),IF(V897&gt;1200000,((V897-1200000)*27.5%)+300000,0)
)))))))</f>
        <v>0</v>
      </c>
      <c r="X897" s="12">
        <f t="shared" si="217"/>
        <v>0</v>
      </c>
      <c r="Y897" s="12">
        <f t="shared" si="218"/>
        <v>0</v>
      </c>
      <c r="Z897" s="11"/>
      <c r="AA897" s="13">
        <f t="shared" si="219"/>
        <v>0</v>
      </c>
      <c r="AB897" s="12">
        <f t="shared" si="220"/>
        <v>0</v>
      </c>
      <c r="AC897" s="14">
        <f t="shared" si="208"/>
        <v>0</v>
      </c>
      <c r="AE897" s="19">
        <f t="shared" si="221"/>
        <v>0</v>
      </c>
      <c r="AF897" s="19"/>
      <c r="AG897" s="17"/>
      <c r="AK897" s="7"/>
      <c r="AL897" s="108">
        <f t="shared" si="209"/>
        <v>0</v>
      </c>
      <c r="AM897" s="108">
        <f t="shared" si="210"/>
        <v>0</v>
      </c>
      <c r="AN897" s="113"/>
    </row>
    <row r="898" spans="2:40" x14ac:dyDescent="0.2">
      <c r="B898" s="7"/>
      <c r="C898" s="8"/>
      <c r="D898" s="8"/>
      <c r="E898" s="9"/>
      <c r="F898" s="6"/>
      <c r="G898" s="8"/>
      <c r="H898" s="32"/>
      <c r="I898" s="10" t="str">
        <f t="shared" si="207"/>
        <v>21</v>
      </c>
      <c r="J898" s="11">
        <v>1</v>
      </c>
      <c r="K898" s="11"/>
      <c r="L898" s="11"/>
      <c r="M898" s="11">
        <f t="shared" si="211"/>
        <v>0</v>
      </c>
      <c r="N898" s="11"/>
      <c r="O898" s="11">
        <f t="shared" si="212"/>
        <v>0</v>
      </c>
      <c r="P898" s="11"/>
      <c r="Q898" s="11"/>
      <c r="R898" s="11"/>
      <c r="S898" s="11">
        <f t="shared" si="213"/>
        <v>0</v>
      </c>
      <c r="T898" s="11">
        <f t="shared" si="214"/>
        <v>1666.6666666666667</v>
      </c>
      <c r="U898" s="11">
        <f t="shared" si="215"/>
        <v>0</v>
      </c>
      <c r="V898" s="24">
        <f t="shared" si="216"/>
        <v>0</v>
      </c>
      <c r="W898" s="11">
        <f>IF(V898&lt;=40000,0,
IF(V898&lt;=55000,(V898-40000)*10%,
IF(V898&lt;=70000,(V898-55000)*15%+1500,
IF(V898&lt;=200000,(V898-70000)*20%+1500+2250,
IF(V898&lt;=400000,(V898-200000)*22.5%+1500+2250+26000,
IF(V898&lt;=600000,(V898-400000)*25%+1500+2250+26000+45000,
IF(AND(V898&gt;600000,V898&lt;=1200000),(V898-400000)*25%+1500+2250+26000+45000
+IFERROR(LOOKUP(V898,{600001;700001;800001;900001},{4000;6750;10250;15250}),0),IF(V898&gt;1200000,((V898-1200000)*27.5%)+300000,0)
)))))))</f>
        <v>0</v>
      </c>
      <c r="X898" s="12">
        <f t="shared" si="217"/>
        <v>0</v>
      </c>
      <c r="Y898" s="12">
        <f t="shared" si="218"/>
        <v>0</v>
      </c>
      <c r="Z898" s="11"/>
      <c r="AA898" s="13">
        <f t="shared" si="219"/>
        <v>0</v>
      </c>
      <c r="AB898" s="12">
        <f t="shared" si="220"/>
        <v>0</v>
      </c>
      <c r="AC898" s="14">
        <f t="shared" si="208"/>
        <v>0</v>
      </c>
      <c r="AE898" s="19">
        <f t="shared" si="221"/>
        <v>0</v>
      </c>
      <c r="AF898" s="19"/>
      <c r="AG898" s="17"/>
      <c r="AK898" s="7"/>
      <c r="AL898" s="108">
        <f t="shared" si="209"/>
        <v>0</v>
      </c>
      <c r="AM898" s="108">
        <f t="shared" si="210"/>
        <v>0</v>
      </c>
      <c r="AN898" s="113"/>
    </row>
    <row r="899" spans="2:40" x14ac:dyDescent="0.2">
      <c r="B899" s="7"/>
      <c r="C899" s="8"/>
      <c r="D899" s="8"/>
      <c r="E899" s="9"/>
      <c r="F899" s="6"/>
      <c r="G899" s="8"/>
      <c r="H899" s="32"/>
      <c r="I899" s="10" t="str">
        <f t="shared" si="207"/>
        <v>21</v>
      </c>
      <c r="J899" s="11">
        <v>1</v>
      </c>
      <c r="K899" s="11"/>
      <c r="L899" s="11"/>
      <c r="M899" s="11">
        <f t="shared" si="211"/>
        <v>0</v>
      </c>
      <c r="N899" s="11"/>
      <c r="O899" s="11">
        <f t="shared" si="212"/>
        <v>0</v>
      </c>
      <c r="P899" s="11"/>
      <c r="Q899" s="11"/>
      <c r="R899" s="11"/>
      <c r="S899" s="11">
        <f t="shared" si="213"/>
        <v>0</v>
      </c>
      <c r="T899" s="11">
        <f t="shared" si="214"/>
        <v>1666.6666666666667</v>
      </c>
      <c r="U899" s="11">
        <f t="shared" si="215"/>
        <v>0</v>
      </c>
      <c r="V899" s="24">
        <f t="shared" si="216"/>
        <v>0</v>
      </c>
      <c r="W899" s="11">
        <f>IF(V899&lt;=40000,0,
IF(V899&lt;=55000,(V899-40000)*10%,
IF(V899&lt;=70000,(V899-55000)*15%+1500,
IF(V899&lt;=200000,(V899-70000)*20%+1500+2250,
IF(V899&lt;=400000,(V899-200000)*22.5%+1500+2250+26000,
IF(V899&lt;=600000,(V899-400000)*25%+1500+2250+26000+45000,
IF(AND(V899&gt;600000,V899&lt;=1200000),(V899-400000)*25%+1500+2250+26000+45000
+IFERROR(LOOKUP(V899,{600001;700001;800001;900001},{4000;6750;10250;15250}),0),IF(V899&gt;1200000,((V899-1200000)*27.5%)+300000,0)
)))))))</f>
        <v>0</v>
      </c>
      <c r="X899" s="12">
        <f t="shared" si="217"/>
        <v>0</v>
      </c>
      <c r="Y899" s="12">
        <f t="shared" si="218"/>
        <v>0</v>
      </c>
      <c r="Z899" s="11"/>
      <c r="AA899" s="13">
        <f t="shared" si="219"/>
        <v>0</v>
      </c>
      <c r="AB899" s="12">
        <f t="shared" si="220"/>
        <v>0</v>
      </c>
      <c r="AC899" s="14">
        <f t="shared" si="208"/>
        <v>0</v>
      </c>
      <c r="AE899" s="19">
        <f t="shared" si="221"/>
        <v>0</v>
      </c>
      <c r="AF899" s="19"/>
      <c r="AG899" s="17"/>
      <c r="AK899" s="7"/>
      <c r="AL899" s="108">
        <f t="shared" si="209"/>
        <v>0</v>
      </c>
      <c r="AM899" s="108">
        <f t="shared" si="210"/>
        <v>0</v>
      </c>
      <c r="AN899" s="113"/>
    </row>
    <row r="900" spans="2:40" x14ac:dyDescent="0.2">
      <c r="B900" s="7"/>
      <c r="C900" s="8"/>
      <c r="D900" s="8"/>
      <c r="E900" s="9"/>
      <c r="F900" s="6"/>
      <c r="G900" s="8"/>
      <c r="H900" s="32"/>
      <c r="I900" s="10" t="str">
        <f t="shared" si="207"/>
        <v>21</v>
      </c>
      <c r="J900" s="11">
        <v>1</v>
      </c>
      <c r="K900" s="11"/>
      <c r="L900" s="11"/>
      <c r="M900" s="11">
        <f t="shared" si="211"/>
        <v>0</v>
      </c>
      <c r="N900" s="11"/>
      <c r="O900" s="11">
        <f t="shared" si="212"/>
        <v>0</v>
      </c>
      <c r="P900" s="11"/>
      <c r="Q900" s="11"/>
      <c r="R900" s="11"/>
      <c r="S900" s="11">
        <f t="shared" si="213"/>
        <v>0</v>
      </c>
      <c r="T900" s="11">
        <f t="shared" si="214"/>
        <v>1666.6666666666667</v>
      </c>
      <c r="U900" s="11">
        <f t="shared" si="215"/>
        <v>0</v>
      </c>
      <c r="V900" s="24">
        <f t="shared" si="216"/>
        <v>0</v>
      </c>
      <c r="W900" s="11">
        <f>IF(V900&lt;=40000,0,
IF(V900&lt;=55000,(V900-40000)*10%,
IF(V900&lt;=70000,(V900-55000)*15%+1500,
IF(V900&lt;=200000,(V900-70000)*20%+1500+2250,
IF(V900&lt;=400000,(V900-200000)*22.5%+1500+2250+26000,
IF(V900&lt;=600000,(V900-400000)*25%+1500+2250+26000+45000,
IF(AND(V900&gt;600000,V900&lt;=1200000),(V900-400000)*25%+1500+2250+26000+45000
+IFERROR(LOOKUP(V900,{600001;700001;800001;900001},{4000;6750;10250;15250}),0),IF(V900&gt;1200000,((V900-1200000)*27.5%)+300000,0)
)))))))</f>
        <v>0</v>
      </c>
      <c r="X900" s="12">
        <f t="shared" si="217"/>
        <v>0</v>
      </c>
      <c r="Y900" s="12">
        <f t="shared" si="218"/>
        <v>0</v>
      </c>
      <c r="Z900" s="11"/>
      <c r="AA900" s="13">
        <f t="shared" si="219"/>
        <v>0</v>
      </c>
      <c r="AB900" s="12">
        <f t="shared" si="220"/>
        <v>0</v>
      </c>
      <c r="AC900" s="14">
        <f t="shared" si="208"/>
        <v>0</v>
      </c>
      <c r="AE900" s="19">
        <f t="shared" si="221"/>
        <v>0</v>
      </c>
      <c r="AF900" s="19"/>
      <c r="AG900" s="17"/>
      <c r="AK900" s="7"/>
      <c r="AL900" s="108">
        <f t="shared" si="209"/>
        <v>0</v>
      </c>
      <c r="AM900" s="108">
        <f t="shared" si="210"/>
        <v>0</v>
      </c>
      <c r="AN900" s="113"/>
    </row>
    <row r="901" spans="2:40" x14ac:dyDescent="0.2">
      <c r="B901" s="7"/>
      <c r="C901" s="8"/>
      <c r="D901" s="8"/>
      <c r="E901" s="9"/>
      <c r="F901" s="6"/>
      <c r="G901" s="8"/>
      <c r="H901" s="32"/>
      <c r="I901" s="10" t="str">
        <f t="shared" ref="I901:I964" si="222">IF(G901&gt;0,"1","21")</f>
        <v>21</v>
      </c>
      <c r="J901" s="11">
        <v>1</v>
      </c>
      <c r="K901" s="11"/>
      <c r="L901" s="11"/>
      <c r="M901" s="11">
        <f t="shared" si="211"/>
        <v>0</v>
      </c>
      <c r="N901" s="11"/>
      <c r="O901" s="11">
        <f t="shared" si="212"/>
        <v>0</v>
      </c>
      <c r="P901" s="11"/>
      <c r="Q901" s="11"/>
      <c r="R901" s="11"/>
      <c r="S901" s="11">
        <f t="shared" si="213"/>
        <v>0</v>
      </c>
      <c r="T901" s="11">
        <f t="shared" si="214"/>
        <v>1666.6666666666667</v>
      </c>
      <c r="U901" s="11">
        <f t="shared" si="215"/>
        <v>0</v>
      </c>
      <c r="V901" s="24">
        <f t="shared" si="216"/>
        <v>0</v>
      </c>
      <c r="W901" s="11">
        <f>IF(V901&lt;=40000,0,
IF(V901&lt;=55000,(V901-40000)*10%,
IF(V901&lt;=70000,(V901-55000)*15%+1500,
IF(V901&lt;=200000,(V901-70000)*20%+1500+2250,
IF(V901&lt;=400000,(V901-200000)*22.5%+1500+2250+26000,
IF(V901&lt;=600000,(V901-400000)*25%+1500+2250+26000+45000,
IF(AND(V901&gt;600000,V901&lt;=1200000),(V901-400000)*25%+1500+2250+26000+45000
+IFERROR(LOOKUP(V901,{600001;700001;800001;900001},{4000;6750;10250;15250}),0),IF(V901&gt;1200000,((V901-1200000)*27.5%)+300000,0)
)))))))</f>
        <v>0</v>
      </c>
      <c r="X901" s="12">
        <f t="shared" si="217"/>
        <v>0</v>
      </c>
      <c r="Y901" s="12">
        <f t="shared" si="218"/>
        <v>0</v>
      </c>
      <c r="Z901" s="11"/>
      <c r="AA901" s="13">
        <f t="shared" si="219"/>
        <v>0</v>
      </c>
      <c r="AB901" s="12">
        <f t="shared" si="220"/>
        <v>0</v>
      </c>
      <c r="AC901" s="14">
        <f t="shared" ref="AC901:AC964" si="223">+M901-P901-Y901</f>
        <v>0</v>
      </c>
      <c r="AE901" s="19">
        <f t="shared" si="221"/>
        <v>0</v>
      </c>
      <c r="AF901" s="19"/>
      <c r="AG901" s="17"/>
      <c r="AK901" s="7"/>
      <c r="AL901" s="108">
        <f t="shared" ref="AL901:AL964" si="224">+AK901+AD901</f>
        <v>0</v>
      </c>
      <c r="AM901" s="108">
        <f t="shared" ref="AM901:AM964" si="225">+AL901-AC901</f>
        <v>0</v>
      </c>
      <c r="AN901" s="113"/>
    </row>
    <row r="902" spans="2:40" x14ac:dyDescent="0.2">
      <c r="B902" s="7"/>
      <c r="C902" s="8"/>
      <c r="D902" s="8"/>
      <c r="E902" s="9"/>
      <c r="F902" s="6"/>
      <c r="G902" s="8"/>
      <c r="H902" s="32"/>
      <c r="I902" s="10" t="str">
        <f t="shared" si="222"/>
        <v>21</v>
      </c>
      <c r="J902" s="11">
        <v>1</v>
      </c>
      <c r="K902" s="11"/>
      <c r="L902" s="11"/>
      <c r="M902" s="11">
        <f t="shared" si="211"/>
        <v>0</v>
      </c>
      <c r="N902" s="11"/>
      <c r="O902" s="11">
        <f t="shared" si="212"/>
        <v>0</v>
      </c>
      <c r="P902" s="11"/>
      <c r="Q902" s="11"/>
      <c r="R902" s="11"/>
      <c r="S902" s="11">
        <f t="shared" si="213"/>
        <v>0</v>
      </c>
      <c r="T902" s="11">
        <f t="shared" si="214"/>
        <v>1666.6666666666667</v>
      </c>
      <c r="U902" s="11">
        <f t="shared" si="215"/>
        <v>0</v>
      </c>
      <c r="V902" s="24">
        <f t="shared" si="216"/>
        <v>0</v>
      </c>
      <c r="W902" s="11">
        <f>IF(V902&lt;=40000,0,
IF(V902&lt;=55000,(V902-40000)*10%,
IF(V902&lt;=70000,(V902-55000)*15%+1500,
IF(V902&lt;=200000,(V902-70000)*20%+1500+2250,
IF(V902&lt;=400000,(V902-200000)*22.5%+1500+2250+26000,
IF(V902&lt;=600000,(V902-400000)*25%+1500+2250+26000+45000,
IF(AND(V902&gt;600000,V902&lt;=1200000),(V902-400000)*25%+1500+2250+26000+45000
+IFERROR(LOOKUP(V902,{600001;700001;800001;900001},{4000;6750;10250;15250}),0),IF(V902&gt;1200000,((V902-1200000)*27.5%)+300000,0)
)))))))</f>
        <v>0</v>
      </c>
      <c r="X902" s="12">
        <f t="shared" si="217"/>
        <v>0</v>
      </c>
      <c r="Y902" s="12">
        <f t="shared" si="218"/>
        <v>0</v>
      </c>
      <c r="Z902" s="11"/>
      <c r="AA902" s="13">
        <f t="shared" si="219"/>
        <v>0</v>
      </c>
      <c r="AB902" s="12">
        <f t="shared" si="220"/>
        <v>0</v>
      </c>
      <c r="AC902" s="14">
        <f t="shared" si="223"/>
        <v>0</v>
      </c>
      <c r="AE902" s="19">
        <f t="shared" si="221"/>
        <v>0</v>
      </c>
      <c r="AF902" s="19"/>
      <c r="AG902" s="17"/>
      <c r="AK902" s="7"/>
      <c r="AL902" s="108">
        <f t="shared" si="224"/>
        <v>0</v>
      </c>
      <c r="AM902" s="108">
        <f t="shared" si="225"/>
        <v>0</v>
      </c>
      <c r="AN902" s="113"/>
    </row>
    <row r="903" spans="2:40" x14ac:dyDescent="0.2">
      <c r="B903" s="7"/>
      <c r="C903" s="8"/>
      <c r="D903" s="8"/>
      <c r="E903" s="9"/>
      <c r="F903" s="6"/>
      <c r="G903" s="8"/>
      <c r="H903" s="32"/>
      <c r="I903" s="10" t="str">
        <f t="shared" si="222"/>
        <v>21</v>
      </c>
      <c r="J903" s="11">
        <v>1</v>
      </c>
      <c r="K903" s="11"/>
      <c r="L903" s="11"/>
      <c r="M903" s="11">
        <f t="shared" si="211"/>
        <v>0</v>
      </c>
      <c r="N903" s="11"/>
      <c r="O903" s="11">
        <f t="shared" si="212"/>
        <v>0</v>
      </c>
      <c r="P903" s="11"/>
      <c r="Q903" s="11"/>
      <c r="R903" s="11"/>
      <c r="S903" s="11">
        <f t="shared" si="213"/>
        <v>0</v>
      </c>
      <c r="T903" s="11">
        <f t="shared" si="214"/>
        <v>1666.6666666666667</v>
      </c>
      <c r="U903" s="11">
        <f t="shared" si="215"/>
        <v>0</v>
      </c>
      <c r="V903" s="24">
        <f t="shared" si="216"/>
        <v>0</v>
      </c>
      <c r="W903" s="11">
        <f>IF(V903&lt;=40000,0,
IF(V903&lt;=55000,(V903-40000)*10%,
IF(V903&lt;=70000,(V903-55000)*15%+1500,
IF(V903&lt;=200000,(V903-70000)*20%+1500+2250,
IF(V903&lt;=400000,(V903-200000)*22.5%+1500+2250+26000,
IF(V903&lt;=600000,(V903-400000)*25%+1500+2250+26000+45000,
IF(AND(V903&gt;600000,V903&lt;=1200000),(V903-400000)*25%+1500+2250+26000+45000
+IFERROR(LOOKUP(V903,{600001;700001;800001;900001},{4000;6750;10250;15250}),0),IF(V903&gt;1200000,((V903-1200000)*27.5%)+300000,0)
)))))))</f>
        <v>0</v>
      </c>
      <c r="X903" s="12">
        <f t="shared" si="217"/>
        <v>0</v>
      </c>
      <c r="Y903" s="12">
        <f t="shared" si="218"/>
        <v>0</v>
      </c>
      <c r="Z903" s="11"/>
      <c r="AA903" s="13">
        <f t="shared" si="219"/>
        <v>0</v>
      </c>
      <c r="AB903" s="12">
        <f t="shared" si="220"/>
        <v>0</v>
      </c>
      <c r="AC903" s="14">
        <f t="shared" si="223"/>
        <v>0</v>
      </c>
      <c r="AE903" s="19">
        <f t="shared" si="221"/>
        <v>0</v>
      </c>
      <c r="AF903" s="19"/>
      <c r="AG903" s="17"/>
      <c r="AK903" s="7"/>
      <c r="AL903" s="108">
        <f t="shared" si="224"/>
        <v>0</v>
      </c>
      <c r="AM903" s="108">
        <f t="shared" si="225"/>
        <v>0</v>
      </c>
      <c r="AN903" s="113"/>
    </row>
    <row r="904" spans="2:40" x14ac:dyDescent="0.2">
      <c r="B904" s="7"/>
      <c r="C904" s="8"/>
      <c r="D904" s="8"/>
      <c r="E904" s="9"/>
      <c r="F904" s="6"/>
      <c r="G904" s="8"/>
      <c r="H904" s="32"/>
      <c r="I904" s="10" t="str">
        <f t="shared" si="222"/>
        <v>21</v>
      </c>
      <c r="J904" s="11">
        <v>1</v>
      </c>
      <c r="K904" s="11"/>
      <c r="L904" s="11"/>
      <c r="M904" s="11">
        <f t="shared" si="211"/>
        <v>0</v>
      </c>
      <c r="N904" s="11"/>
      <c r="O904" s="11">
        <f t="shared" si="212"/>
        <v>0</v>
      </c>
      <c r="P904" s="11"/>
      <c r="Q904" s="11"/>
      <c r="R904" s="11"/>
      <c r="S904" s="11">
        <f t="shared" si="213"/>
        <v>0</v>
      </c>
      <c r="T904" s="11">
        <f t="shared" si="214"/>
        <v>1666.6666666666667</v>
      </c>
      <c r="U904" s="11">
        <f t="shared" si="215"/>
        <v>0</v>
      </c>
      <c r="V904" s="24">
        <f t="shared" si="216"/>
        <v>0</v>
      </c>
      <c r="W904" s="11">
        <f>IF(V904&lt;=40000,0,
IF(V904&lt;=55000,(V904-40000)*10%,
IF(V904&lt;=70000,(V904-55000)*15%+1500,
IF(V904&lt;=200000,(V904-70000)*20%+1500+2250,
IF(V904&lt;=400000,(V904-200000)*22.5%+1500+2250+26000,
IF(V904&lt;=600000,(V904-400000)*25%+1500+2250+26000+45000,
IF(AND(V904&gt;600000,V904&lt;=1200000),(V904-400000)*25%+1500+2250+26000+45000
+IFERROR(LOOKUP(V904,{600001;700001;800001;900001},{4000;6750;10250;15250}),0),IF(V904&gt;1200000,((V904-1200000)*27.5%)+300000,0)
)))))))</f>
        <v>0</v>
      </c>
      <c r="X904" s="12">
        <f t="shared" si="217"/>
        <v>0</v>
      </c>
      <c r="Y904" s="12">
        <f t="shared" si="218"/>
        <v>0</v>
      </c>
      <c r="Z904" s="11"/>
      <c r="AA904" s="13">
        <f t="shared" si="219"/>
        <v>0</v>
      </c>
      <c r="AB904" s="12">
        <f t="shared" si="220"/>
        <v>0</v>
      </c>
      <c r="AC904" s="14">
        <f t="shared" si="223"/>
        <v>0</v>
      </c>
      <c r="AE904" s="19">
        <f t="shared" si="221"/>
        <v>0</v>
      </c>
      <c r="AF904" s="19"/>
      <c r="AG904" s="17"/>
      <c r="AK904" s="7"/>
      <c r="AL904" s="108">
        <f t="shared" si="224"/>
        <v>0</v>
      </c>
      <c r="AM904" s="108">
        <f t="shared" si="225"/>
        <v>0</v>
      </c>
      <c r="AN904" s="113"/>
    </row>
    <row r="905" spans="2:40" x14ac:dyDescent="0.2">
      <c r="B905" s="7"/>
      <c r="C905" s="8"/>
      <c r="D905" s="8"/>
      <c r="E905" s="9"/>
      <c r="F905" s="6"/>
      <c r="G905" s="8"/>
      <c r="H905" s="32"/>
      <c r="I905" s="10" t="str">
        <f t="shared" si="222"/>
        <v>21</v>
      </c>
      <c r="J905" s="11">
        <v>1</v>
      </c>
      <c r="K905" s="11"/>
      <c r="L905" s="11"/>
      <c r="M905" s="11">
        <f t="shared" si="211"/>
        <v>0</v>
      </c>
      <c r="N905" s="11"/>
      <c r="O905" s="11">
        <f t="shared" si="212"/>
        <v>0</v>
      </c>
      <c r="P905" s="11"/>
      <c r="Q905" s="11"/>
      <c r="R905" s="11"/>
      <c r="S905" s="11">
        <f t="shared" si="213"/>
        <v>0</v>
      </c>
      <c r="T905" s="11">
        <f t="shared" si="214"/>
        <v>1666.6666666666667</v>
      </c>
      <c r="U905" s="11">
        <f t="shared" si="215"/>
        <v>0</v>
      </c>
      <c r="V905" s="24">
        <f t="shared" si="216"/>
        <v>0</v>
      </c>
      <c r="W905" s="11">
        <f>IF(V905&lt;=40000,0,
IF(V905&lt;=55000,(V905-40000)*10%,
IF(V905&lt;=70000,(V905-55000)*15%+1500,
IF(V905&lt;=200000,(V905-70000)*20%+1500+2250,
IF(V905&lt;=400000,(V905-200000)*22.5%+1500+2250+26000,
IF(V905&lt;=600000,(V905-400000)*25%+1500+2250+26000+45000,
IF(AND(V905&gt;600000,V905&lt;=1200000),(V905-400000)*25%+1500+2250+26000+45000
+IFERROR(LOOKUP(V905,{600001;700001;800001;900001},{4000;6750;10250;15250}),0),IF(V905&gt;1200000,((V905-1200000)*27.5%)+300000,0)
)))))))</f>
        <v>0</v>
      </c>
      <c r="X905" s="12">
        <f t="shared" si="217"/>
        <v>0</v>
      </c>
      <c r="Y905" s="12">
        <f t="shared" si="218"/>
        <v>0</v>
      </c>
      <c r="Z905" s="11"/>
      <c r="AA905" s="13">
        <f t="shared" si="219"/>
        <v>0</v>
      </c>
      <c r="AB905" s="12">
        <f t="shared" si="220"/>
        <v>0</v>
      </c>
      <c r="AC905" s="14">
        <f t="shared" si="223"/>
        <v>0</v>
      </c>
      <c r="AE905" s="19">
        <f t="shared" si="221"/>
        <v>0</v>
      </c>
      <c r="AF905" s="19"/>
      <c r="AG905" s="17"/>
      <c r="AK905" s="7"/>
      <c r="AL905" s="108">
        <f t="shared" si="224"/>
        <v>0</v>
      </c>
      <c r="AM905" s="108">
        <f t="shared" si="225"/>
        <v>0</v>
      </c>
      <c r="AN905" s="113"/>
    </row>
    <row r="906" spans="2:40" x14ac:dyDescent="0.2">
      <c r="B906" s="7"/>
      <c r="C906" s="8"/>
      <c r="D906" s="8"/>
      <c r="E906" s="9"/>
      <c r="F906" s="6"/>
      <c r="G906" s="8"/>
      <c r="H906" s="32"/>
      <c r="I906" s="10" t="str">
        <f t="shared" si="222"/>
        <v>21</v>
      </c>
      <c r="J906" s="11">
        <v>1</v>
      </c>
      <c r="K906" s="11"/>
      <c r="L906" s="11"/>
      <c r="M906" s="11">
        <f t="shared" si="211"/>
        <v>0</v>
      </c>
      <c r="N906" s="11"/>
      <c r="O906" s="11">
        <f t="shared" si="212"/>
        <v>0</v>
      </c>
      <c r="P906" s="11"/>
      <c r="Q906" s="11"/>
      <c r="R906" s="11"/>
      <c r="S906" s="11">
        <f t="shared" si="213"/>
        <v>0</v>
      </c>
      <c r="T906" s="11">
        <f t="shared" si="214"/>
        <v>1666.6666666666667</v>
      </c>
      <c r="U906" s="11">
        <f t="shared" si="215"/>
        <v>0</v>
      </c>
      <c r="V906" s="24">
        <f t="shared" si="216"/>
        <v>0</v>
      </c>
      <c r="W906" s="11">
        <f>IF(V906&lt;=40000,0,
IF(V906&lt;=55000,(V906-40000)*10%,
IF(V906&lt;=70000,(V906-55000)*15%+1500,
IF(V906&lt;=200000,(V906-70000)*20%+1500+2250,
IF(V906&lt;=400000,(V906-200000)*22.5%+1500+2250+26000,
IF(V906&lt;=600000,(V906-400000)*25%+1500+2250+26000+45000,
IF(AND(V906&gt;600000,V906&lt;=1200000),(V906-400000)*25%+1500+2250+26000+45000
+IFERROR(LOOKUP(V906,{600001;700001;800001;900001},{4000;6750;10250;15250}),0),IF(V906&gt;1200000,((V906-1200000)*27.5%)+300000,0)
)))))))</f>
        <v>0</v>
      </c>
      <c r="X906" s="12">
        <f t="shared" si="217"/>
        <v>0</v>
      </c>
      <c r="Y906" s="12">
        <f t="shared" si="218"/>
        <v>0</v>
      </c>
      <c r="Z906" s="11"/>
      <c r="AA906" s="13">
        <f t="shared" si="219"/>
        <v>0</v>
      </c>
      <c r="AB906" s="12">
        <f t="shared" si="220"/>
        <v>0</v>
      </c>
      <c r="AC906" s="14">
        <f t="shared" si="223"/>
        <v>0</v>
      </c>
      <c r="AE906" s="19">
        <f t="shared" si="221"/>
        <v>0</v>
      </c>
      <c r="AF906" s="19"/>
      <c r="AG906" s="17"/>
      <c r="AK906" s="7"/>
      <c r="AL906" s="108">
        <f t="shared" si="224"/>
        <v>0</v>
      </c>
      <c r="AM906" s="108">
        <f t="shared" si="225"/>
        <v>0</v>
      </c>
      <c r="AN906" s="113"/>
    </row>
    <row r="907" spans="2:40" x14ac:dyDescent="0.2">
      <c r="B907" s="7"/>
      <c r="C907" s="8"/>
      <c r="D907" s="8"/>
      <c r="E907" s="9"/>
      <c r="F907" s="6"/>
      <c r="G907" s="8"/>
      <c r="H907" s="32"/>
      <c r="I907" s="10" t="str">
        <f t="shared" si="222"/>
        <v>21</v>
      </c>
      <c r="J907" s="11">
        <v>1</v>
      </c>
      <c r="K907" s="11"/>
      <c r="L907" s="11"/>
      <c r="M907" s="11">
        <f t="shared" si="211"/>
        <v>0</v>
      </c>
      <c r="N907" s="11"/>
      <c r="O907" s="11">
        <f t="shared" si="212"/>
        <v>0</v>
      </c>
      <c r="P907" s="11"/>
      <c r="Q907" s="11"/>
      <c r="R907" s="11"/>
      <c r="S907" s="11">
        <f t="shared" si="213"/>
        <v>0</v>
      </c>
      <c r="T907" s="11">
        <f t="shared" si="214"/>
        <v>1666.6666666666667</v>
      </c>
      <c r="U907" s="11">
        <f t="shared" si="215"/>
        <v>0</v>
      </c>
      <c r="V907" s="24">
        <f t="shared" si="216"/>
        <v>0</v>
      </c>
      <c r="W907" s="11">
        <f>IF(V907&lt;=40000,0,
IF(V907&lt;=55000,(V907-40000)*10%,
IF(V907&lt;=70000,(V907-55000)*15%+1500,
IF(V907&lt;=200000,(V907-70000)*20%+1500+2250,
IF(V907&lt;=400000,(V907-200000)*22.5%+1500+2250+26000,
IF(V907&lt;=600000,(V907-400000)*25%+1500+2250+26000+45000,
IF(AND(V907&gt;600000,V907&lt;=1200000),(V907-400000)*25%+1500+2250+26000+45000
+IFERROR(LOOKUP(V907,{600001;700001;800001;900001},{4000;6750;10250;15250}),0),IF(V907&gt;1200000,((V907-1200000)*27.5%)+300000,0)
)))))))</f>
        <v>0</v>
      </c>
      <c r="X907" s="12">
        <f t="shared" si="217"/>
        <v>0</v>
      </c>
      <c r="Y907" s="12">
        <f t="shared" si="218"/>
        <v>0</v>
      </c>
      <c r="Z907" s="11"/>
      <c r="AA907" s="13">
        <f t="shared" si="219"/>
        <v>0</v>
      </c>
      <c r="AB907" s="12">
        <f t="shared" si="220"/>
        <v>0</v>
      </c>
      <c r="AC907" s="14">
        <f t="shared" si="223"/>
        <v>0</v>
      </c>
      <c r="AE907" s="19">
        <f t="shared" si="221"/>
        <v>0</v>
      </c>
      <c r="AF907" s="19"/>
      <c r="AG907" s="17"/>
      <c r="AK907" s="7"/>
      <c r="AL907" s="108">
        <f t="shared" si="224"/>
        <v>0</v>
      </c>
      <c r="AM907" s="108">
        <f t="shared" si="225"/>
        <v>0</v>
      </c>
      <c r="AN907" s="113"/>
    </row>
    <row r="908" spans="2:40" x14ac:dyDescent="0.2">
      <c r="B908" s="7"/>
      <c r="C908" s="8"/>
      <c r="D908" s="8"/>
      <c r="E908" s="9"/>
      <c r="F908" s="6"/>
      <c r="G908" s="8"/>
      <c r="H908" s="32"/>
      <c r="I908" s="10" t="str">
        <f t="shared" si="222"/>
        <v>21</v>
      </c>
      <c r="J908" s="11">
        <v>1</v>
      </c>
      <c r="K908" s="11"/>
      <c r="L908" s="11"/>
      <c r="M908" s="11">
        <f t="shared" si="211"/>
        <v>0</v>
      </c>
      <c r="N908" s="11"/>
      <c r="O908" s="11">
        <f t="shared" si="212"/>
        <v>0</v>
      </c>
      <c r="P908" s="11"/>
      <c r="Q908" s="11"/>
      <c r="R908" s="11"/>
      <c r="S908" s="11">
        <f t="shared" si="213"/>
        <v>0</v>
      </c>
      <c r="T908" s="11">
        <f t="shared" si="214"/>
        <v>1666.6666666666667</v>
      </c>
      <c r="U908" s="11">
        <f t="shared" si="215"/>
        <v>0</v>
      </c>
      <c r="V908" s="24">
        <f t="shared" si="216"/>
        <v>0</v>
      </c>
      <c r="W908" s="11">
        <f>IF(V908&lt;=40000,0,
IF(V908&lt;=55000,(V908-40000)*10%,
IF(V908&lt;=70000,(V908-55000)*15%+1500,
IF(V908&lt;=200000,(V908-70000)*20%+1500+2250,
IF(V908&lt;=400000,(V908-200000)*22.5%+1500+2250+26000,
IF(V908&lt;=600000,(V908-400000)*25%+1500+2250+26000+45000,
IF(AND(V908&gt;600000,V908&lt;=1200000),(V908-400000)*25%+1500+2250+26000+45000
+IFERROR(LOOKUP(V908,{600001;700001;800001;900001},{4000;6750;10250;15250}),0),IF(V908&gt;1200000,((V908-1200000)*27.5%)+300000,0)
)))))))</f>
        <v>0</v>
      </c>
      <c r="X908" s="12">
        <f t="shared" si="217"/>
        <v>0</v>
      </c>
      <c r="Y908" s="12">
        <f t="shared" si="218"/>
        <v>0</v>
      </c>
      <c r="Z908" s="11"/>
      <c r="AA908" s="13">
        <f t="shared" si="219"/>
        <v>0</v>
      </c>
      <c r="AB908" s="12">
        <f t="shared" si="220"/>
        <v>0</v>
      </c>
      <c r="AC908" s="14">
        <f t="shared" si="223"/>
        <v>0</v>
      </c>
      <c r="AE908" s="19">
        <f t="shared" si="221"/>
        <v>0</v>
      </c>
      <c r="AF908" s="19"/>
      <c r="AG908" s="17"/>
      <c r="AK908" s="7"/>
      <c r="AL908" s="108">
        <f t="shared" si="224"/>
        <v>0</v>
      </c>
      <c r="AM908" s="108">
        <f t="shared" si="225"/>
        <v>0</v>
      </c>
      <c r="AN908" s="113"/>
    </row>
    <row r="909" spans="2:40" x14ac:dyDescent="0.2">
      <c r="B909" s="7"/>
      <c r="C909" s="8"/>
      <c r="D909" s="8"/>
      <c r="E909" s="9"/>
      <c r="F909" s="6"/>
      <c r="G909" s="8"/>
      <c r="H909" s="32"/>
      <c r="I909" s="10" t="str">
        <f t="shared" si="222"/>
        <v>21</v>
      </c>
      <c r="J909" s="11">
        <v>1</v>
      </c>
      <c r="K909" s="11"/>
      <c r="L909" s="11"/>
      <c r="M909" s="11">
        <f t="shared" si="211"/>
        <v>0</v>
      </c>
      <c r="N909" s="11"/>
      <c r="O909" s="11">
        <f t="shared" si="212"/>
        <v>0</v>
      </c>
      <c r="P909" s="11"/>
      <c r="Q909" s="11"/>
      <c r="R909" s="11"/>
      <c r="S909" s="11">
        <f t="shared" si="213"/>
        <v>0</v>
      </c>
      <c r="T909" s="11">
        <f t="shared" si="214"/>
        <v>1666.6666666666667</v>
      </c>
      <c r="U909" s="11">
        <f t="shared" si="215"/>
        <v>0</v>
      </c>
      <c r="V909" s="24">
        <f t="shared" si="216"/>
        <v>0</v>
      </c>
      <c r="W909" s="11">
        <f>IF(V909&lt;=40000,0,
IF(V909&lt;=55000,(V909-40000)*10%,
IF(V909&lt;=70000,(V909-55000)*15%+1500,
IF(V909&lt;=200000,(V909-70000)*20%+1500+2250,
IF(V909&lt;=400000,(V909-200000)*22.5%+1500+2250+26000,
IF(V909&lt;=600000,(V909-400000)*25%+1500+2250+26000+45000,
IF(AND(V909&gt;600000,V909&lt;=1200000),(V909-400000)*25%+1500+2250+26000+45000
+IFERROR(LOOKUP(V909,{600001;700001;800001;900001},{4000;6750;10250;15250}),0),IF(V909&gt;1200000,((V909-1200000)*27.5%)+300000,0)
)))))))</f>
        <v>0</v>
      </c>
      <c r="X909" s="12">
        <f t="shared" si="217"/>
        <v>0</v>
      </c>
      <c r="Y909" s="12">
        <f t="shared" si="218"/>
        <v>0</v>
      </c>
      <c r="Z909" s="11"/>
      <c r="AA909" s="13">
        <f t="shared" si="219"/>
        <v>0</v>
      </c>
      <c r="AB909" s="12">
        <f t="shared" si="220"/>
        <v>0</v>
      </c>
      <c r="AC909" s="14">
        <f t="shared" si="223"/>
        <v>0</v>
      </c>
      <c r="AE909" s="19">
        <f t="shared" si="221"/>
        <v>0</v>
      </c>
      <c r="AF909" s="19"/>
      <c r="AG909" s="17"/>
      <c r="AK909" s="7"/>
      <c r="AL909" s="108">
        <f t="shared" si="224"/>
        <v>0</v>
      </c>
      <c r="AM909" s="108">
        <f t="shared" si="225"/>
        <v>0</v>
      </c>
      <c r="AN909" s="113"/>
    </row>
    <row r="910" spans="2:40" x14ac:dyDescent="0.2">
      <c r="B910" s="7"/>
      <c r="C910" s="8"/>
      <c r="D910" s="8"/>
      <c r="E910" s="9"/>
      <c r="F910" s="6"/>
      <c r="G910" s="8"/>
      <c r="H910" s="32"/>
      <c r="I910" s="10" t="str">
        <f t="shared" si="222"/>
        <v>21</v>
      </c>
      <c r="J910" s="11">
        <v>1</v>
      </c>
      <c r="K910" s="11"/>
      <c r="L910" s="11"/>
      <c r="M910" s="11">
        <f t="shared" si="211"/>
        <v>0</v>
      </c>
      <c r="N910" s="11"/>
      <c r="O910" s="11">
        <f t="shared" si="212"/>
        <v>0</v>
      </c>
      <c r="P910" s="11"/>
      <c r="Q910" s="11"/>
      <c r="R910" s="11"/>
      <c r="S910" s="11">
        <f t="shared" si="213"/>
        <v>0</v>
      </c>
      <c r="T910" s="11">
        <f t="shared" si="214"/>
        <v>1666.6666666666667</v>
      </c>
      <c r="U910" s="11">
        <f t="shared" si="215"/>
        <v>0</v>
      </c>
      <c r="V910" s="24">
        <f t="shared" si="216"/>
        <v>0</v>
      </c>
      <c r="W910" s="11">
        <f>IF(V910&lt;=40000,0,
IF(V910&lt;=55000,(V910-40000)*10%,
IF(V910&lt;=70000,(V910-55000)*15%+1500,
IF(V910&lt;=200000,(V910-70000)*20%+1500+2250,
IF(V910&lt;=400000,(V910-200000)*22.5%+1500+2250+26000,
IF(V910&lt;=600000,(V910-400000)*25%+1500+2250+26000+45000,
IF(AND(V910&gt;600000,V910&lt;=1200000),(V910-400000)*25%+1500+2250+26000+45000
+IFERROR(LOOKUP(V910,{600001;700001;800001;900001},{4000;6750;10250;15250}),0),IF(V910&gt;1200000,((V910-1200000)*27.5%)+300000,0)
)))))))</f>
        <v>0</v>
      </c>
      <c r="X910" s="12">
        <f t="shared" si="217"/>
        <v>0</v>
      </c>
      <c r="Y910" s="12">
        <f t="shared" si="218"/>
        <v>0</v>
      </c>
      <c r="Z910" s="11"/>
      <c r="AA910" s="13">
        <f t="shared" si="219"/>
        <v>0</v>
      </c>
      <c r="AB910" s="12">
        <f t="shared" si="220"/>
        <v>0</v>
      </c>
      <c r="AC910" s="14">
        <f t="shared" si="223"/>
        <v>0</v>
      </c>
      <c r="AE910" s="19">
        <f t="shared" si="221"/>
        <v>0</v>
      </c>
      <c r="AF910" s="19"/>
      <c r="AG910" s="17"/>
      <c r="AK910" s="7"/>
      <c r="AL910" s="108">
        <f t="shared" si="224"/>
        <v>0</v>
      </c>
      <c r="AM910" s="108">
        <f t="shared" si="225"/>
        <v>0</v>
      </c>
      <c r="AN910" s="113"/>
    </row>
    <row r="911" spans="2:40" x14ac:dyDescent="0.2">
      <c r="B911" s="7"/>
      <c r="C911" s="8"/>
      <c r="D911" s="8"/>
      <c r="E911" s="9"/>
      <c r="F911" s="6"/>
      <c r="G911" s="8"/>
      <c r="H911" s="32"/>
      <c r="I911" s="10" t="str">
        <f t="shared" si="222"/>
        <v>21</v>
      </c>
      <c r="J911" s="11">
        <v>1</v>
      </c>
      <c r="K911" s="11"/>
      <c r="L911" s="11"/>
      <c r="M911" s="11">
        <f t="shared" si="211"/>
        <v>0</v>
      </c>
      <c r="N911" s="11"/>
      <c r="O911" s="11">
        <f t="shared" si="212"/>
        <v>0</v>
      </c>
      <c r="P911" s="11"/>
      <c r="Q911" s="11"/>
      <c r="R911" s="11"/>
      <c r="S911" s="11">
        <f t="shared" si="213"/>
        <v>0</v>
      </c>
      <c r="T911" s="11">
        <f t="shared" si="214"/>
        <v>1666.6666666666667</v>
      </c>
      <c r="U911" s="11">
        <f t="shared" si="215"/>
        <v>0</v>
      </c>
      <c r="V911" s="24">
        <f t="shared" si="216"/>
        <v>0</v>
      </c>
      <c r="W911" s="11">
        <f>IF(V911&lt;=40000,0,
IF(V911&lt;=55000,(V911-40000)*10%,
IF(V911&lt;=70000,(V911-55000)*15%+1500,
IF(V911&lt;=200000,(V911-70000)*20%+1500+2250,
IF(V911&lt;=400000,(V911-200000)*22.5%+1500+2250+26000,
IF(V911&lt;=600000,(V911-400000)*25%+1500+2250+26000+45000,
IF(AND(V911&gt;600000,V911&lt;=1200000),(V911-400000)*25%+1500+2250+26000+45000
+IFERROR(LOOKUP(V911,{600001;700001;800001;900001},{4000;6750;10250;15250}),0),IF(V911&gt;1200000,((V911-1200000)*27.5%)+300000,0)
)))))))</f>
        <v>0</v>
      </c>
      <c r="X911" s="12">
        <f t="shared" si="217"/>
        <v>0</v>
      </c>
      <c r="Y911" s="12">
        <f t="shared" si="218"/>
        <v>0</v>
      </c>
      <c r="Z911" s="11"/>
      <c r="AA911" s="13">
        <f t="shared" si="219"/>
        <v>0</v>
      </c>
      <c r="AB911" s="12">
        <f t="shared" si="220"/>
        <v>0</v>
      </c>
      <c r="AC911" s="14">
        <f t="shared" si="223"/>
        <v>0</v>
      </c>
      <c r="AE911" s="19">
        <f t="shared" si="221"/>
        <v>0</v>
      </c>
      <c r="AF911" s="19"/>
      <c r="AG911" s="17"/>
      <c r="AK911" s="7"/>
      <c r="AL911" s="108">
        <f t="shared" si="224"/>
        <v>0</v>
      </c>
      <c r="AM911" s="108">
        <f t="shared" si="225"/>
        <v>0</v>
      </c>
      <c r="AN911" s="113"/>
    </row>
    <row r="912" spans="2:40" x14ac:dyDescent="0.2">
      <c r="B912" s="7"/>
      <c r="C912" s="8"/>
      <c r="D912" s="8"/>
      <c r="E912" s="9"/>
      <c r="F912" s="6"/>
      <c r="G912" s="8"/>
      <c r="H912" s="32"/>
      <c r="I912" s="10" t="str">
        <f t="shared" si="222"/>
        <v>21</v>
      </c>
      <c r="J912" s="11">
        <v>1</v>
      </c>
      <c r="K912" s="11"/>
      <c r="L912" s="11"/>
      <c r="M912" s="11">
        <f t="shared" si="211"/>
        <v>0</v>
      </c>
      <c r="N912" s="11"/>
      <c r="O912" s="11">
        <f t="shared" si="212"/>
        <v>0</v>
      </c>
      <c r="P912" s="11"/>
      <c r="Q912" s="11"/>
      <c r="R912" s="11"/>
      <c r="S912" s="11">
        <f t="shared" si="213"/>
        <v>0</v>
      </c>
      <c r="T912" s="11">
        <f t="shared" si="214"/>
        <v>1666.6666666666667</v>
      </c>
      <c r="U912" s="11">
        <f t="shared" si="215"/>
        <v>0</v>
      </c>
      <c r="V912" s="24">
        <f t="shared" si="216"/>
        <v>0</v>
      </c>
      <c r="W912" s="11">
        <f>IF(V912&lt;=40000,0,
IF(V912&lt;=55000,(V912-40000)*10%,
IF(V912&lt;=70000,(V912-55000)*15%+1500,
IF(V912&lt;=200000,(V912-70000)*20%+1500+2250,
IF(V912&lt;=400000,(V912-200000)*22.5%+1500+2250+26000,
IF(V912&lt;=600000,(V912-400000)*25%+1500+2250+26000+45000,
IF(AND(V912&gt;600000,V912&lt;=1200000),(V912-400000)*25%+1500+2250+26000+45000
+IFERROR(LOOKUP(V912,{600001;700001;800001;900001},{4000;6750;10250;15250}),0),IF(V912&gt;1200000,((V912-1200000)*27.5%)+300000,0)
)))))))</f>
        <v>0</v>
      </c>
      <c r="X912" s="12">
        <f t="shared" si="217"/>
        <v>0</v>
      </c>
      <c r="Y912" s="12">
        <f t="shared" si="218"/>
        <v>0</v>
      </c>
      <c r="Z912" s="11"/>
      <c r="AA912" s="13">
        <f t="shared" si="219"/>
        <v>0</v>
      </c>
      <c r="AB912" s="12">
        <f t="shared" si="220"/>
        <v>0</v>
      </c>
      <c r="AC912" s="14">
        <f t="shared" si="223"/>
        <v>0</v>
      </c>
      <c r="AE912" s="19">
        <f t="shared" si="221"/>
        <v>0</v>
      </c>
      <c r="AF912" s="19"/>
      <c r="AG912" s="17"/>
      <c r="AK912" s="7"/>
      <c r="AL912" s="108">
        <f t="shared" si="224"/>
        <v>0</v>
      </c>
      <c r="AM912" s="108">
        <f t="shared" si="225"/>
        <v>0</v>
      </c>
      <c r="AN912" s="113"/>
    </row>
    <row r="913" spans="2:40" x14ac:dyDescent="0.2">
      <c r="B913" s="7"/>
      <c r="C913" s="8"/>
      <c r="D913" s="8"/>
      <c r="E913" s="9"/>
      <c r="F913" s="6"/>
      <c r="G913" s="8"/>
      <c r="H913" s="32"/>
      <c r="I913" s="10" t="str">
        <f t="shared" si="222"/>
        <v>21</v>
      </c>
      <c r="J913" s="11">
        <v>1</v>
      </c>
      <c r="K913" s="11"/>
      <c r="L913" s="11"/>
      <c r="M913" s="11">
        <f t="shared" si="211"/>
        <v>0</v>
      </c>
      <c r="N913" s="11"/>
      <c r="O913" s="11">
        <f t="shared" si="212"/>
        <v>0</v>
      </c>
      <c r="P913" s="11"/>
      <c r="Q913" s="11"/>
      <c r="R913" s="11"/>
      <c r="S913" s="11">
        <f t="shared" si="213"/>
        <v>0</v>
      </c>
      <c r="T913" s="11">
        <f t="shared" si="214"/>
        <v>1666.6666666666667</v>
      </c>
      <c r="U913" s="11">
        <f t="shared" si="215"/>
        <v>0</v>
      </c>
      <c r="V913" s="24">
        <f t="shared" si="216"/>
        <v>0</v>
      </c>
      <c r="W913" s="11">
        <f>IF(V913&lt;=40000,0,
IF(V913&lt;=55000,(V913-40000)*10%,
IF(V913&lt;=70000,(V913-55000)*15%+1500,
IF(V913&lt;=200000,(V913-70000)*20%+1500+2250,
IF(V913&lt;=400000,(V913-200000)*22.5%+1500+2250+26000,
IF(V913&lt;=600000,(V913-400000)*25%+1500+2250+26000+45000,
IF(AND(V913&gt;600000,V913&lt;=1200000),(V913-400000)*25%+1500+2250+26000+45000
+IFERROR(LOOKUP(V913,{600001;700001;800001;900001},{4000;6750;10250;15250}),0),IF(V913&gt;1200000,((V913-1200000)*27.5%)+300000,0)
)))))))</f>
        <v>0</v>
      </c>
      <c r="X913" s="12">
        <f t="shared" si="217"/>
        <v>0</v>
      </c>
      <c r="Y913" s="12">
        <f t="shared" si="218"/>
        <v>0</v>
      </c>
      <c r="Z913" s="11"/>
      <c r="AA913" s="13">
        <f t="shared" si="219"/>
        <v>0</v>
      </c>
      <c r="AB913" s="12">
        <f t="shared" si="220"/>
        <v>0</v>
      </c>
      <c r="AC913" s="14">
        <f t="shared" si="223"/>
        <v>0</v>
      </c>
      <c r="AE913" s="19">
        <f t="shared" si="221"/>
        <v>0</v>
      </c>
      <c r="AF913" s="19"/>
      <c r="AG913" s="17"/>
      <c r="AK913" s="7"/>
      <c r="AL913" s="108">
        <f t="shared" si="224"/>
        <v>0</v>
      </c>
      <c r="AM913" s="108">
        <f t="shared" si="225"/>
        <v>0</v>
      </c>
      <c r="AN913" s="113"/>
    </row>
    <row r="914" spans="2:40" x14ac:dyDescent="0.2">
      <c r="B914" s="7"/>
      <c r="C914" s="8"/>
      <c r="D914" s="8"/>
      <c r="E914" s="9"/>
      <c r="F914" s="6"/>
      <c r="G914" s="8"/>
      <c r="H914" s="32"/>
      <c r="I914" s="10" t="str">
        <f t="shared" si="222"/>
        <v>21</v>
      </c>
      <c r="J914" s="11">
        <v>1</v>
      </c>
      <c r="K914" s="11"/>
      <c r="L914" s="11"/>
      <c r="M914" s="11">
        <f t="shared" si="211"/>
        <v>0</v>
      </c>
      <c r="N914" s="11"/>
      <c r="O914" s="11">
        <f t="shared" si="212"/>
        <v>0</v>
      </c>
      <c r="P914" s="11"/>
      <c r="Q914" s="11"/>
      <c r="R914" s="11"/>
      <c r="S914" s="11">
        <f t="shared" si="213"/>
        <v>0</v>
      </c>
      <c r="T914" s="11">
        <f t="shared" si="214"/>
        <v>1666.6666666666667</v>
      </c>
      <c r="U914" s="11">
        <f t="shared" si="215"/>
        <v>0</v>
      </c>
      <c r="V914" s="24">
        <f t="shared" si="216"/>
        <v>0</v>
      </c>
      <c r="W914" s="11">
        <f>IF(V914&lt;=40000,0,
IF(V914&lt;=55000,(V914-40000)*10%,
IF(V914&lt;=70000,(V914-55000)*15%+1500,
IF(V914&lt;=200000,(V914-70000)*20%+1500+2250,
IF(V914&lt;=400000,(V914-200000)*22.5%+1500+2250+26000,
IF(V914&lt;=600000,(V914-400000)*25%+1500+2250+26000+45000,
IF(AND(V914&gt;600000,V914&lt;=1200000),(V914-400000)*25%+1500+2250+26000+45000
+IFERROR(LOOKUP(V914,{600001;700001;800001;900001},{4000;6750;10250;15250}),0),IF(V914&gt;1200000,((V914-1200000)*27.5%)+300000,0)
)))))))</f>
        <v>0</v>
      </c>
      <c r="X914" s="12">
        <f t="shared" si="217"/>
        <v>0</v>
      </c>
      <c r="Y914" s="12">
        <f t="shared" si="218"/>
        <v>0</v>
      </c>
      <c r="Z914" s="11"/>
      <c r="AA914" s="13">
        <f t="shared" si="219"/>
        <v>0</v>
      </c>
      <c r="AB914" s="12">
        <f t="shared" si="220"/>
        <v>0</v>
      </c>
      <c r="AC914" s="14">
        <f t="shared" si="223"/>
        <v>0</v>
      </c>
      <c r="AE914" s="19">
        <f t="shared" si="221"/>
        <v>0</v>
      </c>
      <c r="AF914" s="19"/>
      <c r="AG914" s="17"/>
      <c r="AK914" s="7"/>
      <c r="AL914" s="108">
        <f t="shared" si="224"/>
        <v>0</v>
      </c>
      <c r="AM914" s="108">
        <f t="shared" si="225"/>
        <v>0</v>
      </c>
      <c r="AN914" s="113"/>
    </row>
    <row r="915" spans="2:40" x14ac:dyDescent="0.2">
      <c r="B915" s="7"/>
      <c r="C915" s="8"/>
      <c r="D915" s="8"/>
      <c r="E915" s="9"/>
      <c r="F915" s="6"/>
      <c r="G915" s="8"/>
      <c r="H915" s="32"/>
      <c r="I915" s="10" t="str">
        <f t="shared" si="222"/>
        <v>21</v>
      </c>
      <c r="J915" s="11">
        <v>1</v>
      </c>
      <c r="K915" s="11"/>
      <c r="L915" s="11"/>
      <c r="M915" s="11">
        <f t="shared" si="211"/>
        <v>0</v>
      </c>
      <c r="N915" s="11"/>
      <c r="O915" s="11">
        <f t="shared" si="212"/>
        <v>0</v>
      </c>
      <c r="P915" s="11"/>
      <c r="Q915" s="11"/>
      <c r="R915" s="11"/>
      <c r="S915" s="11">
        <f t="shared" si="213"/>
        <v>0</v>
      </c>
      <c r="T915" s="11">
        <f t="shared" si="214"/>
        <v>1666.6666666666667</v>
      </c>
      <c r="U915" s="11">
        <f t="shared" si="215"/>
        <v>0</v>
      </c>
      <c r="V915" s="24">
        <f t="shared" si="216"/>
        <v>0</v>
      </c>
      <c r="W915" s="11">
        <f>IF(V915&lt;=40000,0,
IF(V915&lt;=55000,(V915-40000)*10%,
IF(V915&lt;=70000,(V915-55000)*15%+1500,
IF(V915&lt;=200000,(V915-70000)*20%+1500+2250,
IF(V915&lt;=400000,(V915-200000)*22.5%+1500+2250+26000,
IF(V915&lt;=600000,(V915-400000)*25%+1500+2250+26000+45000,
IF(AND(V915&gt;600000,V915&lt;=1200000),(V915-400000)*25%+1500+2250+26000+45000
+IFERROR(LOOKUP(V915,{600001;700001;800001;900001},{4000;6750;10250;15250}),0),IF(V915&gt;1200000,((V915-1200000)*27.5%)+300000,0)
)))))))</f>
        <v>0</v>
      </c>
      <c r="X915" s="12">
        <f t="shared" si="217"/>
        <v>0</v>
      </c>
      <c r="Y915" s="12">
        <f t="shared" si="218"/>
        <v>0</v>
      </c>
      <c r="Z915" s="11"/>
      <c r="AA915" s="13">
        <f t="shared" si="219"/>
        <v>0</v>
      </c>
      <c r="AB915" s="12">
        <f t="shared" si="220"/>
        <v>0</v>
      </c>
      <c r="AC915" s="14">
        <f t="shared" si="223"/>
        <v>0</v>
      </c>
      <c r="AE915" s="19">
        <f t="shared" si="221"/>
        <v>0</v>
      </c>
      <c r="AF915" s="19"/>
      <c r="AG915" s="17"/>
      <c r="AK915" s="7"/>
      <c r="AL915" s="108">
        <f t="shared" si="224"/>
        <v>0</v>
      </c>
      <c r="AM915" s="108">
        <f t="shared" si="225"/>
        <v>0</v>
      </c>
      <c r="AN915" s="113"/>
    </row>
    <row r="916" spans="2:40" x14ac:dyDescent="0.2">
      <c r="B916" s="7"/>
      <c r="C916" s="8"/>
      <c r="D916" s="8"/>
      <c r="E916" s="9"/>
      <c r="F916" s="6"/>
      <c r="G916" s="8"/>
      <c r="H916" s="32"/>
      <c r="I916" s="10" t="str">
        <f t="shared" si="222"/>
        <v>21</v>
      </c>
      <c r="J916" s="11">
        <v>1</v>
      </c>
      <c r="K916" s="11"/>
      <c r="L916" s="11"/>
      <c r="M916" s="11">
        <f t="shared" si="211"/>
        <v>0</v>
      </c>
      <c r="N916" s="11"/>
      <c r="O916" s="11">
        <f t="shared" si="212"/>
        <v>0</v>
      </c>
      <c r="P916" s="11"/>
      <c r="Q916" s="11"/>
      <c r="R916" s="11"/>
      <c r="S916" s="11">
        <f t="shared" si="213"/>
        <v>0</v>
      </c>
      <c r="T916" s="11">
        <f t="shared" si="214"/>
        <v>1666.6666666666667</v>
      </c>
      <c r="U916" s="11">
        <f t="shared" si="215"/>
        <v>0</v>
      </c>
      <c r="V916" s="24">
        <f t="shared" si="216"/>
        <v>0</v>
      </c>
      <c r="W916" s="11">
        <f>IF(V916&lt;=40000,0,
IF(V916&lt;=55000,(V916-40000)*10%,
IF(V916&lt;=70000,(V916-55000)*15%+1500,
IF(V916&lt;=200000,(V916-70000)*20%+1500+2250,
IF(V916&lt;=400000,(V916-200000)*22.5%+1500+2250+26000,
IF(V916&lt;=600000,(V916-400000)*25%+1500+2250+26000+45000,
IF(AND(V916&gt;600000,V916&lt;=1200000),(V916-400000)*25%+1500+2250+26000+45000
+IFERROR(LOOKUP(V916,{600001;700001;800001;900001},{4000;6750;10250;15250}),0),IF(V916&gt;1200000,((V916-1200000)*27.5%)+300000,0)
)))))))</f>
        <v>0</v>
      </c>
      <c r="X916" s="12">
        <f t="shared" si="217"/>
        <v>0</v>
      </c>
      <c r="Y916" s="12">
        <f t="shared" si="218"/>
        <v>0</v>
      </c>
      <c r="Z916" s="11"/>
      <c r="AA916" s="13">
        <f t="shared" si="219"/>
        <v>0</v>
      </c>
      <c r="AB916" s="12">
        <f t="shared" si="220"/>
        <v>0</v>
      </c>
      <c r="AC916" s="14">
        <f t="shared" si="223"/>
        <v>0</v>
      </c>
      <c r="AE916" s="19">
        <f t="shared" si="221"/>
        <v>0</v>
      </c>
      <c r="AF916" s="19"/>
      <c r="AG916" s="17"/>
      <c r="AK916" s="7"/>
      <c r="AL916" s="108">
        <f t="shared" si="224"/>
        <v>0</v>
      </c>
      <c r="AM916" s="108">
        <f t="shared" si="225"/>
        <v>0</v>
      </c>
      <c r="AN916" s="113"/>
    </row>
    <row r="917" spans="2:40" x14ac:dyDescent="0.2">
      <c r="B917" s="7"/>
      <c r="C917" s="8"/>
      <c r="D917" s="8"/>
      <c r="E917" s="9"/>
      <c r="F917" s="6"/>
      <c r="G917" s="8"/>
      <c r="H917" s="32"/>
      <c r="I917" s="10" t="str">
        <f t="shared" si="222"/>
        <v>21</v>
      </c>
      <c r="J917" s="11">
        <v>1</v>
      </c>
      <c r="K917" s="11"/>
      <c r="L917" s="11"/>
      <c r="M917" s="11">
        <f t="shared" si="211"/>
        <v>0</v>
      </c>
      <c r="N917" s="11"/>
      <c r="O917" s="11">
        <f t="shared" si="212"/>
        <v>0</v>
      </c>
      <c r="P917" s="11"/>
      <c r="Q917" s="11"/>
      <c r="R917" s="11"/>
      <c r="S917" s="11">
        <f t="shared" si="213"/>
        <v>0</v>
      </c>
      <c r="T917" s="11">
        <f t="shared" si="214"/>
        <v>1666.6666666666667</v>
      </c>
      <c r="U917" s="11">
        <f t="shared" si="215"/>
        <v>0</v>
      </c>
      <c r="V917" s="24">
        <f t="shared" si="216"/>
        <v>0</v>
      </c>
      <c r="W917" s="11">
        <f>IF(V917&lt;=40000,0,
IF(V917&lt;=55000,(V917-40000)*10%,
IF(V917&lt;=70000,(V917-55000)*15%+1500,
IF(V917&lt;=200000,(V917-70000)*20%+1500+2250,
IF(V917&lt;=400000,(V917-200000)*22.5%+1500+2250+26000,
IF(V917&lt;=600000,(V917-400000)*25%+1500+2250+26000+45000,
IF(AND(V917&gt;600000,V917&lt;=1200000),(V917-400000)*25%+1500+2250+26000+45000
+IFERROR(LOOKUP(V917,{600001;700001;800001;900001},{4000;6750;10250;15250}),0),IF(V917&gt;1200000,((V917-1200000)*27.5%)+300000,0)
)))))))</f>
        <v>0</v>
      </c>
      <c r="X917" s="12">
        <f t="shared" si="217"/>
        <v>0</v>
      </c>
      <c r="Y917" s="12">
        <f t="shared" si="218"/>
        <v>0</v>
      </c>
      <c r="Z917" s="11"/>
      <c r="AA917" s="13">
        <f t="shared" si="219"/>
        <v>0</v>
      </c>
      <c r="AB917" s="12">
        <f t="shared" si="220"/>
        <v>0</v>
      </c>
      <c r="AC917" s="14">
        <f t="shared" si="223"/>
        <v>0</v>
      </c>
      <c r="AE917" s="19">
        <f t="shared" si="221"/>
        <v>0</v>
      </c>
      <c r="AF917" s="19"/>
      <c r="AG917" s="17"/>
      <c r="AK917" s="7"/>
      <c r="AL917" s="108">
        <f t="shared" si="224"/>
        <v>0</v>
      </c>
      <c r="AM917" s="108">
        <f t="shared" si="225"/>
        <v>0</v>
      </c>
      <c r="AN917" s="113"/>
    </row>
    <row r="918" spans="2:40" x14ac:dyDescent="0.2">
      <c r="B918" s="7"/>
      <c r="C918" s="8"/>
      <c r="D918" s="8"/>
      <c r="E918" s="9"/>
      <c r="F918" s="6"/>
      <c r="G918" s="8"/>
      <c r="H918" s="32"/>
      <c r="I918" s="10" t="str">
        <f t="shared" si="222"/>
        <v>21</v>
      </c>
      <c r="J918" s="11">
        <v>1</v>
      </c>
      <c r="K918" s="11"/>
      <c r="L918" s="11"/>
      <c r="M918" s="11">
        <f t="shared" si="211"/>
        <v>0</v>
      </c>
      <c r="N918" s="11"/>
      <c r="O918" s="11">
        <f t="shared" si="212"/>
        <v>0</v>
      </c>
      <c r="P918" s="11"/>
      <c r="Q918" s="11"/>
      <c r="R918" s="11"/>
      <c r="S918" s="11">
        <f t="shared" si="213"/>
        <v>0</v>
      </c>
      <c r="T918" s="11">
        <f t="shared" si="214"/>
        <v>1666.6666666666667</v>
      </c>
      <c r="U918" s="11">
        <f t="shared" si="215"/>
        <v>0</v>
      </c>
      <c r="V918" s="24">
        <f t="shared" si="216"/>
        <v>0</v>
      </c>
      <c r="W918" s="11">
        <f>IF(V918&lt;=40000,0,
IF(V918&lt;=55000,(V918-40000)*10%,
IF(V918&lt;=70000,(V918-55000)*15%+1500,
IF(V918&lt;=200000,(V918-70000)*20%+1500+2250,
IF(V918&lt;=400000,(V918-200000)*22.5%+1500+2250+26000,
IF(V918&lt;=600000,(V918-400000)*25%+1500+2250+26000+45000,
IF(AND(V918&gt;600000,V918&lt;=1200000),(V918-400000)*25%+1500+2250+26000+45000
+IFERROR(LOOKUP(V918,{600001;700001;800001;900001},{4000;6750;10250;15250}),0),IF(V918&gt;1200000,((V918-1200000)*27.5%)+300000,0)
)))))))</f>
        <v>0</v>
      </c>
      <c r="X918" s="12">
        <f t="shared" si="217"/>
        <v>0</v>
      </c>
      <c r="Y918" s="12">
        <f t="shared" si="218"/>
        <v>0</v>
      </c>
      <c r="Z918" s="11"/>
      <c r="AA918" s="13">
        <f t="shared" si="219"/>
        <v>0</v>
      </c>
      <c r="AB918" s="12">
        <f t="shared" si="220"/>
        <v>0</v>
      </c>
      <c r="AC918" s="14">
        <f t="shared" si="223"/>
        <v>0</v>
      </c>
      <c r="AE918" s="19">
        <f t="shared" si="221"/>
        <v>0</v>
      </c>
      <c r="AF918" s="19"/>
      <c r="AG918" s="17"/>
      <c r="AK918" s="7"/>
      <c r="AL918" s="108">
        <f t="shared" si="224"/>
        <v>0</v>
      </c>
      <c r="AM918" s="108">
        <f t="shared" si="225"/>
        <v>0</v>
      </c>
      <c r="AN918" s="113"/>
    </row>
    <row r="919" spans="2:40" x14ac:dyDescent="0.2">
      <c r="B919" s="7"/>
      <c r="C919" s="8"/>
      <c r="D919" s="8"/>
      <c r="E919" s="9"/>
      <c r="F919" s="6"/>
      <c r="G919" s="8"/>
      <c r="H919" s="32"/>
      <c r="I919" s="10" t="str">
        <f t="shared" si="222"/>
        <v>21</v>
      </c>
      <c r="J919" s="11">
        <v>1</v>
      </c>
      <c r="K919" s="11"/>
      <c r="L919" s="11"/>
      <c r="M919" s="11">
        <f t="shared" si="211"/>
        <v>0</v>
      </c>
      <c r="N919" s="11"/>
      <c r="O919" s="11">
        <f t="shared" si="212"/>
        <v>0</v>
      </c>
      <c r="P919" s="11"/>
      <c r="Q919" s="11"/>
      <c r="R919" s="11"/>
      <c r="S919" s="11">
        <f t="shared" si="213"/>
        <v>0</v>
      </c>
      <c r="T919" s="11">
        <f t="shared" si="214"/>
        <v>1666.6666666666667</v>
      </c>
      <c r="U919" s="11">
        <f t="shared" si="215"/>
        <v>0</v>
      </c>
      <c r="V919" s="24">
        <f t="shared" si="216"/>
        <v>0</v>
      </c>
      <c r="W919" s="11">
        <f>IF(V919&lt;=40000,0,
IF(V919&lt;=55000,(V919-40000)*10%,
IF(V919&lt;=70000,(V919-55000)*15%+1500,
IF(V919&lt;=200000,(V919-70000)*20%+1500+2250,
IF(V919&lt;=400000,(V919-200000)*22.5%+1500+2250+26000,
IF(V919&lt;=600000,(V919-400000)*25%+1500+2250+26000+45000,
IF(AND(V919&gt;600000,V919&lt;=1200000),(V919-400000)*25%+1500+2250+26000+45000
+IFERROR(LOOKUP(V919,{600001;700001;800001;900001},{4000;6750;10250;15250}),0),IF(V919&gt;1200000,((V919-1200000)*27.5%)+300000,0)
)))))))</f>
        <v>0</v>
      </c>
      <c r="X919" s="12">
        <f t="shared" si="217"/>
        <v>0</v>
      </c>
      <c r="Y919" s="12">
        <f t="shared" si="218"/>
        <v>0</v>
      </c>
      <c r="Z919" s="11"/>
      <c r="AA919" s="13">
        <f t="shared" si="219"/>
        <v>0</v>
      </c>
      <c r="AB919" s="12">
        <f t="shared" si="220"/>
        <v>0</v>
      </c>
      <c r="AC919" s="14">
        <f t="shared" si="223"/>
        <v>0</v>
      </c>
      <c r="AE919" s="19">
        <f t="shared" si="221"/>
        <v>0</v>
      </c>
      <c r="AF919" s="19"/>
      <c r="AG919" s="17"/>
      <c r="AK919" s="7"/>
      <c r="AL919" s="108">
        <f t="shared" si="224"/>
        <v>0</v>
      </c>
      <c r="AM919" s="108">
        <f t="shared" si="225"/>
        <v>0</v>
      </c>
      <c r="AN919" s="113"/>
    </row>
    <row r="920" spans="2:40" x14ac:dyDescent="0.2">
      <c r="B920" s="7"/>
      <c r="C920" s="8"/>
      <c r="D920" s="8"/>
      <c r="E920" s="9"/>
      <c r="F920" s="6"/>
      <c r="G920" s="8"/>
      <c r="H920" s="32"/>
      <c r="I920" s="10" t="str">
        <f t="shared" si="222"/>
        <v>21</v>
      </c>
      <c r="J920" s="11">
        <v>1</v>
      </c>
      <c r="K920" s="11"/>
      <c r="L920" s="11"/>
      <c r="M920" s="11">
        <f t="shared" si="211"/>
        <v>0</v>
      </c>
      <c r="N920" s="11"/>
      <c r="O920" s="11">
        <f t="shared" si="212"/>
        <v>0</v>
      </c>
      <c r="P920" s="11"/>
      <c r="Q920" s="11"/>
      <c r="R920" s="11"/>
      <c r="S920" s="11">
        <f t="shared" si="213"/>
        <v>0</v>
      </c>
      <c r="T920" s="11">
        <f t="shared" si="214"/>
        <v>1666.6666666666667</v>
      </c>
      <c r="U920" s="11">
        <f t="shared" si="215"/>
        <v>0</v>
      </c>
      <c r="V920" s="24">
        <f t="shared" si="216"/>
        <v>0</v>
      </c>
      <c r="W920" s="11">
        <f>IF(V920&lt;=40000,0,
IF(V920&lt;=55000,(V920-40000)*10%,
IF(V920&lt;=70000,(V920-55000)*15%+1500,
IF(V920&lt;=200000,(V920-70000)*20%+1500+2250,
IF(V920&lt;=400000,(V920-200000)*22.5%+1500+2250+26000,
IF(V920&lt;=600000,(V920-400000)*25%+1500+2250+26000+45000,
IF(AND(V920&gt;600000,V920&lt;=1200000),(V920-400000)*25%+1500+2250+26000+45000
+IFERROR(LOOKUP(V920,{600001;700001;800001;900001},{4000;6750;10250;15250}),0),IF(V920&gt;1200000,((V920-1200000)*27.5%)+300000,0)
)))))))</f>
        <v>0</v>
      </c>
      <c r="X920" s="12">
        <f t="shared" si="217"/>
        <v>0</v>
      </c>
      <c r="Y920" s="12">
        <f t="shared" si="218"/>
        <v>0</v>
      </c>
      <c r="Z920" s="11"/>
      <c r="AA920" s="13">
        <f t="shared" si="219"/>
        <v>0</v>
      </c>
      <c r="AB920" s="12">
        <f t="shared" si="220"/>
        <v>0</v>
      </c>
      <c r="AC920" s="14">
        <f t="shared" si="223"/>
        <v>0</v>
      </c>
      <c r="AE920" s="19">
        <f t="shared" si="221"/>
        <v>0</v>
      </c>
      <c r="AF920" s="19"/>
      <c r="AG920" s="17"/>
      <c r="AK920" s="7"/>
      <c r="AL920" s="108">
        <f t="shared" si="224"/>
        <v>0</v>
      </c>
      <c r="AM920" s="108">
        <f t="shared" si="225"/>
        <v>0</v>
      </c>
      <c r="AN920" s="113"/>
    </row>
    <row r="921" spans="2:40" x14ac:dyDescent="0.2">
      <c r="B921" s="7"/>
      <c r="C921" s="8"/>
      <c r="D921" s="8"/>
      <c r="E921" s="9"/>
      <c r="F921" s="6"/>
      <c r="G921" s="8"/>
      <c r="H921" s="32"/>
      <c r="I921" s="10" t="str">
        <f t="shared" si="222"/>
        <v>21</v>
      </c>
      <c r="J921" s="11">
        <v>1</v>
      </c>
      <c r="K921" s="11"/>
      <c r="L921" s="11"/>
      <c r="M921" s="11">
        <f t="shared" si="211"/>
        <v>0</v>
      </c>
      <c r="N921" s="11"/>
      <c r="O921" s="11">
        <f t="shared" si="212"/>
        <v>0</v>
      </c>
      <c r="P921" s="11"/>
      <c r="Q921" s="11"/>
      <c r="R921" s="11"/>
      <c r="S921" s="11">
        <f t="shared" si="213"/>
        <v>0</v>
      </c>
      <c r="T921" s="11">
        <f t="shared" si="214"/>
        <v>1666.6666666666667</v>
      </c>
      <c r="U921" s="11">
        <f t="shared" si="215"/>
        <v>0</v>
      </c>
      <c r="V921" s="24">
        <f t="shared" si="216"/>
        <v>0</v>
      </c>
      <c r="W921" s="11">
        <f>IF(V921&lt;=40000,0,
IF(V921&lt;=55000,(V921-40000)*10%,
IF(V921&lt;=70000,(V921-55000)*15%+1500,
IF(V921&lt;=200000,(V921-70000)*20%+1500+2250,
IF(V921&lt;=400000,(V921-200000)*22.5%+1500+2250+26000,
IF(V921&lt;=600000,(V921-400000)*25%+1500+2250+26000+45000,
IF(AND(V921&gt;600000,V921&lt;=1200000),(V921-400000)*25%+1500+2250+26000+45000
+IFERROR(LOOKUP(V921,{600001;700001;800001;900001},{4000;6750;10250;15250}),0),IF(V921&gt;1200000,((V921-1200000)*27.5%)+300000,0)
)))))))</f>
        <v>0</v>
      </c>
      <c r="X921" s="12">
        <f t="shared" si="217"/>
        <v>0</v>
      </c>
      <c r="Y921" s="12">
        <f t="shared" si="218"/>
        <v>0</v>
      </c>
      <c r="Z921" s="11"/>
      <c r="AA921" s="13">
        <f t="shared" si="219"/>
        <v>0</v>
      </c>
      <c r="AB921" s="12">
        <f t="shared" si="220"/>
        <v>0</v>
      </c>
      <c r="AC921" s="14">
        <f t="shared" si="223"/>
        <v>0</v>
      </c>
      <c r="AE921" s="19">
        <f t="shared" si="221"/>
        <v>0</v>
      </c>
      <c r="AF921" s="19"/>
      <c r="AG921" s="17"/>
      <c r="AK921" s="7"/>
      <c r="AL921" s="108">
        <f t="shared" si="224"/>
        <v>0</v>
      </c>
      <c r="AM921" s="108">
        <f t="shared" si="225"/>
        <v>0</v>
      </c>
      <c r="AN921" s="113"/>
    </row>
    <row r="922" spans="2:40" x14ac:dyDescent="0.2">
      <c r="B922" s="7"/>
      <c r="C922" s="8"/>
      <c r="D922" s="8"/>
      <c r="E922" s="9"/>
      <c r="F922" s="6"/>
      <c r="G922" s="8"/>
      <c r="H922" s="32"/>
      <c r="I922" s="10" t="str">
        <f t="shared" si="222"/>
        <v>21</v>
      </c>
      <c r="J922" s="11">
        <v>1</v>
      </c>
      <c r="K922" s="11"/>
      <c r="L922" s="11"/>
      <c r="M922" s="11">
        <f t="shared" si="211"/>
        <v>0</v>
      </c>
      <c r="N922" s="11"/>
      <c r="O922" s="11">
        <f t="shared" si="212"/>
        <v>0</v>
      </c>
      <c r="P922" s="11"/>
      <c r="Q922" s="11"/>
      <c r="R922" s="11"/>
      <c r="S922" s="11">
        <f t="shared" si="213"/>
        <v>0</v>
      </c>
      <c r="T922" s="11">
        <f t="shared" si="214"/>
        <v>1666.6666666666667</v>
      </c>
      <c r="U922" s="11">
        <f t="shared" si="215"/>
        <v>0</v>
      </c>
      <c r="V922" s="24">
        <f t="shared" si="216"/>
        <v>0</v>
      </c>
      <c r="W922" s="11">
        <f>IF(V922&lt;=40000,0,
IF(V922&lt;=55000,(V922-40000)*10%,
IF(V922&lt;=70000,(V922-55000)*15%+1500,
IF(V922&lt;=200000,(V922-70000)*20%+1500+2250,
IF(V922&lt;=400000,(V922-200000)*22.5%+1500+2250+26000,
IF(V922&lt;=600000,(V922-400000)*25%+1500+2250+26000+45000,
IF(AND(V922&gt;600000,V922&lt;=1200000),(V922-400000)*25%+1500+2250+26000+45000
+IFERROR(LOOKUP(V922,{600001;700001;800001;900001},{4000;6750;10250;15250}),0),IF(V922&gt;1200000,((V922-1200000)*27.5%)+300000,0)
)))))))</f>
        <v>0</v>
      </c>
      <c r="X922" s="12">
        <f t="shared" si="217"/>
        <v>0</v>
      </c>
      <c r="Y922" s="12">
        <f t="shared" si="218"/>
        <v>0</v>
      </c>
      <c r="Z922" s="11"/>
      <c r="AA922" s="13">
        <f t="shared" si="219"/>
        <v>0</v>
      </c>
      <c r="AB922" s="12">
        <f t="shared" si="220"/>
        <v>0</v>
      </c>
      <c r="AC922" s="14">
        <f t="shared" si="223"/>
        <v>0</v>
      </c>
      <c r="AE922" s="19">
        <f t="shared" si="221"/>
        <v>0</v>
      </c>
      <c r="AF922" s="19"/>
      <c r="AG922" s="17"/>
      <c r="AK922" s="7"/>
      <c r="AL922" s="108">
        <f t="shared" si="224"/>
        <v>0</v>
      </c>
      <c r="AM922" s="108">
        <f t="shared" si="225"/>
        <v>0</v>
      </c>
      <c r="AN922" s="113"/>
    </row>
    <row r="923" spans="2:40" x14ac:dyDescent="0.2">
      <c r="B923" s="7"/>
      <c r="C923" s="8"/>
      <c r="D923" s="8"/>
      <c r="E923" s="9"/>
      <c r="F923" s="6"/>
      <c r="G923" s="8"/>
      <c r="H923" s="32"/>
      <c r="I923" s="10" t="str">
        <f t="shared" si="222"/>
        <v>21</v>
      </c>
      <c r="J923" s="11">
        <v>1</v>
      </c>
      <c r="K923" s="11"/>
      <c r="L923" s="11"/>
      <c r="M923" s="11">
        <f t="shared" si="211"/>
        <v>0</v>
      </c>
      <c r="N923" s="11"/>
      <c r="O923" s="11">
        <f t="shared" si="212"/>
        <v>0</v>
      </c>
      <c r="P923" s="11"/>
      <c r="Q923" s="11"/>
      <c r="R923" s="11"/>
      <c r="S923" s="11">
        <f t="shared" si="213"/>
        <v>0</v>
      </c>
      <c r="T923" s="11">
        <f t="shared" si="214"/>
        <v>1666.6666666666667</v>
      </c>
      <c r="U923" s="11">
        <f t="shared" si="215"/>
        <v>0</v>
      </c>
      <c r="V923" s="24">
        <f t="shared" si="216"/>
        <v>0</v>
      </c>
      <c r="W923" s="11">
        <f>IF(V923&lt;=40000,0,
IF(V923&lt;=55000,(V923-40000)*10%,
IF(V923&lt;=70000,(V923-55000)*15%+1500,
IF(V923&lt;=200000,(V923-70000)*20%+1500+2250,
IF(V923&lt;=400000,(V923-200000)*22.5%+1500+2250+26000,
IF(V923&lt;=600000,(V923-400000)*25%+1500+2250+26000+45000,
IF(AND(V923&gt;600000,V923&lt;=1200000),(V923-400000)*25%+1500+2250+26000+45000
+IFERROR(LOOKUP(V923,{600001;700001;800001;900001},{4000;6750;10250;15250}),0),IF(V923&gt;1200000,((V923-1200000)*27.5%)+300000,0)
)))))))</f>
        <v>0</v>
      </c>
      <c r="X923" s="12">
        <f t="shared" si="217"/>
        <v>0</v>
      </c>
      <c r="Y923" s="12">
        <f t="shared" si="218"/>
        <v>0</v>
      </c>
      <c r="Z923" s="11"/>
      <c r="AA923" s="13">
        <f t="shared" si="219"/>
        <v>0</v>
      </c>
      <c r="AB923" s="12">
        <f t="shared" si="220"/>
        <v>0</v>
      </c>
      <c r="AC923" s="14">
        <f t="shared" si="223"/>
        <v>0</v>
      </c>
      <c r="AE923" s="19">
        <f t="shared" si="221"/>
        <v>0</v>
      </c>
      <c r="AF923" s="19"/>
      <c r="AG923" s="17"/>
      <c r="AK923" s="7"/>
      <c r="AL923" s="108">
        <f t="shared" si="224"/>
        <v>0</v>
      </c>
      <c r="AM923" s="108">
        <f t="shared" si="225"/>
        <v>0</v>
      </c>
      <c r="AN923" s="113"/>
    </row>
    <row r="924" spans="2:40" x14ac:dyDescent="0.2">
      <c r="B924" s="7"/>
      <c r="C924" s="8"/>
      <c r="D924" s="8"/>
      <c r="E924" s="9"/>
      <c r="F924" s="6"/>
      <c r="G924" s="8"/>
      <c r="H924" s="32"/>
      <c r="I924" s="10" t="str">
        <f t="shared" si="222"/>
        <v>21</v>
      </c>
      <c r="J924" s="11">
        <v>1</v>
      </c>
      <c r="K924" s="11"/>
      <c r="L924" s="11"/>
      <c r="M924" s="11">
        <f t="shared" si="211"/>
        <v>0</v>
      </c>
      <c r="N924" s="11"/>
      <c r="O924" s="11">
        <f t="shared" si="212"/>
        <v>0</v>
      </c>
      <c r="P924" s="11"/>
      <c r="Q924" s="11"/>
      <c r="R924" s="11"/>
      <c r="S924" s="11">
        <f t="shared" si="213"/>
        <v>0</v>
      </c>
      <c r="T924" s="11">
        <f t="shared" si="214"/>
        <v>1666.6666666666667</v>
      </c>
      <c r="U924" s="11">
        <f t="shared" si="215"/>
        <v>0</v>
      </c>
      <c r="V924" s="24">
        <f t="shared" si="216"/>
        <v>0</v>
      </c>
      <c r="W924" s="11">
        <f>IF(V924&lt;=40000,0,
IF(V924&lt;=55000,(V924-40000)*10%,
IF(V924&lt;=70000,(V924-55000)*15%+1500,
IF(V924&lt;=200000,(V924-70000)*20%+1500+2250,
IF(V924&lt;=400000,(V924-200000)*22.5%+1500+2250+26000,
IF(V924&lt;=600000,(V924-400000)*25%+1500+2250+26000+45000,
IF(AND(V924&gt;600000,V924&lt;=1200000),(V924-400000)*25%+1500+2250+26000+45000
+IFERROR(LOOKUP(V924,{600001;700001;800001;900001},{4000;6750;10250;15250}),0),IF(V924&gt;1200000,((V924-1200000)*27.5%)+300000,0)
)))))))</f>
        <v>0</v>
      </c>
      <c r="X924" s="12">
        <f t="shared" si="217"/>
        <v>0</v>
      </c>
      <c r="Y924" s="12">
        <f t="shared" si="218"/>
        <v>0</v>
      </c>
      <c r="Z924" s="11"/>
      <c r="AA924" s="13">
        <f t="shared" si="219"/>
        <v>0</v>
      </c>
      <c r="AB924" s="12">
        <f t="shared" si="220"/>
        <v>0</v>
      </c>
      <c r="AC924" s="14">
        <f t="shared" si="223"/>
        <v>0</v>
      </c>
      <c r="AE924" s="19">
        <f t="shared" si="221"/>
        <v>0</v>
      </c>
      <c r="AF924" s="19"/>
      <c r="AG924" s="17"/>
      <c r="AK924" s="7"/>
      <c r="AL924" s="108">
        <f t="shared" si="224"/>
        <v>0</v>
      </c>
      <c r="AM924" s="108">
        <f t="shared" si="225"/>
        <v>0</v>
      </c>
      <c r="AN924" s="113"/>
    </row>
    <row r="925" spans="2:40" x14ac:dyDescent="0.2">
      <c r="B925" s="7"/>
      <c r="C925" s="8"/>
      <c r="D925" s="8"/>
      <c r="E925" s="9"/>
      <c r="F925" s="6"/>
      <c r="G925" s="8"/>
      <c r="H925" s="32"/>
      <c r="I925" s="10" t="str">
        <f t="shared" si="222"/>
        <v>21</v>
      </c>
      <c r="J925" s="11">
        <v>1</v>
      </c>
      <c r="K925" s="11"/>
      <c r="L925" s="11"/>
      <c r="M925" s="11">
        <f t="shared" ref="M925:M988" si="226">SUM(K925:L925)</f>
        <v>0</v>
      </c>
      <c r="N925" s="11"/>
      <c r="O925" s="11">
        <f t="shared" ref="O925:O988" si="227">+N925+M925</f>
        <v>0</v>
      </c>
      <c r="P925" s="11"/>
      <c r="Q925" s="11"/>
      <c r="R925" s="11"/>
      <c r="S925" s="11">
        <f t="shared" ref="S925:S988" si="228">O925-P925-Q925-R925</f>
        <v>0</v>
      </c>
      <c r="T925" s="11">
        <f t="shared" ref="T925:T988" si="229">IF(J925&gt;0,(20000/12*J925),0)</f>
        <v>1666.6666666666667</v>
      </c>
      <c r="U925" s="11">
        <f t="shared" ref="U925:U988" si="230">IF(AND(J925&gt;0,S925-T925&gt;0),S925-T925,0)</f>
        <v>0</v>
      </c>
      <c r="V925" s="24">
        <f t="shared" ref="V925:V988" si="231">IF(J925=0,0,(U925/J925*12))</f>
        <v>0</v>
      </c>
      <c r="W925" s="11">
        <f>IF(V925&lt;=40000,0,
IF(V925&lt;=55000,(V925-40000)*10%,
IF(V925&lt;=70000,(V925-55000)*15%+1500,
IF(V925&lt;=200000,(V925-70000)*20%+1500+2250,
IF(V925&lt;=400000,(V925-200000)*22.5%+1500+2250+26000,
IF(V925&lt;=600000,(V925-400000)*25%+1500+2250+26000+45000,
IF(AND(V925&gt;600000,V925&lt;=1200000),(V925-400000)*25%+1500+2250+26000+45000
+IFERROR(LOOKUP(V925,{600001;700001;800001;900001},{4000;6750;10250;15250}),0),IF(V925&gt;1200000,((V925-1200000)*27.5%)+300000,0)
)))))))</f>
        <v>0</v>
      </c>
      <c r="X925" s="12">
        <f t="shared" ref="X925:X988" si="232">N925*0.1</f>
        <v>0</v>
      </c>
      <c r="Y925" s="12">
        <f t="shared" ref="Y925:Y988" si="233">(W925/12*J925)-X925</f>
        <v>0</v>
      </c>
      <c r="Z925" s="11"/>
      <c r="AA925" s="13">
        <f t="shared" ref="AA925:AA988" si="234">+O925-P925-Y925-Z925</f>
        <v>0</v>
      </c>
      <c r="AB925" s="12">
        <f t="shared" ref="AB925:AB988" si="235">(P925/0.11)*18.75%</f>
        <v>0</v>
      </c>
      <c r="AC925" s="14">
        <f t="shared" si="223"/>
        <v>0</v>
      </c>
      <c r="AE925" s="19">
        <f t="shared" ref="AE925:AE988" si="236">+AD925-AC925</f>
        <v>0</v>
      </c>
      <c r="AF925" s="19"/>
      <c r="AG925" s="17"/>
      <c r="AK925" s="7"/>
      <c r="AL925" s="108">
        <f t="shared" si="224"/>
        <v>0</v>
      </c>
      <c r="AM925" s="108">
        <f t="shared" si="225"/>
        <v>0</v>
      </c>
      <c r="AN925" s="113"/>
    </row>
    <row r="926" spans="2:40" x14ac:dyDescent="0.2">
      <c r="B926" s="7"/>
      <c r="C926" s="8"/>
      <c r="D926" s="8"/>
      <c r="E926" s="9"/>
      <c r="F926" s="6"/>
      <c r="G926" s="8"/>
      <c r="H926" s="32"/>
      <c r="I926" s="10" t="str">
        <f t="shared" si="222"/>
        <v>21</v>
      </c>
      <c r="J926" s="11">
        <v>1</v>
      </c>
      <c r="K926" s="11"/>
      <c r="L926" s="11"/>
      <c r="M926" s="11">
        <f t="shared" si="226"/>
        <v>0</v>
      </c>
      <c r="N926" s="11"/>
      <c r="O926" s="11">
        <f t="shared" si="227"/>
        <v>0</v>
      </c>
      <c r="P926" s="11"/>
      <c r="Q926" s="11"/>
      <c r="R926" s="11"/>
      <c r="S926" s="11">
        <f t="shared" si="228"/>
        <v>0</v>
      </c>
      <c r="T926" s="11">
        <f t="shared" si="229"/>
        <v>1666.6666666666667</v>
      </c>
      <c r="U926" s="11">
        <f t="shared" si="230"/>
        <v>0</v>
      </c>
      <c r="V926" s="24">
        <f t="shared" si="231"/>
        <v>0</v>
      </c>
      <c r="W926" s="11">
        <f>IF(V926&lt;=40000,0,
IF(V926&lt;=55000,(V926-40000)*10%,
IF(V926&lt;=70000,(V926-55000)*15%+1500,
IF(V926&lt;=200000,(V926-70000)*20%+1500+2250,
IF(V926&lt;=400000,(V926-200000)*22.5%+1500+2250+26000,
IF(V926&lt;=600000,(V926-400000)*25%+1500+2250+26000+45000,
IF(AND(V926&gt;600000,V926&lt;=1200000),(V926-400000)*25%+1500+2250+26000+45000
+IFERROR(LOOKUP(V926,{600001;700001;800001;900001},{4000;6750;10250;15250}),0),IF(V926&gt;1200000,((V926-1200000)*27.5%)+300000,0)
)))))))</f>
        <v>0</v>
      </c>
      <c r="X926" s="12">
        <f t="shared" si="232"/>
        <v>0</v>
      </c>
      <c r="Y926" s="12">
        <f t="shared" si="233"/>
        <v>0</v>
      </c>
      <c r="Z926" s="11"/>
      <c r="AA926" s="13">
        <f t="shared" si="234"/>
        <v>0</v>
      </c>
      <c r="AB926" s="12">
        <f t="shared" si="235"/>
        <v>0</v>
      </c>
      <c r="AC926" s="14">
        <f t="shared" si="223"/>
        <v>0</v>
      </c>
      <c r="AE926" s="19">
        <f t="shared" si="236"/>
        <v>0</v>
      </c>
      <c r="AF926" s="19"/>
      <c r="AG926" s="17"/>
      <c r="AK926" s="7"/>
      <c r="AL926" s="108">
        <f t="shared" si="224"/>
        <v>0</v>
      </c>
      <c r="AM926" s="108">
        <f t="shared" si="225"/>
        <v>0</v>
      </c>
      <c r="AN926" s="113"/>
    </row>
    <row r="927" spans="2:40" x14ac:dyDescent="0.2">
      <c r="B927" s="7"/>
      <c r="C927" s="8"/>
      <c r="D927" s="8"/>
      <c r="E927" s="9"/>
      <c r="F927" s="6"/>
      <c r="G927" s="8"/>
      <c r="H927" s="32"/>
      <c r="I927" s="10" t="str">
        <f t="shared" si="222"/>
        <v>21</v>
      </c>
      <c r="J927" s="11">
        <v>1</v>
      </c>
      <c r="K927" s="11"/>
      <c r="L927" s="11"/>
      <c r="M927" s="11">
        <f t="shared" si="226"/>
        <v>0</v>
      </c>
      <c r="N927" s="11"/>
      <c r="O927" s="11">
        <f t="shared" si="227"/>
        <v>0</v>
      </c>
      <c r="P927" s="11"/>
      <c r="Q927" s="11"/>
      <c r="R927" s="11"/>
      <c r="S927" s="11">
        <f t="shared" si="228"/>
        <v>0</v>
      </c>
      <c r="T927" s="11">
        <f t="shared" si="229"/>
        <v>1666.6666666666667</v>
      </c>
      <c r="U927" s="11">
        <f t="shared" si="230"/>
        <v>0</v>
      </c>
      <c r="V927" s="24">
        <f t="shared" si="231"/>
        <v>0</v>
      </c>
      <c r="W927" s="11">
        <f>IF(V927&lt;=40000,0,
IF(V927&lt;=55000,(V927-40000)*10%,
IF(V927&lt;=70000,(V927-55000)*15%+1500,
IF(V927&lt;=200000,(V927-70000)*20%+1500+2250,
IF(V927&lt;=400000,(V927-200000)*22.5%+1500+2250+26000,
IF(V927&lt;=600000,(V927-400000)*25%+1500+2250+26000+45000,
IF(AND(V927&gt;600000,V927&lt;=1200000),(V927-400000)*25%+1500+2250+26000+45000
+IFERROR(LOOKUP(V927,{600001;700001;800001;900001},{4000;6750;10250;15250}),0),IF(V927&gt;1200000,((V927-1200000)*27.5%)+300000,0)
)))))))</f>
        <v>0</v>
      </c>
      <c r="X927" s="12">
        <f t="shared" si="232"/>
        <v>0</v>
      </c>
      <c r="Y927" s="12">
        <f t="shared" si="233"/>
        <v>0</v>
      </c>
      <c r="Z927" s="11"/>
      <c r="AA927" s="13">
        <f t="shared" si="234"/>
        <v>0</v>
      </c>
      <c r="AB927" s="12">
        <f t="shared" si="235"/>
        <v>0</v>
      </c>
      <c r="AC927" s="14">
        <f t="shared" si="223"/>
        <v>0</v>
      </c>
      <c r="AE927" s="19">
        <f t="shared" si="236"/>
        <v>0</v>
      </c>
      <c r="AF927" s="19"/>
      <c r="AG927" s="17"/>
      <c r="AK927" s="7"/>
      <c r="AL927" s="108">
        <f t="shared" si="224"/>
        <v>0</v>
      </c>
      <c r="AM927" s="108">
        <f t="shared" si="225"/>
        <v>0</v>
      </c>
      <c r="AN927" s="113"/>
    </row>
    <row r="928" spans="2:40" x14ac:dyDescent="0.2">
      <c r="B928" s="7"/>
      <c r="C928" s="8"/>
      <c r="D928" s="8"/>
      <c r="E928" s="9"/>
      <c r="F928" s="6"/>
      <c r="G928" s="8"/>
      <c r="H928" s="32"/>
      <c r="I928" s="10" t="str">
        <f t="shared" si="222"/>
        <v>21</v>
      </c>
      <c r="J928" s="11">
        <v>1</v>
      </c>
      <c r="K928" s="11"/>
      <c r="L928" s="11"/>
      <c r="M928" s="11">
        <f t="shared" si="226"/>
        <v>0</v>
      </c>
      <c r="N928" s="11"/>
      <c r="O928" s="11">
        <f t="shared" si="227"/>
        <v>0</v>
      </c>
      <c r="P928" s="11"/>
      <c r="Q928" s="11"/>
      <c r="R928" s="11"/>
      <c r="S928" s="11">
        <f t="shared" si="228"/>
        <v>0</v>
      </c>
      <c r="T928" s="11">
        <f t="shared" si="229"/>
        <v>1666.6666666666667</v>
      </c>
      <c r="U928" s="11">
        <f t="shared" si="230"/>
        <v>0</v>
      </c>
      <c r="V928" s="24">
        <f t="shared" si="231"/>
        <v>0</v>
      </c>
      <c r="W928" s="11">
        <f>IF(V928&lt;=40000,0,
IF(V928&lt;=55000,(V928-40000)*10%,
IF(V928&lt;=70000,(V928-55000)*15%+1500,
IF(V928&lt;=200000,(V928-70000)*20%+1500+2250,
IF(V928&lt;=400000,(V928-200000)*22.5%+1500+2250+26000,
IF(V928&lt;=600000,(V928-400000)*25%+1500+2250+26000+45000,
IF(AND(V928&gt;600000,V928&lt;=1200000),(V928-400000)*25%+1500+2250+26000+45000
+IFERROR(LOOKUP(V928,{600001;700001;800001;900001},{4000;6750;10250;15250}),0),IF(V928&gt;1200000,((V928-1200000)*27.5%)+300000,0)
)))))))</f>
        <v>0</v>
      </c>
      <c r="X928" s="12">
        <f t="shared" si="232"/>
        <v>0</v>
      </c>
      <c r="Y928" s="12">
        <f t="shared" si="233"/>
        <v>0</v>
      </c>
      <c r="Z928" s="11"/>
      <c r="AA928" s="13">
        <f t="shared" si="234"/>
        <v>0</v>
      </c>
      <c r="AB928" s="12">
        <f t="shared" si="235"/>
        <v>0</v>
      </c>
      <c r="AC928" s="14">
        <f t="shared" si="223"/>
        <v>0</v>
      </c>
      <c r="AE928" s="19">
        <f t="shared" si="236"/>
        <v>0</v>
      </c>
      <c r="AF928" s="19"/>
      <c r="AG928" s="17"/>
      <c r="AK928" s="7"/>
      <c r="AL928" s="108">
        <f t="shared" si="224"/>
        <v>0</v>
      </c>
      <c r="AM928" s="108">
        <f t="shared" si="225"/>
        <v>0</v>
      </c>
      <c r="AN928" s="113"/>
    </row>
    <row r="929" spans="2:40" x14ac:dyDescent="0.2">
      <c r="B929" s="7"/>
      <c r="C929" s="8"/>
      <c r="D929" s="8"/>
      <c r="E929" s="9"/>
      <c r="F929" s="6"/>
      <c r="G929" s="8"/>
      <c r="H929" s="32"/>
      <c r="I929" s="10" t="str">
        <f t="shared" si="222"/>
        <v>21</v>
      </c>
      <c r="J929" s="11">
        <v>1</v>
      </c>
      <c r="K929" s="11"/>
      <c r="L929" s="11"/>
      <c r="M929" s="11">
        <f t="shared" si="226"/>
        <v>0</v>
      </c>
      <c r="N929" s="11"/>
      <c r="O929" s="11">
        <f t="shared" si="227"/>
        <v>0</v>
      </c>
      <c r="P929" s="11"/>
      <c r="Q929" s="11"/>
      <c r="R929" s="11"/>
      <c r="S929" s="11">
        <f t="shared" si="228"/>
        <v>0</v>
      </c>
      <c r="T929" s="11">
        <f t="shared" si="229"/>
        <v>1666.6666666666667</v>
      </c>
      <c r="U929" s="11">
        <f t="shared" si="230"/>
        <v>0</v>
      </c>
      <c r="V929" s="24">
        <f t="shared" si="231"/>
        <v>0</v>
      </c>
      <c r="W929" s="11">
        <f>IF(V929&lt;=40000,0,
IF(V929&lt;=55000,(V929-40000)*10%,
IF(V929&lt;=70000,(V929-55000)*15%+1500,
IF(V929&lt;=200000,(V929-70000)*20%+1500+2250,
IF(V929&lt;=400000,(V929-200000)*22.5%+1500+2250+26000,
IF(V929&lt;=600000,(V929-400000)*25%+1500+2250+26000+45000,
IF(AND(V929&gt;600000,V929&lt;=1200000),(V929-400000)*25%+1500+2250+26000+45000
+IFERROR(LOOKUP(V929,{600001;700001;800001;900001},{4000;6750;10250;15250}),0),IF(V929&gt;1200000,((V929-1200000)*27.5%)+300000,0)
)))))))</f>
        <v>0</v>
      </c>
      <c r="X929" s="12">
        <f t="shared" si="232"/>
        <v>0</v>
      </c>
      <c r="Y929" s="12">
        <f t="shared" si="233"/>
        <v>0</v>
      </c>
      <c r="Z929" s="11"/>
      <c r="AA929" s="13">
        <f t="shared" si="234"/>
        <v>0</v>
      </c>
      <c r="AB929" s="12">
        <f t="shared" si="235"/>
        <v>0</v>
      </c>
      <c r="AC929" s="14">
        <f t="shared" si="223"/>
        <v>0</v>
      </c>
      <c r="AE929" s="19">
        <f t="shared" si="236"/>
        <v>0</v>
      </c>
      <c r="AF929" s="19"/>
      <c r="AG929" s="17"/>
      <c r="AK929" s="7"/>
      <c r="AL929" s="108">
        <f t="shared" si="224"/>
        <v>0</v>
      </c>
      <c r="AM929" s="108">
        <f t="shared" si="225"/>
        <v>0</v>
      </c>
      <c r="AN929" s="113"/>
    </row>
    <row r="930" spans="2:40" x14ac:dyDescent="0.2">
      <c r="B930" s="7"/>
      <c r="C930" s="8"/>
      <c r="D930" s="8"/>
      <c r="E930" s="9"/>
      <c r="F930" s="6"/>
      <c r="G930" s="8"/>
      <c r="H930" s="32"/>
      <c r="I930" s="10" t="str">
        <f t="shared" si="222"/>
        <v>21</v>
      </c>
      <c r="J930" s="11">
        <v>1</v>
      </c>
      <c r="K930" s="11"/>
      <c r="L930" s="11"/>
      <c r="M930" s="11">
        <f t="shared" si="226"/>
        <v>0</v>
      </c>
      <c r="N930" s="11"/>
      <c r="O930" s="11">
        <f t="shared" si="227"/>
        <v>0</v>
      </c>
      <c r="P930" s="11"/>
      <c r="Q930" s="11"/>
      <c r="R930" s="11"/>
      <c r="S930" s="11">
        <f t="shared" si="228"/>
        <v>0</v>
      </c>
      <c r="T930" s="11">
        <f t="shared" si="229"/>
        <v>1666.6666666666667</v>
      </c>
      <c r="U930" s="11">
        <f t="shared" si="230"/>
        <v>0</v>
      </c>
      <c r="V930" s="24">
        <f t="shared" si="231"/>
        <v>0</v>
      </c>
      <c r="W930" s="11">
        <f>IF(V930&lt;=40000,0,
IF(V930&lt;=55000,(V930-40000)*10%,
IF(V930&lt;=70000,(V930-55000)*15%+1500,
IF(V930&lt;=200000,(V930-70000)*20%+1500+2250,
IF(V930&lt;=400000,(V930-200000)*22.5%+1500+2250+26000,
IF(V930&lt;=600000,(V930-400000)*25%+1500+2250+26000+45000,
IF(AND(V930&gt;600000,V930&lt;=1200000),(V930-400000)*25%+1500+2250+26000+45000
+IFERROR(LOOKUP(V930,{600001;700001;800001;900001},{4000;6750;10250;15250}),0),IF(V930&gt;1200000,((V930-1200000)*27.5%)+300000,0)
)))))))</f>
        <v>0</v>
      </c>
      <c r="X930" s="12">
        <f t="shared" si="232"/>
        <v>0</v>
      </c>
      <c r="Y930" s="12">
        <f t="shared" si="233"/>
        <v>0</v>
      </c>
      <c r="Z930" s="11"/>
      <c r="AA930" s="13">
        <f t="shared" si="234"/>
        <v>0</v>
      </c>
      <c r="AB930" s="12">
        <f t="shared" si="235"/>
        <v>0</v>
      </c>
      <c r="AC930" s="14">
        <f t="shared" si="223"/>
        <v>0</v>
      </c>
      <c r="AE930" s="19">
        <f t="shared" si="236"/>
        <v>0</v>
      </c>
      <c r="AF930" s="19"/>
      <c r="AG930" s="17"/>
      <c r="AK930" s="7"/>
      <c r="AL930" s="108">
        <f t="shared" si="224"/>
        <v>0</v>
      </c>
      <c r="AM930" s="108">
        <f t="shared" si="225"/>
        <v>0</v>
      </c>
      <c r="AN930" s="113"/>
    </row>
    <row r="931" spans="2:40" x14ac:dyDescent="0.2">
      <c r="B931" s="7"/>
      <c r="C931" s="8"/>
      <c r="D931" s="8"/>
      <c r="E931" s="9"/>
      <c r="F931" s="6"/>
      <c r="G931" s="8"/>
      <c r="H931" s="32"/>
      <c r="I931" s="10" t="str">
        <f t="shared" si="222"/>
        <v>21</v>
      </c>
      <c r="J931" s="11">
        <v>1</v>
      </c>
      <c r="K931" s="11"/>
      <c r="L931" s="11"/>
      <c r="M931" s="11">
        <f t="shared" si="226"/>
        <v>0</v>
      </c>
      <c r="N931" s="11"/>
      <c r="O931" s="11">
        <f t="shared" si="227"/>
        <v>0</v>
      </c>
      <c r="P931" s="11"/>
      <c r="Q931" s="11"/>
      <c r="R931" s="11"/>
      <c r="S931" s="11">
        <f t="shared" si="228"/>
        <v>0</v>
      </c>
      <c r="T931" s="11">
        <f t="shared" si="229"/>
        <v>1666.6666666666667</v>
      </c>
      <c r="U931" s="11">
        <f t="shared" si="230"/>
        <v>0</v>
      </c>
      <c r="V931" s="24">
        <f t="shared" si="231"/>
        <v>0</v>
      </c>
      <c r="W931" s="11">
        <f>IF(V931&lt;=40000,0,
IF(V931&lt;=55000,(V931-40000)*10%,
IF(V931&lt;=70000,(V931-55000)*15%+1500,
IF(V931&lt;=200000,(V931-70000)*20%+1500+2250,
IF(V931&lt;=400000,(V931-200000)*22.5%+1500+2250+26000,
IF(V931&lt;=600000,(V931-400000)*25%+1500+2250+26000+45000,
IF(AND(V931&gt;600000,V931&lt;=1200000),(V931-400000)*25%+1500+2250+26000+45000
+IFERROR(LOOKUP(V931,{600001;700001;800001;900001},{4000;6750;10250;15250}),0),IF(V931&gt;1200000,((V931-1200000)*27.5%)+300000,0)
)))))))</f>
        <v>0</v>
      </c>
      <c r="X931" s="12">
        <f t="shared" si="232"/>
        <v>0</v>
      </c>
      <c r="Y931" s="12">
        <f t="shared" si="233"/>
        <v>0</v>
      </c>
      <c r="Z931" s="11"/>
      <c r="AA931" s="13">
        <f t="shared" si="234"/>
        <v>0</v>
      </c>
      <c r="AB931" s="12">
        <f t="shared" si="235"/>
        <v>0</v>
      </c>
      <c r="AC931" s="14">
        <f t="shared" si="223"/>
        <v>0</v>
      </c>
      <c r="AE931" s="19">
        <f t="shared" si="236"/>
        <v>0</v>
      </c>
      <c r="AF931" s="19"/>
      <c r="AG931" s="17"/>
      <c r="AK931" s="7"/>
      <c r="AL931" s="108">
        <f t="shared" si="224"/>
        <v>0</v>
      </c>
      <c r="AM931" s="108">
        <f t="shared" si="225"/>
        <v>0</v>
      </c>
      <c r="AN931" s="113"/>
    </row>
    <row r="932" spans="2:40" x14ac:dyDescent="0.2">
      <c r="B932" s="7"/>
      <c r="C932" s="8"/>
      <c r="D932" s="8"/>
      <c r="E932" s="9"/>
      <c r="F932" s="6"/>
      <c r="G932" s="8"/>
      <c r="H932" s="32"/>
      <c r="I932" s="10" t="str">
        <f t="shared" si="222"/>
        <v>21</v>
      </c>
      <c r="J932" s="11">
        <v>1</v>
      </c>
      <c r="K932" s="11"/>
      <c r="L932" s="11"/>
      <c r="M932" s="11">
        <f t="shared" si="226"/>
        <v>0</v>
      </c>
      <c r="N932" s="11"/>
      <c r="O932" s="11">
        <f t="shared" si="227"/>
        <v>0</v>
      </c>
      <c r="P932" s="11"/>
      <c r="Q932" s="11"/>
      <c r="R932" s="11"/>
      <c r="S932" s="11">
        <f t="shared" si="228"/>
        <v>0</v>
      </c>
      <c r="T932" s="11">
        <f t="shared" si="229"/>
        <v>1666.6666666666667</v>
      </c>
      <c r="U932" s="11">
        <f t="shared" si="230"/>
        <v>0</v>
      </c>
      <c r="V932" s="24">
        <f t="shared" si="231"/>
        <v>0</v>
      </c>
      <c r="W932" s="11">
        <f>IF(V932&lt;=40000,0,
IF(V932&lt;=55000,(V932-40000)*10%,
IF(V932&lt;=70000,(V932-55000)*15%+1500,
IF(V932&lt;=200000,(V932-70000)*20%+1500+2250,
IF(V932&lt;=400000,(V932-200000)*22.5%+1500+2250+26000,
IF(V932&lt;=600000,(V932-400000)*25%+1500+2250+26000+45000,
IF(AND(V932&gt;600000,V932&lt;=1200000),(V932-400000)*25%+1500+2250+26000+45000
+IFERROR(LOOKUP(V932,{600001;700001;800001;900001},{4000;6750;10250;15250}),0),IF(V932&gt;1200000,((V932-1200000)*27.5%)+300000,0)
)))))))</f>
        <v>0</v>
      </c>
      <c r="X932" s="12">
        <f t="shared" si="232"/>
        <v>0</v>
      </c>
      <c r="Y932" s="12">
        <f t="shared" si="233"/>
        <v>0</v>
      </c>
      <c r="Z932" s="11"/>
      <c r="AA932" s="13">
        <f t="shared" si="234"/>
        <v>0</v>
      </c>
      <c r="AB932" s="12">
        <f t="shared" si="235"/>
        <v>0</v>
      </c>
      <c r="AC932" s="14">
        <f t="shared" si="223"/>
        <v>0</v>
      </c>
      <c r="AE932" s="19">
        <f t="shared" si="236"/>
        <v>0</v>
      </c>
      <c r="AF932" s="19"/>
      <c r="AG932" s="17"/>
      <c r="AK932" s="7"/>
      <c r="AL932" s="108">
        <f t="shared" si="224"/>
        <v>0</v>
      </c>
      <c r="AM932" s="108">
        <f t="shared" si="225"/>
        <v>0</v>
      </c>
      <c r="AN932" s="113"/>
    </row>
    <row r="933" spans="2:40" x14ac:dyDescent="0.2">
      <c r="B933" s="7"/>
      <c r="C933" s="8"/>
      <c r="D933" s="8"/>
      <c r="E933" s="9"/>
      <c r="F933" s="6"/>
      <c r="G933" s="8"/>
      <c r="H933" s="32"/>
      <c r="I933" s="10" t="str">
        <f t="shared" si="222"/>
        <v>21</v>
      </c>
      <c r="J933" s="11">
        <v>1</v>
      </c>
      <c r="K933" s="11"/>
      <c r="L933" s="11"/>
      <c r="M933" s="11">
        <f t="shared" si="226"/>
        <v>0</v>
      </c>
      <c r="N933" s="11"/>
      <c r="O933" s="11">
        <f t="shared" si="227"/>
        <v>0</v>
      </c>
      <c r="P933" s="11"/>
      <c r="Q933" s="11"/>
      <c r="R933" s="11"/>
      <c r="S933" s="11">
        <f t="shared" si="228"/>
        <v>0</v>
      </c>
      <c r="T933" s="11">
        <f t="shared" si="229"/>
        <v>1666.6666666666667</v>
      </c>
      <c r="U933" s="11">
        <f t="shared" si="230"/>
        <v>0</v>
      </c>
      <c r="V933" s="24">
        <f t="shared" si="231"/>
        <v>0</v>
      </c>
      <c r="W933" s="11">
        <f>IF(V933&lt;=40000,0,
IF(V933&lt;=55000,(V933-40000)*10%,
IF(V933&lt;=70000,(V933-55000)*15%+1500,
IF(V933&lt;=200000,(V933-70000)*20%+1500+2250,
IF(V933&lt;=400000,(V933-200000)*22.5%+1500+2250+26000,
IF(V933&lt;=600000,(V933-400000)*25%+1500+2250+26000+45000,
IF(AND(V933&gt;600000,V933&lt;=1200000),(V933-400000)*25%+1500+2250+26000+45000
+IFERROR(LOOKUP(V933,{600001;700001;800001;900001},{4000;6750;10250;15250}),0),IF(V933&gt;1200000,((V933-1200000)*27.5%)+300000,0)
)))))))</f>
        <v>0</v>
      </c>
      <c r="X933" s="12">
        <f t="shared" si="232"/>
        <v>0</v>
      </c>
      <c r="Y933" s="12">
        <f t="shared" si="233"/>
        <v>0</v>
      </c>
      <c r="Z933" s="11"/>
      <c r="AA933" s="13">
        <f t="shared" si="234"/>
        <v>0</v>
      </c>
      <c r="AB933" s="12">
        <f t="shared" si="235"/>
        <v>0</v>
      </c>
      <c r="AC933" s="14">
        <f t="shared" si="223"/>
        <v>0</v>
      </c>
      <c r="AE933" s="19">
        <f t="shared" si="236"/>
        <v>0</v>
      </c>
      <c r="AF933" s="19"/>
      <c r="AG933" s="17"/>
      <c r="AK933" s="7"/>
      <c r="AL933" s="108">
        <f t="shared" si="224"/>
        <v>0</v>
      </c>
      <c r="AM933" s="108">
        <f t="shared" si="225"/>
        <v>0</v>
      </c>
      <c r="AN933" s="113"/>
    </row>
    <row r="934" spans="2:40" x14ac:dyDescent="0.2">
      <c r="B934" s="7"/>
      <c r="C934" s="8"/>
      <c r="D934" s="8"/>
      <c r="E934" s="9"/>
      <c r="F934" s="6"/>
      <c r="G934" s="8"/>
      <c r="H934" s="32"/>
      <c r="I934" s="10" t="str">
        <f t="shared" si="222"/>
        <v>21</v>
      </c>
      <c r="J934" s="11">
        <v>1</v>
      </c>
      <c r="K934" s="11"/>
      <c r="L934" s="11"/>
      <c r="M934" s="11">
        <f t="shared" si="226"/>
        <v>0</v>
      </c>
      <c r="N934" s="11"/>
      <c r="O934" s="11">
        <f t="shared" si="227"/>
        <v>0</v>
      </c>
      <c r="P934" s="11"/>
      <c r="Q934" s="11"/>
      <c r="R934" s="11"/>
      <c r="S934" s="11">
        <f t="shared" si="228"/>
        <v>0</v>
      </c>
      <c r="T934" s="11">
        <f t="shared" si="229"/>
        <v>1666.6666666666667</v>
      </c>
      <c r="U934" s="11">
        <f t="shared" si="230"/>
        <v>0</v>
      </c>
      <c r="V934" s="24">
        <f t="shared" si="231"/>
        <v>0</v>
      </c>
      <c r="W934" s="11">
        <f>IF(V934&lt;=40000,0,
IF(V934&lt;=55000,(V934-40000)*10%,
IF(V934&lt;=70000,(V934-55000)*15%+1500,
IF(V934&lt;=200000,(V934-70000)*20%+1500+2250,
IF(V934&lt;=400000,(V934-200000)*22.5%+1500+2250+26000,
IF(V934&lt;=600000,(V934-400000)*25%+1500+2250+26000+45000,
IF(AND(V934&gt;600000,V934&lt;=1200000),(V934-400000)*25%+1500+2250+26000+45000
+IFERROR(LOOKUP(V934,{600001;700001;800001;900001},{4000;6750;10250;15250}),0),IF(V934&gt;1200000,((V934-1200000)*27.5%)+300000,0)
)))))))</f>
        <v>0</v>
      </c>
      <c r="X934" s="12">
        <f t="shared" si="232"/>
        <v>0</v>
      </c>
      <c r="Y934" s="12">
        <f t="shared" si="233"/>
        <v>0</v>
      </c>
      <c r="Z934" s="11"/>
      <c r="AA934" s="13">
        <f t="shared" si="234"/>
        <v>0</v>
      </c>
      <c r="AB934" s="12">
        <f t="shared" si="235"/>
        <v>0</v>
      </c>
      <c r="AC934" s="14">
        <f t="shared" si="223"/>
        <v>0</v>
      </c>
      <c r="AE934" s="19">
        <f t="shared" si="236"/>
        <v>0</v>
      </c>
      <c r="AF934" s="19"/>
      <c r="AG934" s="17"/>
      <c r="AK934" s="7"/>
      <c r="AL934" s="108">
        <f t="shared" si="224"/>
        <v>0</v>
      </c>
      <c r="AM934" s="108">
        <f t="shared" si="225"/>
        <v>0</v>
      </c>
      <c r="AN934" s="113"/>
    </row>
    <row r="935" spans="2:40" x14ac:dyDescent="0.2">
      <c r="B935" s="7"/>
      <c r="C935" s="8"/>
      <c r="D935" s="8"/>
      <c r="E935" s="9"/>
      <c r="F935" s="6"/>
      <c r="G935" s="8"/>
      <c r="H935" s="32"/>
      <c r="I935" s="10" t="str">
        <f t="shared" si="222"/>
        <v>21</v>
      </c>
      <c r="J935" s="11">
        <v>1</v>
      </c>
      <c r="K935" s="11"/>
      <c r="L935" s="11"/>
      <c r="M935" s="11">
        <f t="shared" si="226"/>
        <v>0</v>
      </c>
      <c r="N935" s="11"/>
      <c r="O935" s="11">
        <f t="shared" si="227"/>
        <v>0</v>
      </c>
      <c r="P935" s="11"/>
      <c r="Q935" s="11"/>
      <c r="R935" s="11"/>
      <c r="S935" s="11">
        <f t="shared" si="228"/>
        <v>0</v>
      </c>
      <c r="T935" s="11">
        <f t="shared" si="229"/>
        <v>1666.6666666666667</v>
      </c>
      <c r="U935" s="11">
        <f t="shared" si="230"/>
        <v>0</v>
      </c>
      <c r="V935" s="24">
        <f t="shared" si="231"/>
        <v>0</v>
      </c>
      <c r="W935" s="11">
        <f>IF(V935&lt;=40000,0,
IF(V935&lt;=55000,(V935-40000)*10%,
IF(V935&lt;=70000,(V935-55000)*15%+1500,
IF(V935&lt;=200000,(V935-70000)*20%+1500+2250,
IF(V935&lt;=400000,(V935-200000)*22.5%+1500+2250+26000,
IF(V935&lt;=600000,(V935-400000)*25%+1500+2250+26000+45000,
IF(AND(V935&gt;600000,V935&lt;=1200000),(V935-400000)*25%+1500+2250+26000+45000
+IFERROR(LOOKUP(V935,{600001;700001;800001;900001},{4000;6750;10250;15250}),0),IF(V935&gt;1200000,((V935-1200000)*27.5%)+300000,0)
)))))))</f>
        <v>0</v>
      </c>
      <c r="X935" s="12">
        <f t="shared" si="232"/>
        <v>0</v>
      </c>
      <c r="Y935" s="12">
        <f t="shared" si="233"/>
        <v>0</v>
      </c>
      <c r="Z935" s="11"/>
      <c r="AA935" s="13">
        <f t="shared" si="234"/>
        <v>0</v>
      </c>
      <c r="AB935" s="12">
        <f t="shared" si="235"/>
        <v>0</v>
      </c>
      <c r="AC935" s="14">
        <f t="shared" si="223"/>
        <v>0</v>
      </c>
      <c r="AE935" s="19">
        <f t="shared" si="236"/>
        <v>0</v>
      </c>
      <c r="AF935" s="19"/>
      <c r="AG935" s="17"/>
      <c r="AK935" s="7"/>
      <c r="AL935" s="108">
        <f t="shared" si="224"/>
        <v>0</v>
      </c>
      <c r="AM935" s="108">
        <f t="shared" si="225"/>
        <v>0</v>
      </c>
      <c r="AN935" s="113"/>
    </row>
    <row r="936" spans="2:40" x14ac:dyDescent="0.2">
      <c r="B936" s="7"/>
      <c r="C936" s="8"/>
      <c r="D936" s="8"/>
      <c r="E936" s="9"/>
      <c r="F936" s="6"/>
      <c r="G936" s="8"/>
      <c r="H936" s="32"/>
      <c r="I936" s="10" t="str">
        <f t="shared" si="222"/>
        <v>21</v>
      </c>
      <c r="J936" s="11">
        <v>1</v>
      </c>
      <c r="K936" s="11"/>
      <c r="L936" s="11"/>
      <c r="M936" s="11">
        <f t="shared" si="226"/>
        <v>0</v>
      </c>
      <c r="N936" s="11"/>
      <c r="O936" s="11">
        <f t="shared" si="227"/>
        <v>0</v>
      </c>
      <c r="P936" s="11"/>
      <c r="Q936" s="11"/>
      <c r="R936" s="11"/>
      <c r="S936" s="11">
        <f t="shared" si="228"/>
        <v>0</v>
      </c>
      <c r="T936" s="11">
        <f t="shared" si="229"/>
        <v>1666.6666666666667</v>
      </c>
      <c r="U936" s="11">
        <f t="shared" si="230"/>
        <v>0</v>
      </c>
      <c r="V936" s="24">
        <f t="shared" si="231"/>
        <v>0</v>
      </c>
      <c r="W936" s="11">
        <f>IF(V936&lt;=40000,0,
IF(V936&lt;=55000,(V936-40000)*10%,
IF(V936&lt;=70000,(V936-55000)*15%+1500,
IF(V936&lt;=200000,(V936-70000)*20%+1500+2250,
IF(V936&lt;=400000,(V936-200000)*22.5%+1500+2250+26000,
IF(V936&lt;=600000,(V936-400000)*25%+1500+2250+26000+45000,
IF(AND(V936&gt;600000,V936&lt;=1200000),(V936-400000)*25%+1500+2250+26000+45000
+IFERROR(LOOKUP(V936,{600001;700001;800001;900001},{4000;6750;10250;15250}),0),IF(V936&gt;1200000,((V936-1200000)*27.5%)+300000,0)
)))))))</f>
        <v>0</v>
      </c>
      <c r="X936" s="12">
        <f t="shared" si="232"/>
        <v>0</v>
      </c>
      <c r="Y936" s="12">
        <f t="shared" si="233"/>
        <v>0</v>
      </c>
      <c r="Z936" s="11"/>
      <c r="AA936" s="13">
        <f t="shared" si="234"/>
        <v>0</v>
      </c>
      <c r="AB936" s="12">
        <f t="shared" si="235"/>
        <v>0</v>
      </c>
      <c r="AC936" s="14">
        <f t="shared" si="223"/>
        <v>0</v>
      </c>
      <c r="AE936" s="19">
        <f t="shared" si="236"/>
        <v>0</v>
      </c>
      <c r="AF936" s="19"/>
      <c r="AG936" s="17"/>
      <c r="AK936" s="7"/>
      <c r="AL936" s="108">
        <f t="shared" si="224"/>
        <v>0</v>
      </c>
      <c r="AM936" s="108">
        <f t="shared" si="225"/>
        <v>0</v>
      </c>
      <c r="AN936" s="113"/>
    </row>
    <row r="937" spans="2:40" x14ac:dyDescent="0.2">
      <c r="B937" s="7"/>
      <c r="C937" s="8"/>
      <c r="D937" s="8"/>
      <c r="E937" s="9"/>
      <c r="F937" s="6"/>
      <c r="G937" s="8"/>
      <c r="H937" s="32"/>
      <c r="I937" s="10" t="str">
        <f t="shared" si="222"/>
        <v>21</v>
      </c>
      <c r="J937" s="11">
        <v>1</v>
      </c>
      <c r="K937" s="11"/>
      <c r="L937" s="11"/>
      <c r="M937" s="11">
        <f t="shared" si="226"/>
        <v>0</v>
      </c>
      <c r="N937" s="11"/>
      <c r="O937" s="11">
        <f t="shared" si="227"/>
        <v>0</v>
      </c>
      <c r="P937" s="11"/>
      <c r="Q937" s="11"/>
      <c r="R937" s="11"/>
      <c r="S937" s="11">
        <f t="shared" si="228"/>
        <v>0</v>
      </c>
      <c r="T937" s="11">
        <f t="shared" si="229"/>
        <v>1666.6666666666667</v>
      </c>
      <c r="U937" s="11">
        <f t="shared" si="230"/>
        <v>0</v>
      </c>
      <c r="V937" s="24">
        <f t="shared" si="231"/>
        <v>0</v>
      </c>
      <c r="W937" s="11">
        <f>IF(V937&lt;=40000,0,
IF(V937&lt;=55000,(V937-40000)*10%,
IF(V937&lt;=70000,(V937-55000)*15%+1500,
IF(V937&lt;=200000,(V937-70000)*20%+1500+2250,
IF(V937&lt;=400000,(V937-200000)*22.5%+1500+2250+26000,
IF(V937&lt;=600000,(V937-400000)*25%+1500+2250+26000+45000,
IF(AND(V937&gt;600000,V937&lt;=1200000),(V937-400000)*25%+1500+2250+26000+45000
+IFERROR(LOOKUP(V937,{600001;700001;800001;900001},{4000;6750;10250;15250}),0),IF(V937&gt;1200000,((V937-1200000)*27.5%)+300000,0)
)))))))</f>
        <v>0</v>
      </c>
      <c r="X937" s="12">
        <f t="shared" si="232"/>
        <v>0</v>
      </c>
      <c r="Y937" s="12">
        <f t="shared" si="233"/>
        <v>0</v>
      </c>
      <c r="Z937" s="11"/>
      <c r="AA937" s="13">
        <f t="shared" si="234"/>
        <v>0</v>
      </c>
      <c r="AB937" s="12">
        <f t="shared" si="235"/>
        <v>0</v>
      </c>
      <c r="AC937" s="14">
        <f t="shared" si="223"/>
        <v>0</v>
      </c>
      <c r="AE937" s="19">
        <f t="shared" si="236"/>
        <v>0</v>
      </c>
      <c r="AF937" s="19"/>
      <c r="AG937" s="17"/>
      <c r="AK937" s="7"/>
      <c r="AL937" s="108">
        <f t="shared" si="224"/>
        <v>0</v>
      </c>
      <c r="AM937" s="108">
        <f t="shared" si="225"/>
        <v>0</v>
      </c>
      <c r="AN937" s="113"/>
    </row>
    <row r="938" spans="2:40" x14ac:dyDescent="0.2">
      <c r="B938" s="7"/>
      <c r="C938" s="8"/>
      <c r="D938" s="8"/>
      <c r="E938" s="9"/>
      <c r="F938" s="6"/>
      <c r="G938" s="8"/>
      <c r="H938" s="32"/>
      <c r="I938" s="10" t="str">
        <f t="shared" si="222"/>
        <v>21</v>
      </c>
      <c r="J938" s="11">
        <v>1</v>
      </c>
      <c r="K938" s="11"/>
      <c r="L938" s="11"/>
      <c r="M938" s="11">
        <f t="shared" si="226"/>
        <v>0</v>
      </c>
      <c r="N938" s="11"/>
      <c r="O938" s="11">
        <f t="shared" si="227"/>
        <v>0</v>
      </c>
      <c r="P938" s="11"/>
      <c r="Q938" s="11"/>
      <c r="R938" s="11"/>
      <c r="S938" s="11">
        <f t="shared" si="228"/>
        <v>0</v>
      </c>
      <c r="T938" s="11">
        <f t="shared" si="229"/>
        <v>1666.6666666666667</v>
      </c>
      <c r="U938" s="11">
        <f t="shared" si="230"/>
        <v>0</v>
      </c>
      <c r="V938" s="24">
        <f t="shared" si="231"/>
        <v>0</v>
      </c>
      <c r="W938" s="11">
        <f>IF(V938&lt;=40000,0,
IF(V938&lt;=55000,(V938-40000)*10%,
IF(V938&lt;=70000,(V938-55000)*15%+1500,
IF(V938&lt;=200000,(V938-70000)*20%+1500+2250,
IF(V938&lt;=400000,(V938-200000)*22.5%+1500+2250+26000,
IF(V938&lt;=600000,(V938-400000)*25%+1500+2250+26000+45000,
IF(AND(V938&gt;600000,V938&lt;=1200000),(V938-400000)*25%+1500+2250+26000+45000
+IFERROR(LOOKUP(V938,{600001;700001;800001;900001},{4000;6750;10250;15250}),0),IF(V938&gt;1200000,((V938-1200000)*27.5%)+300000,0)
)))))))</f>
        <v>0</v>
      </c>
      <c r="X938" s="12">
        <f t="shared" si="232"/>
        <v>0</v>
      </c>
      <c r="Y938" s="12">
        <f t="shared" si="233"/>
        <v>0</v>
      </c>
      <c r="Z938" s="11"/>
      <c r="AA938" s="13">
        <f t="shared" si="234"/>
        <v>0</v>
      </c>
      <c r="AB938" s="12">
        <f t="shared" si="235"/>
        <v>0</v>
      </c>
      <c r="AC938" s="14">
        <f t="shared" si="223"/>
        <v>0</v>
      </c>
      <c r="AE938" s="19">
        <f t="shared" si="236"/>
        <v>0</v>
      </c>
      <c r="AF938" s="19"/>
      <c r="AG938" s="17"/>
      <c r="AK938" s="7"/>
      <c r="AL938" s="108">
        <f t="shared" si="224"/>
        <v>0</v>
      </c>
      <c r="AM938" s="108">
        <f t="shared" si="225"/>
        <v>0</v>
      </c>
      <c r="AN938" s="113"/>
    </row>
    <row r="939" spans="2:40" x14ac:dyDescent="0.2">
      <c r="B939" s="7"/>
      <c r="C939" s="8"/>
      <c r="D939" s="8"/>
      <c r="E939" s="9"/>
      <c r="F939" s="6"/>
      <c r="G939" s="8"/>
      <c r="H939" s="32"/>
      <c r="I939" s="10" t="str">
        <f t="shared" si="222"/>
        <v>21</v>
      </c>
      <c r="J939" s="11">
        <v>1</v>
      </c>
      <c r="K939" s="11"/>
      <c r="L939" s="11"/>
      <c r="M939" s="11">
        <f t="shared" si="226"/>
        <v>0</v>
      </c>
      <c r="N939" s="11"/>
      <c r="O939" s="11">
        <f t="shared" si="227"/>
        <v>0</v>
      </c>
      <c r="P939" s="11"/>
      <c r="Q939" s="11"/>
      <c r="R939" s="11"/>
      <c r="S939" s="11">
        <f t="shared" si="228"/>
        <v>0</v>
      </c>
      <c r="T939" s="11">
        <f t="shared" si="229"/>
        <v>1666.6666666666667</v>
      </c>
      <c r="U939" s="11">
        <f t="shared" si="230"/>
        <v>0</v>
      </c>
      <c r="V939" s="24">
        <f t="shared" si="231"/>
        <v>0</v>
      </c>
      <c r="W939" s="11">
        <f>IF(V939&lt;=40000,0,
IF(V939&lt;=55000,(V939-40000)*10%,
IF(V939&lt;=70000,(V939-55000)*15%+1500,
IF(V939&lt;=200000,(V939-70000)*20%+1500+2250,
IF(V939&lt;=400000,(V939-200000)*22.5%+1500+2250+26000,
IF(V939&lt;=600000,(V939-400000)*25%+1500+2250+26000+45000,
IF(AND(V939&gt;600000,V939&lt;=1200000),(V939-400000)*25%+1500+2250+26000+45000
+IFERROR(LOOKUP(V939,{600001;700001;800001;900001},{4000;6750;10250;15250}),0),IF(V939&gt;1200000,((V939-1200000)*27.5%)+300000,0)
)))))))</f>
        <v>0</v>
      </c>
      <c r="X939" s="12">
        <f t="shared" si="232"/>
        <v>0</v>
      </c>
      <c r="Y939" s="12">
        <f t="shared" si="233"/>
        <v>0</v>
      </c>
      <c r="Z939" s="11"/>
      <c r="AA939" s="13">
        <f t="shared" si="234"/>
        <v>0</v>
      </c>
      <c r="AB939" s="12">
        <f t="shared" si="235"/>
        <v>0</v>
      </c>
      <c r="AC939" s="14">
        <f t="shared" si="223"/>
        <v>0</v>
      </c>
      <c r="AE939" s="19">
        <f t="shared" si="236"/>
        <v>0</v>
      </c>
      <c r="AF939" s="19"/>
      <c r="AG939" s="17"/>
      <c r="AK939" s="7"/>
      <c r="AL939" s="108">
        <f t="shared" si="224"/>
        <v>0</v>
      </c>
      <c r="AM939" s="108">
        <f t="shared" si="225"/>
        <v>0</v>
      </c>
      <c r="AN939" s="113"/>
    </row>
    <row r="940" spans="2:40" x14ac:dyDescent="0.2">
      <c r="B940" s="7"/>
      <c r="C940" s="8"/>
      <c r="D940" s="8"/>
      <c r="E940" s="9"/>
      <c r="F940" s="6"/>
      <c r="G940" s="8"/>
      <c r="H940" s="32"/>
      <c r="I940" s="10" t="str">
        <f t="shared" si="222"/>
        <v>21</v>
      </c>
      <c r="J940" s="11">
        <v>1</v>
      </c>
      <c r="K940" s="11"/>
      <c r="L940" s="11"/>
      <c r="M940" s="11">
        <f t="shared" si="226"/>
        <v>0</v>
      </c>
      <c r="N940" s="11"/>
      <c r="O940" s="11">
        <f t="shared" si="227"/>
        <v>0</v>
      </c>
      <c r="P940" s="11"/>
      <c r="Q940" s="11"/>
      <c r="R940" s="11"/>
      <c r="S940" s="11">
        <f t="shared" si="228"/>
        <v>0</v>
      </c>
      <c r="T940" s="11">
        <f t="shared" si="229"/>
        <v>1666.6666666666667</v>
      </c>
      <c r="U940" s="11">
        <f t="shared" si="230"/>
        <v>0</v>
      </c>
      <c r="V940" s="24">
        <f t="shared" si="231"/>
        <v>0</v>
      </c>
      <c r="W940" s="11">
        <f>IF(V940&lt;=40000,0,
IF(V940&lt;=55000,(V940-40000)*10%,
IF(V940&lt;=70000,(V940-55000)*15%+1500,
IF(V940&lt;=200000,(V940-70000)*20%+1500+2250,
IF(V940&lt;=400000,(V940-200000)*22.5%+1500+2250+26000,
IF(V940&lt;=600000,(V940-400000)*25%+1500+2250+26000+45000,
IF(AND(V940&gt;600000,V940&lt;=1200000),(V940-400000)*25%+1500+2250+26000+45000
+IFERROR(LOOKUP(V940,{600001;700001;800001;900001},{4000;6750;10250;15250}),0),IF(V940&gt;1200000,((V940-1200000)*27.5%)+300000,0)
)))))))</f>
        <v>0</v>
      </c>
      <c r="X940" s="12">
        <f t="shared" si="232"/>
        <v>0</v>
      </c>
      <c r="Y940" s="12">
        <f t="shared" si="233"/>
        <v>0</v>
      </c>
      <c r="Z940" s="11"/>
      <c r="AA940" s="13">
        <f t="shared" si="234"/>
        <v>0</v>
      </c>
      <c r="AB940" s="12">
        <f t="shared" si="235"/>
        <v>0</v>
      </c>
      <c r="AC940" s="14">
        <f t="shared" si="223"/>
        <v>0</v>
      </c>
      <c r="AE940" s="19">
        <f t="shared" si="236"/>
        <v>0</v>
      </c>
      <c r="AF940" s="19"/>
      <c r="AG940" s="17"/>
      <c r="AK940" s="7"/>
      <c r="AL940" s="108">
        <f t="shared" si="224"/>
        <v>0</v>
      </c>
      <c r="AM940" s="108">
        <f t="shared" si="225"/>
        <v>0</v>
      </c>
      <c r="AN940" s="113"/>
    </row>
    <row r="941" spans="2:40" x14ac:dyDescent="0.2">
      <c r="B941" s="7"/>
      <c r="C941" s="8"/>
      <c r="D941" s="8"/>
      <c r="E941" s="9"/>
      <c r="F941" s="6"/>
      <c r="G941" s="8"/>
      <c r="H941" s="32"/>
      <c r="I941" s="10" t="str">
        <f t="shared" si="222"/>
        <v>21</v>
      </c>
      <c r="J941" s="11">
        <v>1</v>
      </c>
      <c r="K941" s="11"/>
      <c r="L941" s="11"/>
      <c r="M941" s="11">
        <f t="shared" si="226"/>
        <v>0</v>
      </c>
      <c r="N941" s="11"/>
      <c r="O941" s="11">
        <f t="shared" si="227"/>
        <v>0</v>
      </c>
      <c r="P941" s="11"/>
      <c r="Q941" s="11"/>
      <c r="R941" s="11"/>
      <c r="S941" s="11">
        <f t="shared" si="228"/>
        <v>0</v>
      </c>
      <c r="T941" s="11">
        <f t="shared" si="229"/>
        <v>1666.6666666666667</v>
      </c>
      <c r="U941" s="11">
        <f t="shared" si="230"/>
        <v>0</v>
      </c>
      <c r="V941" s="24">
        <f t="shared" si="231"/>
        <v>0</v>
      </c>
      <c r="W941" s="11">
        <f>IF(V941&lt;=40000,0,
IF(V941&lt;=55000,(V941-40000)*10%,
IF(V941&lt;=70000,(V941-55000)*15%+1500,
IF(V941&lt;=200000,(V941-70000)*20%+1500+2250,
IF(V941&lt;=400000,(V941-200000)*22.5%+1500+2250+26000,
IF(V941&lt;=600000,(V941-400000)*25%+1500+2250+26000+45000,
IF(AND(V941&gt;600000,V941&lt;=1200000),(V941-400000)*25%+1500+2250+26000+45000
+IFERROR(LOOKUP(V941,{600001;700001;800001;900001},{4000;6750;10250;15250}),0),IF(V941&gt;1200000,((V941-1200000)*27.5%)+300000,0)
)))))))</f>
        <v>0</v>
      </c>
      <c r="X941" s="12">
        <f t="shared" si="232"/>
        <v>0</v>
      </c>
      <c r="Y941" s="12">
        <f t="shared" si="233"/>
        <v>0</v>
      </c>
      <c r="Z941" s="11"/>
      <c r="AA941" s="13">
        <f t="shared" si="234"/>
        <v>0</v>
      </c>
      <c r="AB941" s="12">
        <f t="shared" si="235"/>
        <v>0</v>
      </c>
      <c r="AC941" s="14">
        <f t="shared" si="223"/>
        <v>0</v>
      </c>
      <c r="AE941" s="19">
        <f t="shared" si="236"/>
        <v>0</v>
      </c>
      <c r="AF941" s="19"/>
      <c r="AG941" s="17"/>
      <c r="AK941" s="7"/>
      <c r="AL941" s="108">
        <f t="shared" si="224"/>
        <v>0</v>
      </c>
      <c r="AM941" s="108">
        <f t="shared" si="225"/>
        <v>0</v>
      </c>
      <c r="AN941" s="113"/>
    </row>
    <row r="942" spans="2:40" x14ac:dyDescent="0.2">
      <c r="B942" s="7"/>
      <c r="C942" s="8"/>
      <c r="D942" s="8"/>
      <c r="E942" s="9"/>
      <c r="F942" s="6"/>
      <c r="G942" s="8"/>
      <c r="H942" s="32"/>
      <c r="I942" s="10" t="str">
        <f t="shared" si="222"/>
        <v>21</v>
      </c>
      <c r="J942" s="11">
        <v>1</v>
      </c>
      <c r="K942" s="11"/>
      <c r="L942" s="11"/>
      <c r="M942" s="11">
        <f t="shared" si="226"/>
        <v>0</v>
      </c>
      <c r="N942" s="11"/>
      <c r="O942" s="11">
        <f t="shared" si="227"/>
        <v>0</v>
      </c>
      <c r="P942" s="11"/>
      <c r="Q942" s="11"/>
      <c r="R942" s="11"/>
      <c r="S942" s="11">
        <f t="shared" si="228"/>
        <v>0</v>
      </c>
      <c r="T942" s="11">
        <f t="shared" si="229"/>
        <v>1666.6666666666667</v>
      </c>
      <c r="U942" s="11">
        <f t="shared" si="230"/>
        <v>0</v>
      </c>
      <c r="V942" s="24">
        <f t="shared" si="231"/>
        <v>0</v>
      </c>
      <c r="W942" s="11">
        <f>IF(V942&lt;=40000,0,
IF(V942&lt;=55000,(V942-40000)*10%,
IF(V942&lt;=70000,(V942-55000)*15%+1500,
IF(V942&lt;=200000,(V942-70000)*20%+1500+2250,
IF(V942&lt;=400000,(V942-200000)*22.5%+1500+2250+26000,
IF(V942&lt;=600000,(V942-400000)*25%+1500+2250+26000+45000,
IF(AND(V942&gt;600000,V942&lt;=1200000),(V942-400000)*25%+1500+2250+26000+45000
+IFERROR(LOOKUP(V942,{600001;700001;800001;900001},{4000;6750;10250;15250}),0),IF(V942&gt;1200000,((V942-1200000)*27.5%)+300000,0)
)))))))</f>
        <v>0</v>
      </c>
      <c r="X942" s="12">
        <f t="shared" si="232"/>
        <v>0</v>
      </c>
      <c r="Y942" s="12">
        <f t="shared" si="233"/>
        <v>0</v>
      </c>
      <c r="Z942" s="11"/>
      <c r="AA942" s="13">
        <f t="shared" si="234"/>
        <v>0</v>
      </c>
      <c r="AB942" s="12">
        <f t="shared" si="235"/>
        <v>0</v>
      </c>
      <c r="AC942" s="14">
        <f t="shared" si="223"/>
        <v>0</v>
      </c>
      <c r="AE942" s="19">
        <f t="shared" si="236"/>
        <v>0</v>
      </c>
      <c r="AF942" s="19"/>
      <c r="AG942" s="17"/>
      <c r="AK942" s="7"/>
      <c r="AL942" s="108">
        <f t="shared" si="224"/>
        <v>0</v>
      </c>
      <c r="AM942" s="108">
        <f t="shared" si="225"/>
        <v>0</v>
      </c>
      <c r="AN942" s="113"/>
    </row>
    <row r="943" spans="2:40" x14ac:dyDescent="0.2">
      <c r="B943" s="7"/>
      <c r="C943" s="8"/>
      <c r="D943" s="8"/>
      <c r="E943" s="9"/>
      <c r="F943" s="6"/>
      <c r="G943" s="8"/>
      <c r="H943" s="32"/>
      <c r="I943" s="10" t="str">
        <f t="shared" si="222"/>
        <v>21</v>
      </c>
      <c r="J943" s="11">
        <v>1</v>
      </c>
      <c r="K943" s="11"/>
      <c r="L943" s="11"/>
      <c r="M943" s="11">
        <f t="shared" si="226"/>
        <v>0</v>
      </c>
      <c r="N943" s="11"/>
      <c r="O943" s="11">
        <f t="shared" si="227"/>
        <v>0</v>
      </c>
      <c r="P943" s="11"/>
      <c r="Q943" s="11"/>
      <c r="R943" s="11"/>
      <c r="S943" s="11">
        <f t="shared" si="228"/>
        <v>0</v>
      </c>
      <c r="T943" s="11">
        <f t="shared" si="229"/>
        <v>1666.6666666666667</v>
      </c>
      <c r="U943" s="11">
        <f t="shared" si="230"/>
        <v>0</v>
      </c>
      <c r="V943" s="24">
        <f t="shared" si="231"/>
        <v>0</v>
      </c>
      <c r="W943" s="11">
        <f>IF(V943&lt;=40000,0,
IF(V943&lt;=55000,(V943-40000)*10%,
IF(V943&lt;=70000,(V943-55000)*15%+1500,
IF(V943&lt;=200000,(V943-70000)*20%+1500+2250,
IF(V943&lt;=400000,(V943-200000)*22.5%+1500+2250+26000,
IF(V943&lt;=600000,(V943-400000)*25%+1500+2250+26000+45000,
IF(AND(V943&gt;600000,V943&lt;=1200000),(V943-400000)*25%+1500+2250+26000+45000
+IFERROR(LOOKUP(V943,{600001;700001;800001;900001},{4000;6750;10250;15250}),0),IF(V943&gt;1200000,((V943-1200000)*27.5%)+300000,0)
)))))))</f>
        <v>0</v>
      </c>
      <c r="X943" s="12">
        <f t="shared" si="232"/>
        <v>0</v>
      </c>
      <c r="Y943" s="12">
        <f t="shared" si="233"/>
        <v>0</v>
      </c>
      <c r="Z943" s="11"/>
      <c r="AA943" s="13">
        <f t="shared" si="234"/>
        <v>0</v>
      </c>
      <c r="AB943" s="12">
        <f t="shared" si="235"/>
        <v>0</v>
      </c>
      <c r="AC943" s="14">
        <f t="shared" si="223"/>
        <v>0</v>
      </c>
      <c r="AE943" s="19">
        <f t="shared" si="236"/>
        <v>0</v>
      </c>
      <c r="AF943" s="19"/>
      <c r="AG943" s="17"/>
      <c r="AK943" s="7"/>
      <c r="AL943" s="108">
        <f t="shared" si="224"/>
        <v>0</v>
      </c>
      <c r="AM943" s="108">
        <f t="shared" si="225"/>
        <v>0</v>
      </c>
      <c r="AN943" s="113"/>
    </row>
    <row r="944" spans="2:40" x14ac:dyDescent="0.2">
      <c r="B944" s="7"/>
      <c r="C944" s="8"/>
      <c r="D944" s="8"/>
      <c r="E944" s="9"/>
      <c r="F944" s="6"/>
      <c r="G944" s="8"/>
      <c r="H944" s="32"/>
      <c r="I944" s="10" t="str">
        <f t="shared" si="222"/>
        <v>21</v>
      </c>
      <c r="J944" s="11">
        <v>1</v>
      </c>
      <c r="K944" s="11"/>
      <c r="L944" s="11"/>
      <c r="M944" s="11">
        <f t="shared" si="226"/>
        <v>0</v>
      </c>
      <c r="N944" s="11"/>
      <c r="O944" s="11">
        <f t="shared" si="227"/>
        <v>0</v>
      </c>
      <c r="P944" s="11"/>
      <c r="Q944" s="11"/>
      <c r="R944" s="11"/>
      <c r="S944" s="11">
        <f t="shared" si="228"/>
        <v>0</v>
      </c>
      <c r="T944" s="11">
        <f t="shared" si="229"/>
        <v>1666.6666666666667</v>
      </c>
      <c r="U944" s="11">
        <f t="shared" si="230"/>
        <v>0</v>
      </c>
      <c r="V944" s="24">
        <f t="shared" si="231"/>
        <v>0</v>
      </c>
      <c r="W944" s="11">
        <f>IF(V944&lt;=40000,0,
IF(V944&lt;=55000,(V944-40000)*10%,
IF(V944&lt;=70000,(V944-55000)*15%+1500,
IF(V944&lt;=200000,(V944-70000)*20%+1500+2250,
IF(V944&lt;=400000,(V944-200000)*22.5%+1500+2250+26000,
IF(V944&lt;=600000,(V944-400000)*25%+1500+2250+26000+45000,
IF(AND(V944&gt;600000,V944&lt;=1200000),(V944-400000)*25%+1500+2250+26000+45000
+IFERROR(LOOKUP(V944,{600001;700001;800001;900001},{4000;6750;10250;15250}),0),IF(V944&gt;1200000,((V944-1200000)*27.5%)+300000,0)
)))))))</f>
        <v>0</v>
      </c>
      <c r="X944" s="12">
        <f t="shared" si="232"/>
        <v>0</v>
      </c>
      <c r="Y944" s="12">
        <f t="shared" si="233"/>
        <v>0</v>
      </c>
      <c r="Z944" s="11"/>
      <c r="AA944" s="13">
        <f t="shared" si="234"/>
        <v>0</v>
      </c>
      <c r="AB944" s="12">
        <f t="shared" si="235"/>
        <v>0</v>
      </c>
      <c r="AC944" s="14">
        <f t="shared" si="223"/>
        <v>0</v>
      </c>
      <c r="AE944" s="19">
        <f t="shared" si="236"/>
        <v>0</v>
      </c>
      <c r="AF944" s="19"/>
      <c r="AG944" s="17"/>
      <c r="AK944" s="7"/>
      <c r="AL944" s="108">
        <f t="shared" si="224"/>
        <v>0</v>
      </c>
      <c r="AM944" s="108">
        <f t="shared" si="225"/>
        <v>0</v>
      </c>
      <c r="AN944" s="113"/>
    </row>
    <row r="945" spans="2:40" x14ac:dyDescent="0.2">
      <c r="B945" s="7"/>
      <c r="C945" s="8"/>
      <c r="D945" s="8"/>
      <c r="E945" s="9"/>
      <c r="F945" s="6"/>
      <c r="G945" s="8"/>
      <c r="H945" s="32"/>
      <c r="I945" s="10" t="str">
        <f t="shared" si="222"/>
        <v>21</v>
      </c>
      <c r="J945" s="11">
        <v>1</v>
      </c>
      <c r="K945" s="11"/>
      <c r="L945" s="11"/>
      <c r="M945" s="11">
        <f t="shared" si="226"/>
        <v>0</v>
      </c>
      <c r="N945" s="11"/>
      <c r="O945" s="11">
        <f t="shared" si="227"/>
        <v>0</v>
      </c>
      <c r="P945" s="11"/>
      <c r="Q945" s="11"/>
      <c r="R945" s="11"/>
      <c r="S945" s="11">
        <f t="shared" si="228"/>
        <v>0</v>
      </c>
      <c r="T945" s="11">
        <f t="shared" si="229"/>
        <v>1666.6666666666667</v>
      </c>
      <c r="U945" s="11">
        <f t="shared" si="230"/>
        <v>0</v>
      </c>
      <c r="V945" s="24">
        <f t="shared" si="231"/>
        <v>0</v>
      </c>
      <c r="W945" s="11">
        <f>IF(V945&lt;=40000,0,
IF(V945&lt;=55000,(V945-40000)*10%,
IF(V945&lt;=70000,(V945-55000)*15%+1500,
IF(V945&lt;=200000,(V945-70000)*20%+1500+2250,
IF(V945&lt;=400000,(V945-200000)*22.5%+1500+2250+26000,
IF(V945&lt;=600000,(V945-400000)*25%+1500+2250+26000+45000,
IF(AND(V945&gt;600000,V945&lt;=1200000),(V945-400000)*25%+1500+2250+26000+45000
+IFERROR(LOOKUP(V945,{600001;700001;800001;900001},{4000;6750;10250;15250}),0),IF(V945&gt;1200000,((V945-1200000)*27.5%)+300000,0)
)))))))</f>
        <v>0</v>
      </c>
      <c r="X945" s="12">
        <f t="shared" si="232"/>
        <v>0</v>
      </c>
      <c r="Y945" s="12">
        <f t="shared" si="233"/>
        <v>0</v>
      </c>
      <c r="Z945" s="11"/>
      <c r="AA945" s="13">
        <f t="shared" si="234"/>
        <v>0</v>
      </c>
      <c r="AB945" s="12">
        <f t="shared" si="235"/>
        <v>0</v>
      </c>
      <c r="AC945" s="14">
        <f t="shared" si="223"/>
        <v>0</v>
      </c>
      <c r="AE945" s="19">
        <f t="shared" si="236"/>
        <v>0</v>
      </c>
      <c r="AF945" s="19"/>
      <c r="AG945" s="17"/>
      <c r="AK945" s="7"/>
      <c r="AL945" s="108">
        <f t="shared" si="224"/>
        <v>0</v>
      </c>
      <c r="AM945" s="108">
        <f t="shared" si="225"/>
        <v>0</v>
      </c>
      <c r="AN945" s="113"/>
    </row>
    <row r="946" spans="2:40" x14ac:dyDescent="0.2">
      <c r="B946" s="7"/>
      <c r="C946" s="8"/>
      <c r="D946" s="8"/>
      <c r="E946" s="9"/>
      <c r="F946" s="6"/>
      <c r="G946" s="8"/>
      <c r="H946" s="32"/>
      <c r="I946" s="10" t="str">
        <f t="shared" si="222"/>
        <v>21</v>
      </c>
      <c r="J946" s="11">
        <v>1</v>
      </c>
      <c r="K946" s="11"/>
      <c r="L946" s="11"/>
      <c r="M946" s="11">
        <f t="shared" si="226"/>
        <v>0</v>
      </c>
      <c r="N946" s="11"/>
      <c r="O946" s="11">
        <f t="shared" si="227"/>
        <v>0</v>
      </c>
      <c r="P946" s="11"/>
      <c r="Q946" s="11"/>
      <c r="R946" s="11"/>
      <c r="S946" s="11">
        <f t="shared" si="228"/>
        <v>0</v>
      </c>
      <c r="T946" s="11">
        <f t="shared" si="229"/>
        <v>1666.6666666666667</v>
      </c>
      <c r="U946" s="11">
        <f t="shared" si="230"/>
        <v>0</v>
      </c>
      <c r="V946" s="24">
        <f t="shared" si="231"/>
        <v>0</v>
      </c>
      <c r="W946" s="11">
        <f>IF(V946&lt;=40000,0,
IF(V946&lt;=55000,(V946-40000)*10%,
IF(V946&lt;=70000,(V946-55000)*15%+1500,
IF(V946&lt;=200000,(V946-70000)*20%+1500+2250,
IF(V946&lt;=400000,(V946-200000)*22.5%+1500+2250+26000,
IF(V946&lt;=600000,(V946-400000)*25%+1500+2250+26000+45000,
IF(AND(V946&gt;600000,V946&lt;=1200000),(V946-400000)*25%+1500+2250+26000+45000
+IFERROR(LOOKUP(V946,{600001;700001;800001;900001},{4000;6750;10250;15250}),0),IF(V946&gt;1200000,((V946-1200000)*27.5%)+300000,0)
)))))))</f>
        <v>0</v>
      </c>
      <c r="X946" s="12">
        <f t="shared" si="232"/>
        <v>0</v>
      </c>
      <c r="Y946" s="12">
        <f t="shared" si="233"/>
        <v>0</v>
      </c>
      <c r="Z946" s="11"/>
      <c r="AA946" s="13">
        <f t="shared" si="234"/>
        <v>0</v>
      </c>
      <c r="AB946" s="12">
        <f t="shared" si="235"/>
        <v>0</v>
      </c>
      <c r="AC946" s="14">
        <f t="shared" si="223"/>
        <v>0</v>
      </c>
      <c r="AE946" s="19">
        <f t="shared" si="236"/>
        <v>0</v>
      </c>
      <c r="AF946" s="19"/>
      <c r="AG946" s="17"/>
      <c r="AK946" s="7"/>
      <c r="AL946" s="108">
        <f t="shared" si="224"/>
        <v>0</v>
      </c>
      <c r="AM946" s="108">
        <f t="shared" si="225"/>
        <v>0</v>
      </c>
      <c r="AN946" s="113"/>
    </row>
    <row r="947" spans="2:40" x14ac:dyDescent="0.2">
      <c r="B947" s="7"/>
      <c r="C947" s="8"/>
      <c r="D947" s="8"/>
      <c r="E947" s="9"/>
      <c r="F947" s="6"/>
      <c r="G947" s="8"/>
      <c r="H947" s="32"/>
      <c r="I947" s="10" t="str">
        <f t="shared" si="222"/>
        <v>21</v>
      </c>
      <c r="J947" s="11">
        <v>1</v>
      </c>
      <c r="K947" s="11"/>
      <c r="L947" s="11"/>
      <c r="M947" s="11">
        <f t="shared" si="226"/>
        <v>0</v>
      </c>
      <c r="N947" s="11"/>
      <c r="O947" s="11">
        <f t="shared" si="227"/>
        <v>0</v>
      </c>
      <c r="P947" s="11"/>
      <c r="Q947" s="11"/>
      <c r="R947" s="11"/>
      <c r="S947" s="11">
        <f t="shared" si="228"/>
        <v>0</v>
      </c>
      <c r="T947" s="11">
        <f t="shared" si="229"/>
        <v>1666.6666666666667</v>
      </c>
      <c r="U947" s="11">
        <f t="shared" si="230"/>
        <v>0</v>
      </c>
      <c r="V947" s="24">
        <f t="shared" si="231"/>
        <v>0</v>
      </c>
      <c r="W947" s="11">
        <f>IF(V947&lt;=40000,0,
IF(V947&lt;=55000,(V947-40000)*10%,
IF(V947&lt;=70000,(V947-55000)*15%+1500,
IF(V947&lt;=200000,(V947-70000)*20%+1500+2250,
IF(V947&lt;=400000,(V947-200000)*22.5%+1500+2250+26000,
IF(V947&lt;=600000,(V947-400000)*25%+1500+2250+26000+45000,
IF(AND(V947&gt;600000,V947&lt;=1200000),(V947-400000)*25%+1500+2250+26000+45000
+IFERROR(LOOKUP(V947,{600001;700001;800001;900001},{4000;6750;10250;15250}),0),IF(V947&gt;1200000,((V947-1200000)*27.5%)+300000,0)
)))))))</f>
        <v>0</v>
      </c>
      <c r="X947" s="12">
        <f t="shared" si="232"/>
        <v>0</v>
      </c>
      <c r="Y947" s="12">
        <f t="shared" si="233"/>
        <v>0</v>
      </c>
      <c r="Z947" s="11"/>
      <c r="AA947" s="13">
        <f t="shared" si="234"/>
        <v>0</v>
      </c>
      <c r="AB947" s="12">
        <f t="shared" si="235"/>
        <v>0</v>
      </c>
      <c r="AC947" s="14">
        <f t="shared" si="223"/>
        <v>0</v>
      </c>
      <c r="AE947" s="19">
        <f t="shared" si="236"/>
        <v>0</v>
      </c>
      <c r="AF947" s="19"/>
      <c r="AG947" s="17"/>
      <c r="AK947" s="7"/>
      <c r="AL947" s="108">
        <f t="shared" si="224"/>
        <v>0</v>
      </c>
      <c r="AM947" s="108">
        <f t="shared" si="225"/>
        <v>0</v>
      </c>
      <c r="AN947" s="113"/>
    </row>
    <row r="948" spans="2:40" x14ac:dyDescent="0.2">
      <c r="B948" s="7"/>
      <c r="C948" s="8"/>
      <c r="D948" s="8"/>
      <c r="E948" s="9"/>
      <c r="F948" s="6"/>
      <c r="G948" s="8"/>
      <c r="H948" s="32"/>
      <c r="I948" s="10" t="str">
        <f t="shared" si="222"/>
        <v>21</v>
      </c>
      <c r="J948" s="11">
        <v>1</v>
      </c>
      <c r="K948" s="11"/>
      <c r="L948" s="11"/>
      <c r="M948" s="11">
        <f t="shared" si="226"/>
        <v>0</v>
      </c>
      <c r="N948" s="11"/>
      <c r="O948" s="11">
        <f t="shared" si="227"/>
        <v>0</v>
      </c>
      <c r="P948" s="11"/>
      <c r="Q948" s="11"/>
      <c r="R948" s="11"/>
      <c r="S948" s="11">
        <f t="shared" si="228"/>
        <v>0</v>
      </c>
      <c r="T948" s="11">
        <f t="shared" si="229"/>
        <v>1666.6666666666667</v>
      </c>
      <c r="U948" s="11">
        <f t="shared" si="230"/>
        <v>0</v>
      </c>
      <c r="V948" s="24">
        <f t="shared" si="231"/>
        <v>0</v>
      </c>
      <c r="W948" s="11">
        <f>IF(V948&lt;=40000,0,
IF(V948&lt;=55000,(V948-40000)*10%,
IF(V948&lt;=70000,(V948-55000)*15%+1500,
IF(V948&lt;=200000,(V948-70000)*20%+1500+2250,
IF(V948&lt;=400000,(V948-200000)*22.5%+1500+2250+26000,
IF(V948&lt;=600000,(V948-400000)*25%+1500+2250+26000+45000,
IF(AND(V948&gt;600000,V948&lt;=1200000),(V948-400000)*25%+1500+2250+26000+45000
+IFERROR(LOOKUP(V948,{600001;700001;800001;900001},{4000;6750;10250;15250}),0),IF(V948&gt;1200000,((V948-1200000)*27.5%)+300000,0)
)))))))</f>
        <v>0</v>
      </c>
      <c r="X948" s="12">
        <f t="shared" si="232"/>
        <v>0</v>
      </c>
      <c r="Y948" s="12">
        <f t="shared" si="233"/>
        <v>0</v>
      </c>
      <c r="Z948" s="11"/>
      <c r="AA948" s="13">
        <f t="shared" si="234"/>
        <v>0</v>
      </c>
      <c r="AB948" s="12">
        <f t="shared" si="235"/>
        <v>0</v>
      </c>
      <c r="AC948" s="14">
        <f t="shared" si="223"/>
        <v>0</v>
      </c>
      <c r="AE948" s="19">
        <f t="shared" si="236"/>
        <v>0</v>
      </c>
      <c r="AF948" s="19"/>
      <c r="AG948" s="17"/>
      <c r="AK948" s="7"/>
      <c r="AL948" s="108">
        <f t="shared" si="224"/>
        <v>0</v>
      </c>
      <c r="AM948" s="108">
        <f t="shared" si="225"/>
        <v>0</v>
      </c>
      <c r="AN948" s="113"/>
    </row>
    <row r="949" spans="2:40" x14ac:dyDescent="0.2">
      <c r="B949" s="7"/>
      <c r="C949" s="8"/>
      <c r="D949" s="8"/>
      <c r="E949" s="9"/>
      <c r="F949" s="6"/>
      <c r="G949" s="8"/>
      <c r="H949" s="32"/>
      <c r="I949" s="10" t="str">
        <f t="shared" si="222"/>
        <v>21</v>
      </c>
      <c r="J949" s="11">
        <v>1</v>
      </c>
      <c r="K949" s="11"/>
      <c r="L949" s="11"/>
      <c r="M949" s="11">
        <f t="shared" si="226"/>
        <v>0</v>
      </c>
      <c r="N949" s="11"/>
      <c r="O949" s="11">
        <f t="shared" si="227"/>
        <v>0</v>
      </c>
      <c r="P949" s="11"/>
      <c r="Q949" s="11"/>
      <c r="R949" s="11"/>
      <c r="S949" s="11">
        <f t="shared" si="228"/>
        <v>0</v>
      </c>
      <c r="T949" s="11">
        <f t="shared" si="229"/>
        <v>1666.6666666666667</v>
      </c>
      <c r="U949" s="11">
        <f t="shared" si="230"/>
        <v>0</v>
      </c>
      <c r="V949" s="24">
        <f t="shared" si="231"/>
        <v>0</v>
      </c>
      <c r="W949" s="11">
        <f>IF(V949&lt;=40000,0,
IF(V949&lt;=55000,(V949-40000)*10%,
IF(V949&lt;=70000,(V949-55000)*15%+1500,
IF(V949&lt;=200000,(V949-70000)*20%+1500+2250,
IF(V949&lt;=400000,(V949-200000)*22.5%+1500+2250+26000,
IF(V949&lt;=600000,(V949-400000)*25%+1500+2250+26000+45000,
IF(AND(V949&gt;600000,V949&lt;=1200000),(V949-400000)*25%+1500+2250+26000+45000
+IFERROR(LOOKUP(V949,{600001;700001;800001;900001},{4000;6750;10250;15250}),0),IF(V949&gt;1200000,((V949-1200000)*27.5%)+300000,0)
)))))))</f>
        <v>0</v>
      </c>
      <c r="X949" s="12">
        <f t="shared" si="232"/>
        <v>0</v>
      </c>
      <c r="Y949" s="12">
        <f t="shared" si="233"/>
        <v>0</v>
      </c>
      <c r="Z949" s="11"/>
      <c r="AA949" s="13">
        <f t="shared" si="234"/>
        <v>0</v>
      </c>
      <c r="AB949" s="12">
        <f t="shared" si="235"/>
        <v>0</v>
      </c>
      <c r="AC949" s="14">
        <f t="shared" si="223"/>
        <v>0</v>
      </c>
      <c r="AE949" s="19">
        <f t="shared" si="236"/>
        <v>0</v>
      </c>
      <c r="AF949" s="19"/>
      <c r="AG949" s="17"/>
      <c r="AK949" s="7"/>
      <c r="AL949" s="108">
        <f t="shared" si="224"/>
        <v>0</v>
      </c>
      <c r="AM949" s="108">
        <f t="shared" si="225"/>
        <v>0</v>
      </c>
      <c r="AN949" s="113"/>
    </row>
    <row r="950" spans="2:40" x14ac:dyDescent="0.2">
      <c r="B950" s="7"/>
      <c r="C950" s="8"/>
      <c r="D950" s="8"/>
      <c r="E950" s="9"/>
      <c r="F950" s="6"/>
      <c r="G950" s="8"/>
      <c r="H950" s="32"/>
      <c r="I950" s="10" t="str">
        <f t="shared" si="222"/>
        <v>21</v>
      </c>
      <c r="J950" s="11">
        <v>1</v>
      </c>
      <c r="K950" s="11"/>
      <c r="L950" s="11"/>
      <c r="M950" s="11">
        <f t="shared" si="226"/>
        <v>0</v>
      </c>
      <c r="N950" s="11"/>
      <c r="O950" s="11">
        <f t="shared" si="227"/>
        <v>0</v>
      </c>
      <c r="P950" s="11"/>
      <c r="Q950" s="11"/>
      <c r="R950" s="11"/>
      <c r="S950" s="11">
        <f t="shared" si="228"/>
        <v>0</v>
      </c>
      <c r="T950" s="11">
        <f t="shared" si="229"/>
        <v>1666.6666666666667</v>
      </c>
      <c r="U950" s="11">
        <f t="shared" si="230"/>
        <v>0</v>
      </c>
      <c r="V950" s="24">
        <f t="shared" si="231"/>
        <v>0</v>
      </c>
      <c r="W950" s="11">
        <f>IF(V950&lt;=40000,0,
IF(V950&lt;=55000,(V950-40000)*10%,
IF(V950&lt;=70000,(V950-55000)*15%+1500,
IF(V950&lt;=200000,(V950-70000)*20%+1500+2250,
IF(V950&lt;=400000,(V950-200000)*22.5%+1500+2250+26000,
IF(V950&lt;=600000,(V950-400000)*25%+1500+2250+26000+45000,
IF(AND(V950&gt;600000,V950&lt;=1200000),(V950-400000)*25%+1500+2250+26000+45000
+IFERROR(LOOKUP(V950,{600001;700001;800001;900001},{4000;6750;10250;15250}),0),IF(V950&gt;1200000,((V950-1200000)*27.5%)+300000,0)
)))))))</f>
        <v>0</v>
      </c>
      <c r="X950" s="12">
        <f t="shared" si="232"/>
        <v>0</v>
      </c>
      <c r="Y950" s="12">
        <f t="shared" si="233"/>
        <v>0</v>
      </c>
      <c r="Z950" s="11"/>
      <c r="AA950" s="13">
        <f t="shared" si="234"/>
        <v>0</v>
      </c>
      <c r="AB950" s="12">
        <f t="shared" si="235"/>
        <v>0</v>
      </c>
      <c r="AC950" s="14">
        <f t="shared" si="223"/>
        <v>0</v>
      </c>
      <c r="AE950" s="19">
        <f t="shared" si="236"/>
        <v>0</v>
      </c>
      <c r="AF950" s="19"/>
      <c r="AG950" s="17"/>
      <c r="AK950" s="7"/>
      <c r="AL950" s="108">
        <f t="shared" si="224"/>
        <v>0</v>
      </c>
      <c r="AM950" s="108">
        <f t="shared" si="225"/>
        <v>0</v>
      </c>
      <c r="AN950" s="113"/>
    </row>
    <row r="951" spans="2:40" x14ac:dyDescent="0.2">
      <c r="B951" s="7"/>
      <c r="C951" s="8"/>
      <c r="D951" s="8"/>
      <c r="E951" s="9"/>
      <c r="F951" s="6"/>
      <c r="G951" s="8"/>
      <c r="H951" s="32"/>
      <c r="I951" s="10" t="str">
        <f t="shared" si="222"/>
        <v>21</v>
      </c>
      <c r="J951" s="11">
        <v>1</v>
      </c>
      <c r="K951" s="11"/>
      <c r="L951" s="11"/>
      <c r="M951" s="11">
        <f t="shared" si="226"/>
        <v>0</v>
      </c>
      <c r="N951" s="11"/>
      <c r="O951" s="11">
        <f t="shared" si="227"/>
        <v>0</v>
      </c>
      <c r="P951" s="11"/>
      <c r="Q951" s="11"/>
      <c r="R951" s="11"/>
      <c r="S951" s="11">
        <f t="shared" si="228"/>
        <v>0</v>
      </c>
      <c r="T951" s="11">
        <f t="shared" si="229"/>
        <v>1666.6666666666667</v>
      </c>
      <c r="U951" s="11">
        <f t="shared" si="230"/>
        <v>0</v>
      </c>
      <c r="V951" s="24">
        <f t="shared" si="231"/>
        <v>0</v>
      </c>
      <c r="W951" s="11">
        <f>IF(V951&lt;=40000,0,
IF(V951&lt;=55000,(V951-40000)*10%,
IF(V951&lt;=70000,(V951-55000)*15%+1500,
IF(V951&lt;=200000,(V951-70000)*20%+1500+2250,
IF(V951&lt;=400000,(V951-200000)*22.5%+1500+2250+26000,
IF(V951&lt;=600000,(V951-400000)*25%+1500+2250+26000+45000,
IF(AND(V951&gt;600000,V951&lt;=1200000),(V951-400000)*25%+1500+2250+26000+45000
+IFERROR(LOOKUP(V951,{600001;700001;800001;900001},{4000;6750;10250;15250}),0),IF(V951&gt;1200000,((V951-1200000)*27.5%)+300000,0)
)))))))</f>
        <v>0</v>
      </c>
      <c r="X951" s="12">
        <f t="shared" si="232"/>
        <v>0</v>
      </c>
      <c r="Y951" s="12">
        <f t="shared" si="233"/>
        <v>0</v>
      </c>
      <c r="Z951" s="11"/>
      <c r="AA951" s="13">
        <f t="shared" si="234"/>
        <v>0</v>
      </c>
      <c r="AB951" s="12">
        <f t="shared" si="235"/>
        <v>0</v>
      </c>
      <c r="AC951" s="14">
        <f t="shared" si="223"/>
        <v>0</v>
      </c>
      <c r="AE951" s="19">
        <f t="shared" si="236"/>
        <v>0</v>
      </c>
      <c r="AF951" s="19"/>
      <c r="AG951" s="17"/>
      <c r="AK951" s="7"/>
      <c r="AL951" s="108">
        <f t="shared" si="224"/>
        <v>0</v>
      </c>
      <c r="AM951" s="108">
        <f t="shared" si="225"/>
        <v>0</v>
      </c>
      <c r="AN951" s="113"/>
    </row>
    <row r="952" spans="2:40" x14ac:dyDescent="0.2">
      <c r="B952" s="7"/>
      <c r="C952" s="8"/>
      <c r="D952" s="8"/>
      <c r="E952" s="9"/>
      <c r="F952" s="6"/>
      <c r="G952" s="8"/>
      <c r="H952" s="32"/>
      <c r="I952" s="10" t="str">
        <f t="shared" si="222"/>
        <v>21</v>
      </c>
      <c r="J952" s="11">
        <v>1</v>
      </c>
      <c r="K952" s="11"/>
      <c r="L952" s="11"/>
      <c r="M952" s="11">
        <f t="shared" si="226"/>
        <v>0</v>
      </c>
      <c r="N952" s="11"/>
      <c r="O952" s="11">
        <f t="shared" si="227"/>
        <v>0</v>
      </c>
      <c r="P952" s="11"/>
      <c r="Q952" s="11"/>
      <c r="R952" s="11"/>
      <c r="S952" s="11">
        <f t="shared" si="228"/>
        <v>0</v>
      </c>
      <c r="T952" s="11">
        <f t="shared" si="229"/>
        <v>1666.6666666666667</v>
      </c>
      <c r="U952" s="11">
        <f t="shared" si="230"/>
        <v>0</v>
      </c>
      <c r="V952" s="24">
        <f t="shared" si="231"/>
        <v>0</v>
      </c>
      <c r="W952" s="11">
        <f>IF(V952&lt;=40000,0,
IF(V952&lt;=55000,(V952-40000)*10%,
IF(V952&lt;=70000,(V952-55000)*15%+1500,
IF(V952&lt;=200000,(V952-70000)*20%+1500+2250,
IF(V952&lt;=400000,(V952-200000)*22.5%+1500+2250+26000,
IF(V952&lt;=600000,(V952-400000)*25%+1500+2250+26000+45000,
IF(AND(V952&gt;600000,V952&lt;=1200000),(V952-400000)*25%+1500+2250+26000+45000
+IFERROR(LOOKUP(V952,{600001;700001;800001;900001},{4000;6750;10250;15250}),0),IF(V952&gt;1200000,((V952-1200000)*27.5%)+300000,0)
)))))))</f>
        <v>0</v>
      </c>
      <c r="X952" s="12">
        <f t="shared" si="232"/>
        <v>0</v>
      </c>
      <c r="Y952" s="12">
        <f t="shared" si="233"/>
        <v>0</v>
      </c>
      <c r="Z952" s="11"/>
      <c r="AA952" s="13">
        <f t="shared" si="234"/>
        <v>0</v>
      </c>
      <c r="AB952" s="12">
        <f t="shared" si="235"/>
        <v>0</v>
      </c>
      <c r="AC952" s="14">
        <f t="shared" si="223"/>
        <v>0</v>
      </c>
      <c r="AE952" s="19">
        <f t="shared" si="236"/>
        <v>0</v>
      </c>
      <c r="AF952" s="19"/>
      <c r="AG952" s="17"/>
      <c r="AK952" s="7"/>
      <c r="AL952" s="108">
        <f t="shared" si="224"/>
        <v>0</v>
      </c>
      <c r="AM952" s="108">
        <f t="shared" si="225"/>
        <v>0</v>
      </c>
      <c r="AN952" s="113"/>
    </row>
    <row r="953" spans="2:40" x14ac:dyDescent="0.2">
      <c r="B953" s="7"/>
      <c r="C953" s="8"/>
      <c r="D953" s="8"/>
      <c r="E953" s="9"/>
      <c r="F953" s="6"/>
      <c r="G953" s="8"/>
      <c r="H953" s="32"/>
      <c r="I953" s="10" t="str">
        <f t="shared" si="222"/>
        <v>21</v>
      </c>
      <c r="J953" s="11">
        <v>1</v>
      </c>
      <c r="K953" s="11"/>
      <c r="L953" s="11"/>
      <c r="M953" s="11">
        <f t="shared" si="226"/>
        <v>0</v>
      </c>
      <c r="N953" s="11"/>
      <c r="O953" s="11">
        <f t="shared" si="227"/>
        <v>0</v>
      </c>
      <c r="P953" s="11"/>
      <c r="Q953" s="11"/>
      <c r="R953" s="11"/>
      <c r="S953" s="11">
        <f t="shared" si="228"/>
        <v>0</v>
      </c>
      <c r="T953" s="11">
        <f t="shared" si="229"/>
        <v>1666.6666666666667</v>
      </c>
      <c r="U953" s="11">
        <f t="shared" si="230"/>
        <v>0</v>
      </c>
      <c r="V953" s="24">
        <f t="shared" si="231"/>
        <v>0</v>
      </c>
      <c r="W953" s="11">
        <f>IF(V953&lt;=40000,0,
IF(V953&lt;=55000,(V953-40000)*10%,
IF(V953&lt;=70000,(V953-55000)*15%+1500,
IF(V953&lt;=200000,(V953-70000)*20%+1500+2250,
IF(V953&lt;=400000,(V953-200000)*22.5%+1500+2250+26000,
IF(V953&lt;=600000,(V953-400000)*25%+1500+2250+26000+45000,
IF(AND(V953&gt;600000,V953&lt;=1200000),(V953-400000)*25%+1500+2250+26000+45000
+IFERROR(LOOKUP(V953,{600001;700001;800001;900001},{4000;6750;10250;15250}),0),IF(V953&gt;1200000,((V953-1200000)*27.5%)+300000,0)
)))))))</f>
        <v>0</v>
      </c>
      <c r="X953" s="12">
        <f t="shared" si="232"/>
        <v>0</v>
      </c>
      <c r="Y953" s="12">
        <f t="shared" si="233"/>
        <v>0</v>
      </c>
      <c r="Z953" s="11"/>
      <c r="AA953" s="13">
        <f t="shared" si="234"/>
        <v>0</v>
      </c>
      <c r="AB953" s="12">
        <f t="shared" si="235"/>
        <v>0</v>
      </c>
      <c r="AC953" s="14">
        <f t="shared" si="223"/>
        <v>0</v>
      </c>
      <c r="AE953" s="19">
        <f t="shared" si="236"/>
        <v>0</v>
      </c>
      <c r="AF953" s="19"/>
      <c r="AG953" s="17"/>
      <c r="AK953" s="7"/>
      <c r="AL953" s="108">
        <f t="shared" si="224"/>
        <v>0</v>
      </c>
      <c r="AM953" s="108">
        <f t="shared" si="225"/>
        <v>0</v>
      </c>
      <c r="AN953" s="113"/>
    </row>
    <row r="954" spans="2:40" x14ac:dyDescent="0.2">
      <c r="B954" s="7"/>
      <c r="C954" s="8"/>
      <c r="D954" s="8"/>
      <c r="E954" s="9"/>
      <c r="F954" s="6"/>
      <c r="G954" s="8"/>
      <c r="H954" s="32"/>
      <c r="I954" s="10" t="str">
        <f t="shared" si="222"/>
        <v>21</v>
      </c>
      <c r="J954" s="11">
        <v>1</v>
      </c>
      <c r="K954" s="11"/>
      <c r="L954" s="11"/>
      <c r="M954" s="11">
        <f t="shared" si="226"/>
        <v>0</v>
      </c>
      <c r="N954" s="11"/>
      <c r="O954" s="11">
        <f t="shared" si="227"/>
        <v>0</v>
      </c>
      <c r="P954" s="11"/>
      <c r="Q954" s="11"/>
      <c r="R954" s="11"/>
      <c r="S954" s="11">
        <f t="shared" si="228"/>
        <v>0</v>
      </c>
      <c r="T954" s="11">
        <f t="shared" si="229"/>
        <v>1666.6666666666667</v>
      </c>
      <c r="U954" s="11">
        <f t="shared" si="230"/>
        <v>0</v>
      </c>
      <c r="V954" s="24">
        <f t="shared" si="231"/>
        <v>0</v>
      </c>
      <c r="W954" s="11">
        <f>IF(V954&lt;=40000,0,
IF(V954&lt;=55000,(V954-40000)*10%,
IF(V954&lt;=70000,(V954-55000)*15%+1500,
IF(V954&lt;=200000,(V954-70000)*20%+1500+2250,
IF(V954&lt;=400000,(V954-200000)*22.5%+1500+2250+26000,
IF(V954&lt;=600000,(V954-400000)*25%+1500+2250+26000+45000,
IF(AND(V954&gt;600000,V954&lt;=1200000),(V954-400000)*25%+1500+2250+26000+45000
+IFERROR(LOOKUP(V954,{600001;700001;800001;900001},{4000;6750;10250;15250}),0),IF(V954&gt;1200000,((V954-1200000)*27.5%)+300000,0)
)))))))</f>
        <v>0</v>
      </c>
      <c r="X954" s="12">
        <f t="shared" si="232"/>
        <v>0</v>
      </c>
      <c r="Y954" s="12">
        <f t="shared" si="233"/>
        <v>0</v>
      </c>
      <c r="Z954" s="11"/>
      <c r="AA954" s="13">
        <f t="shared" si="234"/>
        <v>0</v>
      </c>
      <c r="AB954" s="12">
        <f t="shared" si="235"/>
        <v>0</v>
      </c>
      <c r="AC954" s="14">
        <f t="shared" si="223"/>
        <v>0</v>
      </c>
      <c r="AE954" s="19">
        <f t="shared" si="236"/>
        <v>0</v>
      </c>
      <c r="AF954" s="19"/>
      <c r="AG954" s="17"/>
      <c r="AK954" s="7"/>
      <c r="AL954" s="108">
        <f t="shared" si="224"/>
        <v>0</v>
      </c>
      <c r="AM954" s="108">
        <f t="shared" si="225"/>
        <v>0</v>
      </c>
      <c r="AN954" s="113"/>
    </row>
    <row r="955" spans="2:40" x14ac:dyDescent="0.2">
      <c r="B955" s="7"/>
      <c r="C955" s="8"/>
      <c r="D955" s="8"/>
      <c r="E955" s="9"/>
      <c r="F955" s="6"/>
      <c r="G955" s="8"/>
      <c r="H955" s="32"/>
      <c r="I955" s="10" t="str">
        <f t="shared" si="222"/>
        <v>21</v>
      </c>
      <c r="J955" s="11">
        <v>1</v>
      </c>
      <c r="K955" s="11"/>
      <c r="L955" s="11"/>
      <c r="M955" s="11">
        <f t="shared" si="226"/>
        <v>0</v>
      </c>
      <c r="N955" s="11"/>
      <c r="O955" s="11">
        <f t="shared" si="227"/>
        <v>0</v>
      </c>
      <c r="P955" s="11"/>
      <c r="Q955" s="11"/>
      <c r="R955" s="11"/>
      <c r="S955" s="11">
        <f t="shared" si="228"/>
        <v>0</v>
      </c>
      <c r="T955" s="11">
        <f t="shared" si="229"/>
        <v>1666.6666666666667</v>
      </c>
      <c r="U955" s="11">
        <f t="shared" si="230"/>
        <v>0</v>
      </c>
      <c r="V955" s="24">
        <f t="shared" si="231"/>
        <v>0</v>
      </c>
      <c r="W955" s="11">
        <f>IF(V955&lt;=40000,0,
IF(V955&lt;=55000,(V955-40000)*10%,
IF(V955&lt;=70000,(V955-55000)*15%+1500,
IF(V955&lt;=200000,(V955-70000)*20%+1500+2250,
IF(V955&lt;=400000,(V955-200000)*22.5%+1500+2250+26000,
IF(V955&lt;=600000,(V955-400000)*25%+1500+2250+26000+45000,
IF(AND(V955&gt;600000,V955&lt;=1200000),(V955-400000)*25%+1500+2250+26000+45000
+IFERROR(LOOKUP(V955,{600001;700001;800001;900001},{4000;6750;10250;15250}),0),IF(V955&gt;1200000,((V955-1200000)*27.5%)+300000,0)
)))))))</f>
        <v>0</v>
      </c>
      <c r="X955" s="12">
        <f t="shared" si="232"/>
        <v>0</v>
      </c>
      <c r="Y955" s="12">
        <f t="shared" si="233"/>
        <v>0</v>
      </c>
      <c r="Z955" s="11"/>
      <c r="AA955" s="13">
        <f t="shared" si="234"/>
        <v>0</v>
      </c>
      <c r="AB955" s="12">
        <f t="shared" si="235"/>
        <v>0</v>
      </c>
      <c r="AC955" s="14">
        <f t="shared" si="223"/>
        <v>0</v>
      </c>
      <c r="AE955" s="19">
        <f t="shared" si="236"/>
        <v>0</v>
      </c>
      <c r="AF955" s="19"/>
      <c r="AG955" s="17"/>
      <c r="AK955" s="7"/>
      <c r="AL955" s="108">
        <f t="shared" si="224"/>
        <v>0</v>
      </c>
      <c r="AM955" s="108">
        <f t="shared" si="225"/>
        <v>0</v>
      </c>
      <c r="AN955" s="113"/>
    </row>
    <row r="956" spans="2:40" x14ac:dyDescent="0.2">
      <c r="B956" s="7"/>
      <c r="C956" s="8"/>
      <c r="D956" s="8"/>
      <c r="E956" s="9"/>
      <c r="F956" s="6"/>
      <c r="G956" s="8"/>
      <c r="H956" s="32"/>
      <c r="I956" s="10" t="str">
        <f t="shared" si="222"/>
        <v>21</v>
      </c>
      <c r="J956" s="11">
        <v>1</v>
      </c>
      <c r="K956" s="11"/>
      <c r="L956" s="11"/>
      <c r="M956" s="11">
        <f t="shared" si="226"/>
        <v>0</v>
      </c>
      <c r="N956" s="11"/>
      <c r="O956" s="11">
        <f t="shared" si="227"/>
        <v>0</v>
      </c>
      <c r="P956" s="11"/>
      <c r="Q956" s="11"/>
      <c r="R956" s="11"/>
      <c r="S956" s="11">
        <f t="shared" si="228"/>
        <v>0</v>
      </c>
      <c r="T956" s="11">
        <f t="shared" si="229"/>
        <v>1666.6666666666667</v>
      </c>
      <c r="U956" s="11">
        <f t="shared" si="230"/>
        <v>0</v>
      </c>
      <c r="V956" s="24">
        <f t="shared" si="231"/>
        <v>0</v>
      </c>
      <c r="W956" s="11">
        <f>IF(V956&lt;=40000,0,
IF(V956&lt;=55000,(V956-40000)*10%,
IF(V956&lt;=70000,(V956-55000)*15%+1500,
IF(V956&lt;=200000,(V956-70000)*20%+1500+2250,
IF(V956&lt;=400000,(V956-200000)*22.5%+1500+2250+26000,
IF(V956&lt;=600000,(V956-400000)*25%+1500+2250+26000+45000,
IF(AND(V956&gt;600000,V956&lt;=1200000),(V956-400000)*25%+1500+2250+26000+45000
+IFERROR(LOOKUP(V956,{600001;700001;800001;900001},{4000;6750;10250;15250}),0),IF(V956&gt;1200000,((V956-1200000)*27.5%)+300000,0)
)))))))</f>
        <v>0</v>
      </c>
      <c r="X956" s="12">
        <f t="shared" si="232"/>
        <v>0</v>
      </c>
      <c r="Y956" s="12">
        <f t="shared" si="233"/>
        <v>0</v>
      </c>
      <c r="Z956" s="11"/>
      <c r="AA956" s="13">
        <f t="shared" si="234"/>
        <v>0</v>
      </c>
      <c r="AB956" s="12">
        <f t="shared" si="235"/>
        <v>0</v>
      </c>
      <c r="AC956" s="14">
        <f t="shared" si="223"/>
        <v>0</v>
      </c>
      <c r="AE956" s="19">
        <f t="shared" si="236"/>
        <v>0</v>
      </c>
      <c r="AF956" s="19"/>
      <c r="AG956" s="17"/>
      <c r="AK956" s="7"/>
      <c r="AL956" s="108">
        <f t="shared" si="224"/>
        <v>0</v>
      </c>
      <c r="AM956" s="108">
        <f t="shared" si="225"/>
        <v>0</v>
      </c>
      <c r="AN956" s="113"/>
    </row>
    <row r="957" spans="2:40" x14ac:dyDescent="0.2">
      <c r="B957" s="7"/>
      <c r="C957" s="8"/>
      <c r="D957" s="8"/>
      <c r="E957" s="9"/>
      <c r="F957" s="6"/>
      <c r="G957" s="8"/>
      <c r="H957" s="32"/>
      <c r="I957" s="10" t="str">
        <f t="shared" si="222"/>
        <v>21</v>
      </c>
      <c r="J957" s="11">
        <v>1</v>
      </c>
      <c r="K957" s="11"/>
      <c r="L957" s="11"/>
      <c r="M957" s="11">
        <f t="shared" si="226"/>
        <v>0</v>
      </c>
      <c r="N957" s="11"/>
      <c r="O957" s="11">
        <f t="shared" si="227"/>
        <v>0</v>
      </c>
      <c r="P957" s="11"/>
      <c r="Q957" s="11"/>
      <c r="R957" s="11"/>
      <c r="S957" s="11">
        <f t="shared" si="228"/>
        <v>0</v>
      </c>
      <c r="T957" s="11">
        <f t="shared" si="229"/>
        <v>1666.6666666666667</v>
      </c>
      <c r="U957" s="11">
        <f t="shared" si="230"/>
        <v>0</v>
      </c>
      <c r="V957" s="24">
        <f t="shared" si="231"/>
        <v>0</v>
      </c>
      <c r="W957" s="11">
        <f>IF(V957&lt;=40000,0,
IF(V957&lt;=55000,(V957-40000)*10%,
IF(V957&lt;=70000,(V957-55000)*15%+1500,
IF(V957&lt;=200000,(V957-70000)*20%+1500+2250,
IF(V957&lt;=400000,(V957-200000)*22.5%+1500+2250+26000,
IF(V957&lt;=600000,(V957-400000)*25%+1500+2250+26000+45000,
IF(AND(V957&gt;600000,V957&lt;=1200000),(V957-400000)*25%+1500+2250+26000+45000
+IFERROR(LOOKUP(V957,{600001;700001;800001;900001},{4000;6750;10250;15250}),0),IF(V957&gt;1200000,((V957-1200000)*27.5%)+300000,0)
)))))))</f>
        <v>0</v>
      </c>
      <c r="X957" s="12">
        <f t="shared" si="232"/>
        <v>0</v>
      </c>
      <c r="Y957" s="12">
        <f t="shared" si="233"/>
        <v>0</v>
      </c>
      <c r="Z957" s="11"/>
      <c r="AA957" s="13">
        <f t="shared" si="234"/>
        <v>0</v>
      </c>
      <c r="AB957" s="12">
        <f t="shared" si="235"/>
        <v>0</v>
      </c>
      <c r="AC957" s="14">
        <f t="shared" si="223"/>
        <v>0</v>
      </c>
      <c r="AE957" s="19">
        <f t="shared" si="236"/>
        <v>0</v>
      </c>
      <c r="AF957" s="19"/>
      <c r="AG957" s="17"/>
      <c r="AK957" s="7"/>
      <c r="AL957" s="108">
        <f t="shared" si="224"/>
        <v>0</v>
      </c>
      <c r="AM957" s="108">
        <f t="shared" si="225"/>
        <v>0</v>
      </c>
      <c r="AN957" s="113"/>
    </row>
    <row r="958" spans="2:40" x14ac:dyDescent="0.2">
      <c r="B958" s="7"/>
      <c r="C958" s="8"/>
      <c r="D958" s="8"/>
      <c r="E958" s="9"/>
      <c r="F958" s="6"/>
      <c r="G958" s="8"/>
      <c r="H958" s="32"/>
      <c r="I958" s="10" t="str">
        <f t="shared" si="222"/>
        <v>21</v>
      </c>
      <c r="J958" s="11">
        <v>1</v>
      </c>
      <c r="K958" s="11"/>
      <c r="L958" s="11"/>
      <c r="M958" s="11">
        <f t="shared" si="226"/>
        <v>0</v>
      </c>
      <c r="N958" s="11"/>
      <c r="O958" s="11">
        <f t="shared" si="227"/>
        <v>0</v>
      </c>
      <c r="P958" s="11"/>
      <c r="Q958" s="11"/>
      <c r="R958" s="11"/>
      <c r="S958" s="11">
        <f t="shared" si="228"/>
        <v>0</v>
      </c>
      <c r="T958" s="11">
        <f t="shared" si="229"/>
        <v>1666.6666666666667</v>
      </c>
      <c r="U958" s="11">
        <f t="shared" si="230"/>
        <v>0</v>
      </c>
      <c r="V958" s="24">
        <f t="shared" si="231"/>
        <v>0</v>
      </c>
      <c r="W958" s="11">
        <f>IF(V958&lt;=40000,0,
IF(V958&lt;=55000,(V958-40000)*10%,
IF(V958&lt;=70000,(V958-55000)*15%+1500,
IF(V958&lt;=200000,(V958-70000)*20%+1500+2250,
IF(V958&lt;=400000,(V958-200000)*22.5%+1500+2250+26000,
IF(V958&lt;=600000,(V958-400000)*25%+1500+2250+26000+45000,
IF(AND(V958&gt;600000,V958&lt;=1200000),(V958-400000)*25%+1500+2250+26000+45000
+IFERROR(LOOKUP(V958,{600001;700001;800001;900001},{4000;6750;10250;15250}),0),IF(V958&gt;1200000,((V958-1200000)*27.5%)+300000,0)
)))))))</f>
        <v>0</v>
      </c>
      <c r="X958" s="12">
        <f t="shared" si="232"/>
        <v>0</v>
      </c>
      <c r="Y958" s="12">
        <f t="shared" si="233"/>
        <v>0</v>
      </c>
      <c r="Z958" s="11"/>
      <c r="AA958" s="13">
        <f t="shared" si="234"/>
        <v>0</v>
      </c>
      <c r="AB958" s="12">
        <f t="shared" si="235"/>
        <v>0</v>
      </c>
      <c r="AC958" s="14">
        <f t="shared" si="223"/>
        <v>0</v>
      </c>
      <c r="AE958" s="19">
        <f t="shared" si="236"/>
        <v>0</v>
      </c>
      <c r="AF958" s="19"/>
      <c r="AG958" s="17"/>
      <c r="AK958" s="7"/>
      <c r="AL958" s="108">
        <f t="shared" si="224"/>
        <v>0</v>
      </c>
      <c r="AM958" s="108">
        <f t="shared" si="225"/>
        <v>0</v>
      </c>
      <c r="AN958" s="113"/>
    </row>
    <row r="959" spans="2:40" x14ac:dyDescent="0.2">
      <c r="B959" s="7"/>
      <c r="C959" s="8"/>
      <c r="D959" s="8"/>
      <c r="E959" s="9"/>
      <c r="F959" s="6"/>
      <c r="G959" s="8"/>
      <c r="H959" s="32"/>
      <c r="I959" s="10" t="str">
        <f t="shared" si="222"/>
        <v>21</v>
      </c>
      <c r="J959" s="11">
        <v>1</v>
      </c>
      <c r="K959" s="11"/>
      <c r="L959" s="11"/>
      <c r="M959" s="11">
        <f t="shared" si="226"/>
        <v>0</v>
      </c>
      <c r="N959" s="11"/>
      <c r="O959" s="11">
        <f t="shared" si="227"/>
        <v>0</v>
      </c>
      <c r="P959" s="11"/>
      <c r="Q959" s="11"/>
      <c r="R959" s="11"/>
      <c r="S959" s="11">
        <f t="shared" si="228"/>
        <v>0</v>
      </c>
      <c r="T959" s="11">
        <f t="shared" si="229"/>
        <v>1666.6666666666667</v>
      </c>
      <c r="U959" s="11">
        <f t="shared" si="230"/>
        <v>0</v>
      </c>
      <c r="V959" s="24">
        <f t="shared" si="231"/>
        <v>0</v>
      </c>
      <c r="W959" s="11">
        <f>IF(V959&lt;=40000,0,
IF(V959&lt;=55000,(V959-40000)*10%,
IF(V959&lt;=70000,(V959-55000)*15%+1500,
IF(V959&lt;=200000,(V959-70000)*20%+1500+2250,
IF(V959&lt;=400000,(V959-200000)*22.5%+1500+2250+26000,
IF(V959&lt;=600000,(V959-400000)*25%+1500+2250+26000+45000,
IF(AND(V959&gt;600000,V959&lt;=1200000),(V959-400000)*25%+1500+2250+26000+45000
+IFERROR(LOOKUP(V959,{600001;700001;800001;900001},{4000;6750;10250;15250}),0),IF(V959&gt;1200000,((V959-1200000)*27.5%)+300000,0)
)))))))</f>
        <v>0</v>
      </c>
      <c r="X959" s="12">
        <f t="shared" si="232"/>
        <v>0</v>
      </c>
      <c r="Y959" s="12">
        <f t="shared" si="233"/>
        <v>0</v>
      </c>
      <c r="Z959" s="11"/>
      <c r="AA959" s="13">
        <f t="shared" si="234"/>
        <v>0</v>
      </c>
      <c r="AB959" s="12">
        <f t="shared" si="235"/>
        <v>0</v>
      </c>
      <c r="AC959" s="14">
        <f t="shared" si="223"/>
        <v>0</v>
      </c>
      <c r="AE959" s="19">
        <f t="shared" si="236"/>
        <v>0</v>
      </c>
      <c r="AF959" s="19"/>
      <c r="AG959" s="17"/>
      <c r="AK959" s="7"/>
      <c r="AL959" s="108">
        <f t="shared" si="224"/>
        <v>0</v>
      </c>
      <c r="AM959" s="108">
        <f t="shared" si="225"/>
        <v>0</v>
      </c>
      <c r="AN959" s="113"/>
    </row>
    <row r="960" spans="2:40" x14ac:dyDescent="0.2">
      <c r="B960" s="7"/>
      <c r="C960" s="8"/>
      <c r="D960" s="8"/>
      <c r="E960" s="9"/>
      <c r="F960" s="6"/>
      <c r="G960" s="8"/>
      <c r="H960" s="32"/>
      <c r="I960" s="10" t="str">
        <f t="shared" si="222"/>
        <v>21</v>
      </c>
      <c r="J960" s="11">
        <v>1</v>
      </c>
      <c r="K960" s="11"/>
      <c r="L960" s="11"/>
      <c r="M960" s="11">
        <f t="shared" si="226"/>
        <v>0</v>
      </c>
      <c r="N960" s="11"/>
      <c r="O960" s="11">
        <f t="shared" si="227"/>
        <v>0</v>
      </c>
      <c r="P960" s="11"/>
      <c r="Q960" s="11"/>
      <c r="R960" s="11"/>
      <c r="S960" s="11">
        <f t="shared" si="228"/>
        <v>0</v>
      </c>
      <c r="T960" s="11">
        <f t="shared" si="229"/>
        <v>1666.6666666666667</v>
      </c>
      <c r="U960" s="11">
        <f t="shared" si="230"/>
        <v>0</v>
      </c>
      <c r="V960" s="24">
        <f t="shared" si="231"/>
        <v>0</v>
      </c>
      <c r="W960" s="11">
        <f>IF(V960&lt;=40000,0,
IF(V960&lt;=55000,(V960-40000)*10%,
IF(V960&lt;=70000,(V960-55000)*15%+1500,
IF(V960&lt;=200000,(V960-70000)*20%+1500+2250,
IF(V960&lt;=400000,(V960-200000)*22.5%+1500+2250+26000,
IF(V960&lt;=600000,(V960-400000)*25%+1500+2250+26000+45000,
IF(AND(V960&gt;600000,V960&lt;=1200000),(V960-400000)*25%+1500+2250+26000+45000
+IFERROR(LOOKUP(V960,{600001;700001;800001;900001},{4000;6750;10250;15250}),0),IF(V960&gt;1200000,((V960-1200000)*27.5%)+300000,0)
)))))))</f>
        <v>0</v>
      </c>
      <c r="X960" s="12">
        <f t="shared" si="232"/>
        <v>0</v>
      </c>
      <c r="Y960" s="12">
        <f t="shared" si="233"/>
        <v>0</v>
      </c>
      <c r="Z960" s="11"/>
      <c r="AA960" s="13">
        <f t="shared" si="234"/>
        <v>0</v>
      </c>
      <c r="AB960" s="12">
        <f t="shared" si="235"/>
        <v>0</v>
      </c>
      <c r="AC960" s="14">
        <f t="shared" si="223"/>
        <v>0</v>
      </c>
      <c r="AE960" s="19">
        <f t="shared" si="236"/>
        <v>0</v>
      </c>
      <c r="AF960" s="19"/>
      <c r="AG960" s="17"/>
      <c r="AK960" s="7"/>
      <c r="AL960" s="108">
        <f t="shared" si="224"/>
        <v>0</v>
      </c>
      <c r="AM960" s="108">
        <f t="shared" si="225"/>
        <v>0</v>
      </c>
      <c r="AN960" s="113"/>
    </row>
    <row r="961" spans="2:40" x14ac:dyDescent="0.2">
      <c r="B961" s="7"/>
      <c r="C961" s="8"/>
      <c r="D961" s="8"/>
      <c r="E961" s="9"/>
      <c r="F961" s="6"/>
      <c r="G961" s="8"/>
      <c r="H961" s="32"/>
      <c r="I961" s="10" t="str">
        <f t="shared" si="222"/>
        <v>21</v>
      </c>
      <c r="J961" s="11">
        <v>1</v>
      </c>
      <c r="K961" s="11"/>
      <c r="L961" s="11"/>
      <c r="M961" s="11">
        <f t="shared" si="226"/>
        <v>0</v>
      </c>
      <c r="N961" s="11"/>
      <c r="O961" s="11">
        <f t="shared" si="227"/>
        <v>0</v>
      </c>
      <c r="P961" s="11"/>
      <c r="Q961" s="11"/>
      <c r="R961" s="11"/>
      <c r="S961" s="11">
        <f t="shared" si="228"/>
        <v>0</v>
      </c>
      <c r="T961" s="11">
        <f t="shared" si="229"/>
        <v>1666.6666666666667</v>
      </c>
      <c r="U961" s="11">
        <f t="shared" si="230"/>
        <v>0</v>
      </c>
      <c r="V961" s="24">
        <f t="shared" si="231"/>
        <v>0</v>
      </c>
      <c r="W961" s="11">
        <f>IF(V961&lt;=40000,0,
IF(V961&lt;=55000,(V961-40000)*10%,
IF(V961&lt;=70000,(V961-55000)*15%+1500,
IF(V961&lt;=200000,(V961-70000)*20%+1500+2250,
IF(V961&lt;=400000,(V961-200000)*22.5%+1500+2250+26000,
IF(V961&lt;=600000,(V961-400000)*25%+1500+2250+26000+45000,
IF(AND(V961&gt;600000,V961&lt;=1200000),(V961-400000)*25%+1500+2250+26000+45000
+IFERROR(LOOKUP(V961,{600001;700001;800001;900001},{4000;6750;10250;15250}),0),IF(V961&gt;1200000,((V961-1200000)*27.5%)+300000,0)
)))))))</f>
        <v>0</v>
      </c>
      <c r="X961" s="12">
        <f t="shared" si="232"/>
        <v>0</v>
      </c>
      <c r="Y961" s="12">
        <f t="shared" si="233"/>
        <v>0</v>
      </c>
      <c r="Z961" s="11"/>
      <c r="AA961" s="13">
        <f t="shared" si="234"/>
        <v>0</v>
      </c>
      <c r="AB961" s="12">
        <f t="shared" si="235"/>
        <v>0</v>
      </c>
      <c r="AC961" s="14">
        <f t="shared" si="223"/>
        <v>0</v>
      </c>
      <c r="AE961" s="19">
        <f t="shared" si="236"/>
        <v>0</v>
      </c>
      <c r="AF961" s="19"/>
      <c r="AG961" s="17"/>
      <c r="AK961" s="7"/>
      <c r="AL961" s="108">
        <f t="shared" si="224"/>
        <v>0</v>
      </c>
      <c r="AM961" s="108">
        <f t="shared" si="225"/>
        <v>0</v>
      </c>
      <c r="AN961" s="113"/>
    </row>
    <row r="962" spans="2:40" x14ac:dyDescent="0.2">
      <c r="B962" s="7"/>
      <c r="C962" s="8"/>
      <c r="D962" s="8"/>
      <c r="E962" s="9"/>
      <c r="F962" s="6"/>
      <c r="G962" s="8"/>
      <c r="H962" s="32"/>
      <c r="I962" s="10" t="str">
        <f t="shared" si="222"/>
        <v>21</v>
      </c>
      <c r="J962" s="11">
        <v>1</v>
      </c>
      <c r="K962" s="11"/>
      <c r="L962" s="11"/>
      <c r="M962" s="11">
        <f t="shared" si="226"/>
        <v>0</v>
      </c>
      <c r="N962" s="11"/>
      <c r="O962" s="11">
        <f t="shared" si="227"/>
        <v>0</v>
      </c>
      <c r="P962" s="11"/>
      <c r="Q962" s="11"/>
      <c r="R962" s="11"/>
      <c r="S962" s="11">
        <f t="shared" si="228"/>
        <v>0</v>
      </c>
      <c r="T962" s="11">
        <f t="shared" si="229"/>
        <v>1666.6666666666667</v>
      </c>
      <c r="U962" s="11">
        <f t="shared" si="230"/>
        <v>0</v>
      </c>
      <c r="V962" s="24">
        <f t="shared" si="231"/>
        <v>0</v>
      </c>
      <c r="W962" s="11">
        <f>IF(V962&lt;=40000,0,
IF(V962&lt;=55000,(V962-40000)*10%,
IF(V962&lt;=70000,(V962-55000)*15%+1500,
IF(V962&lt;=200000,(V962-70000)*20%+1500+2250,
IF(V962&lt;=400000,(V962-200000)*22.5%+1500+2250+26000,
IF(V962&lt;=600000,(V962-400000)*25%+1500+2250+26000+45000,
IF(AND(V962&gt;600000,V962&lt;=1200000),(V962-400000)*25%+1500+2250+26000+45000
+IFERROR(LOOKUP(V962,{600001;700001;800001;900001},{4000;6750;10250;15250}),0),IF(V962&gt;1200000,((V962-1200000)*27.5%)+300000,0)
)))))))</f>
        <v>0</v>
      </c>
      <c r="X962" s="12">
        <f t="shared" si="232"/>
        <v>0</v>
      </c>
      <c r="Y962" s="12">
        <f t="shared" si="233"/>
        <v>0</v>
      </c>
      <c r="Z962" s="11"/>
      <c r="AA962" s="13">
        <f t="shared" si="234"/>
        <v>0</v>
      </c>
      <c r="AB962" s="12">
        <f t="shared" si="235"/>
        <v>0</v>
      </c>
      <c r="AC962" s="14">
        <f t="shared" si="223"/>
        <v>0</v>
      </c>
      <c r="AE962" s="19">
        <f t="shared" si="236"/>
        <v>0</v>
      </c>
      <c r="AF962" s="19"/>
      <c r="AG962" s="17"/>
      <c r="AK962" s="7"/>
      <c r="AL962" s="108">
        <f t="shared" si="224"/>
        <v>0</v>
      </c>
      <c r="AM962" s="108">
        <f t="shared" si="225"/>
        <v>0</v>
      </c>
      <c r="AN962" s="113"/>
    </row>
    <row r="963" spans="2:40" x14ac:dyDescent="0.2">
      <c r="B963" s="7"/>
      <c r="C963" s="8"/>
      <c r="D963" s="8"/>
      <c r="E963" s="9"/>
      <c r="F963" s="6"/>
      <c r="G963" s="8"/>
      <c r="H963" s="32"/>
      <c r="I963" s="10" t="str">
        <f t="shared" si="222"/>
        <v>21</v>
      </c>
      <c r="J963" s="11">
        <v>1</v>
      </c>
      <c r="K963" s="11"/>
      <c r="L963" s="11"/>
      <c r="M963" s="11">
        <f t="shared" si="226"/>
        <v>0</v>
      </c>
      <c r="N963" s="11"/>
      <c r="O963" s="11">
        <f t="shared" si="227"/>
        <v>0</v>
      </c>
      <c r="P963" s="11"/>
      <c r="Q963" s="11"/>
      <c r="R963" s="11"/>
      <c r="S963" s="11">
        <f t="shared" si="228"/>
        <v>0</v>
      </c>
      <c r="T963" s="11">
        <f t="shared" si="229"/>
        <v>1666.6666666666667</v>
      </c>
      <c r="U963" s="11">
        <f t="shared" si="230"/>
        <v>0</v>
      </c>
      <c r="V963" s="24">
        <f t="shared" si="231"/>
        <v>0</v>
      </c>
      <c r="W963" s="11">
        <f>IF(V963&lt;=40000,0,
IF(V963&lt;=55000,(V963-40000)*10%,
IF(V963&lt;=70000,(V963-55000)*15%+1500,
IF(V963&lt;=200000,(V963-70000)*20%+1500+2250,
IF(V963&lt;=400000,(V963-200000)*22.5%+1500+2250+26000,
IF(V963&lt;=600000,(V963-400000)*25%+1500+2250+26000+45000,
IF(AND(V963&gt;600000,V963&lt;=1200000),(V963-400000)*25%+1500+2250+26000+45000
+IFERROR(LOOKUP(V963,{600001;700001;800001;900001},{4000;6750;10250;15250}),0),IF(V963&gt;1200000,((V963-1200000)*27.5%)+300000,0)
)))))))</f>
        <v>0</v>
      </c>
      <c r="X963" s="12">
        <f t="shared" si="232"/>
        <v>0</v>
      </c>
      <c r="Y963" s="12">
        <f t="shared" si="233"/>
        <v>0</v>
      </c>
      <c r="Z963" s="11"/>
      <c r="AA963" s="13">
        <f t="shared" si="234"/>
        <v>0</v>
      </c>
      <c r="AB963" s="12">
        <f t="shared" si="235"/>
        <v>0</v>
      </c>
      <c r="AC963" s="14">
        <f t="shared" si="223"/>
        <v>0</v>
      </c>
      <c r="AE963" s="19">
        <f t="shared" si="236"/>
        <v>0</v>
      </c>
      <c r="AF963" s="19"/>
      <c r="AG963" s="17"/>
      <c r="AK963" s="7"/>
      <c r="AL963" s="108">
        <f t="shared" si="224"/>
        <v>0</v>
      </c>
      <c r="AM963" s="108">
        <f t="shared" si="225"/>
        <v>0</v>
      </c>
      <c r="AN963" s="113"/>
    </row>
    <row r="964" spans="2:40" x14ac:dyDescent="0.2">
      <c r="B964" s="7"/>
      <c r="C964" s="8"/>
      <c r="D964" s="8"/>
      <c r="E964" s="9"/>
      <c r="F964" s="6"/>
      <c r="G964" s="8"/>
      <c r="H964" s="32"/>
      <c r="I964" s="10" t="str">
        <f t="shared" si="222"/>
        <v>21</v>
      </c>
      <c r="J964" s="11">
        <v>1</v>
      </c>
      <c r="K964" s="11"/>
      <c r="L964" s="11"/>
      <c r="M964" s="11">
        <f t="shared" si="226"/>
        <v>0</v>
      </c>
      <c r="N964" s="11"/>
      <c r="O964" s="11">
        <f t="shared" si="227"/>
        <v>0</v>
      </c>
      <c r="P964" s="11"/>
      <c r="Q964" s="11"/>
      <c r="R964" s="11"/>
      <c r="S964" s="11">
        <f t="shared" si="228"/>
        <v>0</v>
      </c>
      <c r="T964" s="11">
        <f t="shared" si="229"/>
        <v>1666.6666666666667</v>
      </c>
      <c r="U964" s="11">
        <f t="shared" si="230"/>
        <v>0</v>
      </c>
      <c r="V964" s="24">
        <f t="shared" si="231"/>
        <v>0</v>
      </c>
      <c r="W964" s="11">
        <f>IF(V964&lt;=40000,0,
IF(V964&lt;=55000,(V964-40000)*10%,
IF(V964&lt;=70000,(V964-55000)*15%+1500,
IF(V964&lt;=200000,(V964-70000)*20%+1500+2250,
IF(V964&lt;=400000,(V964-200000)*22.5%+1500+2250+26000,
IF(V964&lt;=600000,(V964-400000)*25%+1500+2250+26000+45000,
IF(AND(V964&gt;600000,V964&lt;=1200000),(V964-400000)*25%+1500+2250+26000+45000
+IFERROR(LOOKUP(V964,{600001;700001;800001;900001},{4000;6750;10250;15250}),0),IF(V964&gt;1200000,((V964-1200000)*27.5%)+300000,0)
)))))))</f>
        <v>0</v>
      </c>
      <c r="X964" s="12">
        <f t="shared" si="232"/>
        <v>0</v>
      </c>
      <c r="Y964" s="12">
        <f t="shared" si="233"/>
        <v>0</v>
      </c>
      <c r="Z964" s="11"/>
      <c r="AA964" s="13">
        <f t="shared" si="234"/>
        <v>0</v>
      </c>
      <c r="AB964" s="12">
        <f t="shared" si="235"/>
        <v>0</v>
      </c>
      <c r="AC964" s="14">
        <f t="shared" si="223"/>
        <v>0</v>
      </c>
      <c r="AE964" s="19">
        <f t="shared" si="236"/>
        <v>0</v>
      </c>
      <c r="AF964" s="19"/>
      <c r="AG964" s="17"/>
      <c r="AK964" s="7"/>
      <c r="AL964" s="108">
        <f t="shared" si="224"/>
        <v>0</v>
      </c>
      <c r="AM964" s="108">
        <f t="shared" si="225"/>
        <v>0</v>
      </c>
      <c r="AN964" s="113"/>
    </row>
    <row r="965" spans="2:40" x14ac:dyDescent="0.2">
      <c r="B965" s="7"/>
      <c r="C965" s="8"/>
      <c r="D965" s="8"/>
      <c r="E965" s="9"/>
      <c r="F965" s="6"/>
      <c r="G965" s="8"/>
      <c r="H965" s="32"/>
      <c r="I965" s="10" t="str">
        <f t="shared" ref="I965:I1028" si="237">IF(G965&gt;0,"1","21")</f>
        <v>21</v>
      </c>
      <c r="J965" s="11">
        <v>1</v>
      </c>
      <c r="K965" s="11"/>
      <c r="L965" s="11"/>
      <c r="M965" s="11">
        <f t="shared" si="226"/>
        <v>0</v>
      </c>
      <c r="N965" s="11"/>
      <c r="O965" s="11">
        <f t="shared" si="227"/>
        <v>0</v>
      </c>
      <c r="P965" s="11"/>
      <c r="Q965" s="11"/>
      <c r="R965" s="11"/>
      <c r="S965" s="11">
        <f t="shared" si="228"/>
        <v>0</v>
      </c>
      <c r="T965" s="11">
        <f t="shared" si="229"/>
        <v>1666.6666666666667</v>
      </c>
      <c r="U965" s="11">
        <f t="shared" si="230"/>
        <v>0</v>
      </c>
      <c r="V965" s="24">
        <f t="shared" si="231"/>
        <v>0</v>
      </c>
      <c r="W965" s="11">
        <f>IF(V965&lt;=40000,0,
IF(V965&lt;=55000,(V965-40000)*10%,
IF(V965&lt;=70000,(V965-55000)*15%+1500,
IF(V965&lt;=200000,(V965-70000)*20%+1500+2250,
IF(V965&lt;=400000,(V965-200000)*22.5%+1500+2250+26000,
IF(V965&lt;=600000,(V965-400000)*25%+1500+2250+26000+45000,
IF(AND(V965&gt;600000,V965&lt;=1200000),(V965-400000)*25%+1500+2250+26000+45000
+IFERROR(LOOKUP(V965,{600001;700001;800001;900001},{4000;6750;10250;15250}),0),IF(V965&gt;1200000,((V965-1200000)*27.5%)+300000,0)
)))))))</f>
        <v>0</v>
      </c>
      <c r="X965" s="12">
        <f t="shared" si="232"/>
        <v>0</v>
      </c>
      <c r="Y965" s="12">
        <f t="shared" si="233"/>
        <v>0</v>
      </c>
      <c r="Z965" s="11"/>
      <c r="AA965" s="13">
        <f t="shared" si="234"/>
        <v>0</v>
      </c>
      <c r="AB965" s="12">
        <f t="shared" si="235"/>
        <v>0</v>
      </c>
      <c r="AC965" s="14">
        <f t="shared" ref="AC965:AC1028" si="238">+M965-P965-Y965</f>
        <v>0</v>
      </c>
      <c r="AE965" s="19">
        <f t="shared" si="236"/>
        <v>0</v>
      </c>
      <c r="AF965" s="19"/>
      <c r="AG965" s="17"/>
      <c r="AK965" s="7"/>
      <c r="AL965" s="108">
        <f t="shared" ref="AL965:AL1028" si="239">+AK965+AD965</f>
        <v>0</v>
      </c>
      <c r="AM965" s="108">
        <f t="shared" ref="AM965:AM1028" si="240">+AL965-AC965</f>
        <v>0</v>
      </c>
      <c r="AN965" s="113"/>
    </row>
    <row r="966" spans="2:40" x14ac:dyDescent="0.2">
      <c r="B966" s="7"/>
      <c r="C966" s="8"/>
      <c r="D966" s="8"/>
      <c r="E966" s="9"/>
      <c r="F966" s="6"/>
      <c r="G966" s="8"/>
      <c r="H966" s="32"/>
      <c r="I966" s="10" t="str">
        <f t="shared" si="237"/>
        <v>21</v>
      </c>
      <c r="J966" s="11">
        <v>1</v>
      </c>
      <c r="K966" s="11"/>
      <c r="L966" s="11"/>
      <c r="M966" s="11">
        <f t="shared" si="226"/>
        <v>0</v>
      </c>
      <c r="N966" s="11"/>
      <c r="O966" s="11">
        <f t="shared" si="227"/>
        <v>0</v>
      </c>
      <c r="P966" s="11"/>
      <c r="Q966" s="11"/>
      <c r="R966" s="11"/>
      <c r="S966" s="11">
        <f t="shared" si="228"/>
        <v>0</v>
      </c>
      <c r="T966" s="11">
        <f t="shared" si="229"/>
        <v>1666.6666666666667</v>
      </c>
      <c r="U966" s="11">
        <f t="shared" si="230"/>
        <v>0</v>
      </c>
      <c r="V966" s="24">
        <f t="shared" si="231"/>
        <v>0</v>
      </c>
      <c r="W966" s="11">
        <f>IF(V966&lt;=40000,0,
IF(V966&lt;=55000,(V966-40000)*10%,
IF(V966&lt;=70000,(V966-55000)*15%+1500,
IF(V966&lt;=200000,(V966-70000)*20%+1500+2250,
IF(V966&lt;=400000,(V966-200000)*22.5%+1500+2250+26000,
IF(V966&lt;=600000,(V966-400000)*25%+1500+2250+26000+45000,
IF(AND(V966&gt;600000,V966&lt;=1200000),(V966-400000)*25%+1500+2250+26000+45000
+IFERROR(LOOKUP(V966,{600001;700001;800001;900001},{4000;6750;10250;15250}),0),IF(V966&gt;1200000,((V966-1200000)*27.5%)+300000,0)
)))))))</f>
        <v>0</v>
      </c>
      <c r="X966" s="12">
        <f t="shared" si="232"/>
        <v>0</v>
      </c>
      <c r="Y966" s="12">
        <f t="shared" si="233"/>
        <v>0</v>
      </c>
      <c r="Z966" s="11"/>
      <c r="AA966" s="13">
        <f t="shared" si="234"/>
        <v>0</v>
      </c>
      <c r="AB966" s="12">
        <f t="shared" si="235"/>
        <v>0</v>
      </c>
      <c r="AC966" s="14">
        <f t="shared" si="238"/>
        <v>0</v>
      </c>
      <c r="AE966" s="19">
        <f t="shared" si="236"/>
        <v>0</v>
      </c>
      <c r="AF966" s="19"/>
      <c r="AG966" s="17"/>
      <c r="AK966" s="7"/>
      <c r="AL966" s="108">
        <f t="shared" si="239"/>
        <v>0</v>
      </c>
      <c r="AM966" s="108">
        <f t="shared" si="240"/>
        <v>0</v>
      </c>
      <c r="AN966" s="113"/>
    </row>
    <row r="967" spans="2:40" x14ac:dyDescent="0.2">
      <c r="B967" s="7"/>
      <c r="C967" s="8"/>
      <c r="D967" s="8"/>
      <c r="E967" s="9"/>
      <c r="F967" s="6"/>
      <c r="G967" s="8"/>
      <c r="H967" s="32"/>
      <c r="I967" s="10" t="str">
        <f t="shared" si="237"/>
        <v>21</v>
      </c>
      <c r="J967" s="11">
        <v>1</v>
      </c>
      <c r="K967" s="11"/>
      <c r="L967" s="11"/>
      <c r="M967" s="11">
        <f t="shared" si="226"/>
        <v>0</v>
      </c>
      <c r="N967" s="11"/>
      <c r="O967" s="11">
        <f t="shared" si="227"/>
        <v>0</v>
      </c>
      <c r="P967" s="11"/>
      <c r="Q967" s="11"/>
      <c r="R967" s="11"/>
      <c r="S967" s="11">
        <f t="shared" si="228"/>
        <v>0</v>
      </c>
      <c r="T967" s="11">
        <f t="shared" si="229"/>
        <v>1666.6666666666667</v>
      </c>
      <c r="U967" s="11">
        <f t="shared" si="230"/>
        <v>0</v>
      </c>
      <c r="V967" s="24">
        <f t="shared" si="231"/>
        <v>0</v>
      </c>
      <c r="W967" s="11">
        <f>IF(V967&lt;=40000,0,
IF(V967&lt;=55000,(V967-40000)*10%,
IF(V967&lt;=70000,(V967-55000)*15%+1500,
IF(V967&lt;=200000,(V967-70000)*20%+1500+2250,
IF(V967&lt;=400000,(V967-200000)*22.5%+1500+2250+26000,
IF(V967&lt;=600000,(V967-400000)*25%+1500+2250+26000+45000,
IF(AND(V967&gt;600000,V967&lt;=1200000),(V967-400000)*25%+1500+2250+26000+45000
+IFERROR(LOOKUP(V967,{600001;700001;800001;900001},{4000;6750;10250;15250}),0),IF(V967&gt;1200000,((V967-1200000)*27.5%)+300000,0)
)))))))</f>
        <v>0</v>
      </c>
      <c r="X967" s="12">
        <f t="shared" si="232"/>
        <v>0</v>
      </c>
      <c r="Y967" s="12">
        <f t="shared" si="233"/>
        <v>0</v>
      </c>
      <c r="Z967" s="11"/>
      <c r="AA967" s="13">
        <f t="shared" si="234"/>
        <v>0</v>
      </c>
      <c r="AB967" s="12">
        <f t="shared" si="235"/>
        <v>0</v>
      </c>
      <c r="AC967" s="14">
        <f t="shared" si="238"/>
        <v>0</v>
      </c>
      <c r="AE967" s="19">
        <f t="shared" si="236"/>
        <v>0</v>
      </c>
      <c r="AF967" s="19"/>
      <c r="AG967" s="17"/>
      <c r="AK967" s="7"/>
      <c r="AL967" s="108">
        <f t="shared" si="239"/>
        <v>0</v>
      </c>
      <c r="AM967" s="108">
        <f t="shared" si="240"/>
        <v>0</v>
      </c>
      <c r="AN967" s="113"/>
    </row>
    <row r="968" spans="2:40" x14ac:dyDescent="0.2">
      <c r="B968" s="7"/>
      <c r="C968" s="8"/>
      <c r="D968" s="8"/>
      <c r="E968" s="9"/>
      <c r="F968" s="6"/>
      <c r="G968" s="8"/>
      <c r="H968" s="32"/>
      <c r="I968" s="10" t="str">
        <f t="shared" si="237"/>
        <v>21</v>
      </c>
      <c r="J968" s="11">
        <v>1</v>
      </c>
      <c r="K968" s="11"/>
      <c r="L968" s="11"/>
      <c r="M968" s="11">
        <f t="shared" si="226"/>
        <v>0</v>
      </c>
      <c r="N968" s="11"/>
      <c r="O968" s="11">
        <f t="shared" si="227"/>
        <v>0</v>
      </c>
      <c r="P968" s="11"/>
      <c r="Q968" s="11"/>
      <c r="R968" s="11"/>
      <c r="S968" s="11">
        <f t="shared" si="228"/>
        <v>0</v>
      </c>
      <c r="T968" s="11">
        <f t="shared" si="229"/>
        <v>1666.6666666666667</v>
      </c>
      <c r="U968" s="11">
        <f t="shared" si="230"/>
        <v>0</v>
      </c>
      <c r="V968" s="24">
        <f t="shared" si="231"/>
        <v>0</v>
      </c>
      <c r="W968" s="11">
        <f>IF(V968&lt;=40000,0,
IF(V968&lt;=55000,(V968-40000)*10%,
IF(V968&lt;=70000,(V968-55000)*15%+1500,
IF(V968&lt;=200000,(V968-70000)*20%+1500+2250,
IF(V968&lt;=400000,(V968-200000)*22.5%+1500+2250+26000,
IF(V968&lt;=600000,(V968-400000)*25%+1500+2250+26000+45000,
IF(AND(V968&gt;600000,V968&lt;=1200000),(V968-400000)*25%+1500+2250+26000+45000
+IFERROR(LOOKUP(V968,{600001;700001;800001;900001},{4000;6750;10250;15250}),0),IF(V968&gt;1200000,((V968-1200000)*27.5%)+300000,0)
)))))))</f>
        <v>0</v>
      </c>
      <c r="X968" s="12">
        <f t="shared" si="232"/>
        <v>0</v>
      </c>
      <c r="Y968" s="12">
        <f t="shared" si="233"/>
        <v>0</v>
      </c>
      <c r="Z968" s="11"/>
      <c r="AA968" s="13">
        <f t="shared" si="234"/>
        <v>0</v>
      </c>
      <c r="AB968" s="12">
        <f t="shared" si="235"/>
        <v>0</v>
      </c>
      <c r="AC968" s="14">
        <f t="shared" si="238"/>
        <v>0</v>
      </c>
      <c r="AE968" s="19">
        <f t="shared" si="236"/>
        <v>0</v>
      </c>
      <c r="AF968" s="19"/>
      <c r="AG968" s="17"/>
      <c r="AK968" s="7"/>
      <c r="AL968" s="108">
        <f t="shared" si="239"/>
        <v>0</v>
      </c>
      <c r="AM968" s="108">
        <f t="shared" si="240"/>
        <v>0</v>
      </c>
      <c r="AN968" s="113"/>
    </row>
    <row r="969" spans="2:40" x14ac:dyDescent="0.2">
      <c r="B969" s="7"/>
      <c r="C969" s="8"/>
      <c r="D969" s="8"/>
      <c r="E969" s="9"/>
      <c r="F969" s="6"/>
      <c r="G969" s="8"/>
      <c r="H969" s="32"/>
      <c r="I969" s="10" t="str">
        <f t="shared" si="237"/>
        <v>21</v>
      </c>
      <c r="J969" s="11">
        <v>1</v>
      </c>
      <c r="K969" s="11"/>
      <c r="L969" s="11"/>
      <c r="M969" s="11">
        <f t="shared" si="226"/>
        <v>0</v>
      </c>
      <c r="N969" s="11"/>
      <c r="O969" s="11">
        <f t="shared" si="227"/>
        <v>0</v>
      </c>
      <c r="P969" s="11"/>
      <c r="Q969" s="11"/>
      <c r="R969" s="11"/>
      <c r="S969" s="11">
        <f t="shared" si="228"/>
        <v>0</v>
      </c>
      <c r="T969" s="11">
        <f t="shared" si="229"/>
        <v>1666.6666666666667</v>
      </c>
      <c r="U969" s="11">
        <f t="shared" si="230"/>
        <v>0</v>
      </c>
      <c r="V969" s="24">
        <f t="shared" si="231"/>
        <v>0</v>
      </c>
      <c r="W969" s="11">
        <f>IF(V969&lt;=40000,0,
IF(V969&lt;=55000,(V969-40000)*10%,
IF(V969&lt;=70000,(V969-55000)*15%+1500,
IF(V969&lt;=200000,(V969-70000)*20%+1500+2250,
IF(V969&lt;=400000,(V969-200000)*22.5%+1500+2250+26000,
IF(V969&lt;=600000,(V969-400000)*25%+1500+2250+26000+45000,
IF(AND(V969&gt;600000,V969&lt;=1200000),(V969-400000)*25%+1500+2250+26000+45000
+IFERROR(LOOKUP(V969,{600001;700001;800001;900001},{4000;6750;10250;15250}),0),IF(V969&gt;1200000,((V969-1200000)*27.5%)+300000,0)
)))))))</f>
        <v>0</v>
      </c>
      <c r="X969" s="12">
        <f t="shared" si="232"/>
        <v>0</v>
      </c>
      <c r="Y969" s="12">
        <f t="shared" si="233"/>
        <v>0</v>
      </c>
      <c r="Z969" s="11"/>
      <c r="AA969" s="13">
        <f t="shared" si="234"/>
        <v>0</v>
      </c>
      <c r="AB969" s="12">
        <f t="shared" si="235"/>
        <v>0</v>
      </c>
      <c r="AC969" s="14">
        <f t="shared" si="238"/>
        <v>0</v>
      </c>
      <c r="AE969" s="19">
        <f t="shared" si="236"/>
        <v>0</v>
      </c>
      <c r="AF969" s="19"/>
      <c r="AG969" s="17"/>
      <c r="AK969" s="7"/>
      <c r="AL969" s="108">
        <f t="shared" si="239"/>
        <v>0</v>
      </c>
      <c r="AM969" s="108">
        <f t="shared" si="240"/>
        <v>0</v>
      </c>
      <c r="AN969" s="113"/>
    </row>
    <row r="970" spans="2:40" x14ac:dyDescent="0.2">
      <c r="B970" s="7"/>
      <c r="C970" s="8"/>
      <c r="D970" s="8"/>
      <c r="E970" s="9"/>
      <c r="F970" s="6"/>
      <c r="G970" s="8"/>
      <c r="H970" s="32"/>
      <c r="I970" s="10" t="str">
        <f t="shared" si="237"/>
        <v>21</v>
      </c>
      <c r="J970" s="11">
        <v>1</v>
      </c>
      <c r="K970" s="11"/>
      <c r="L970" s="11"/>
      <c r="M970" s="11">
        <f t="shared" si="226"/>
        <v>0</v>
      </c>
      <c r="N970" s="11"/>
      <c r="O970" s="11">
        <f t="shared" si="227"/>
        <v>0</v>
      </c>
      <c r="P970" s="11"/>
      <c r="Q970" s="11"/>
      <c r="R970" s="11"/>
      <c r="S970" s="11">
        <f t="shared" si="228"/>
        <v>0</v>
      </c>
      <c r="T970" s="11">
        <f t="shared" si="229"/>
        <v>1666.6666666666667</v>
      </c>
      <c r="U970" s="11">
        <f t="shared" si="230"/>
        <v>0</v>
      </c>
      <c r="V970" s="24">
        <f t="shared" si="231"/>
        <v>0</v>
      </c>
      <c r="W970" s="11">
        <f>IF(V970&lt;=40000,0,
IF(V970&lt;=55000,(V970-40000)*10%,
IF(V970&lt;=70000,(V970-55000)*15%+1500,
IF(V970&lt;=200000,(V970-70000)*20%+1500+2250,
IF(V970&lt;=400000,(V970-200000)*22.5%+1500+2250+26000,
IF(V970&lt;=600000,(V970-400000)*25%+1500+2250+26000+45000,
IF(AND(V970&gt;600000,V970&lt;=1200000),(V970-400000)*25%+1500+2250+26000+45000
+IFERROR(LOOKUP(V970,{600001;700001;800001;900001},{4000;6750;10250;15250}),0),IF(V970&gt;1200000,((V970-1200000)*27.5%)+300000,0)
)))))))</f>
        <v>0</v>
      </c>
      <c r="X970" s="12">
        <f t="shared" si="232"/>
        <v>0</v>
      </c>
      <c r="Y970" s="12">
        <f t="shared" si="233"/>
        <v>0</v>
      </c>
      <c r="Z970" s="11"/>
      <c r="AA970" s="13">
        <f t="shared" si="234"/>
        <v>0</v>
      </c>
      <c r="AB970" s="12">
        <f t="shared" si="235"/>
        <v>0</v>
      </c>
      <c r="AC970" s="14">
        <f t="shared" si="238"/>
        <v>0</v>
      </c>
      <c r="AE970" s="19">
        <f t="shared" si="236"/>
        <v>0</v>
      </c>
      <c r="AF970" s="19"/>
      <c r="AG970" s="17"/>
      <c r="AK970" s="7"/>
      <c r="AL970" s="108">
        <f t="shared" si="239"/>
        <v>0</v>
      </c>
      <c r="AM970" s="108">
        <f t="shared" si="240"/>
        <v>0</v>
      </c>
      <c r="AN970" s="113"/>
    </row>
    <row r="971" spans="2:40" x14ac:dyDescent="0.2">
      <c r="B971" s="7"/>
      <c r="C971" s="8"/>
      <c r="D971" s="8"/>
      <c r="E971" s="9"/>
      <c r="F971" s="6"/>
      <c r="G971" s="8"/>
      <c r="H971" s="32"/>
      <c r="I971" s="10" t="str">
        <f t="shared" si="237"/>
        <v>21</v>
      </c>
      <c r="J971" s="11">
        <v>1</v>
      </c>
      <c r="K971" s="11"/>
      <c r="L971" s="11"/>
      <c r="M971" s="11">
        <f t="shared" si="226"/>
        <v>0</v>
      </c>
      <c r="N971" s="11"/>
      <c r="O971" s="11">
        <f t="shared" si="227"/>
        <v>0</v>
      </c>
      <c r="P971" s="11"/>
      <c r="Q971" s="11"/>
      <c r="R971" s="11"/>
      <c r="S971" s="11">
        <f t="shared" si="228"/>
        <v>0</v>
      </c>
      <c r="T971" s="11">
        <f t="shared" si="229"/>
        <v>1666.6666666666667</v>
      </c>
      <c r="U971" s="11">
        <f t="shared" si="230"/>
        <v>0</v>
      </c>
      <c r="V971" s="24">
        <f t="shared" si="231"/>
        <v>0</v>
      </c>
      <c r="W971" s="11">
        <f>IF(V971&lt;=40000,0,
IF(V971&lt;=55000,(V971-40000)*10%,
IF(V971&lt;=70000,(V971-55000)*15%+1500,
IF(V971&lt;=200000,(V971-70000)*20%+1500+2250,
IF(V971&lt;=400000,(V971-200000)*22.5%+1500+2250+26000,
IF(V971&lt;=600000,(V971-400000)*25%+1500+2250+26000+45000,
IF(AND(V971&gt;600000,V971&lt;=1200000),(V971-400000)*25%+1500+2250+26000+45000
+IFERROR(LOOKUP(V971,{600001;700001;800001;900001},{4000;6750;10250;15250}),0),IF(V971&gt;1200000,((V971-1200000)*27.5%)+300000,0)
)))))))</f>
        <v>0</v>
      </c>
      <c r="X971" s="12">
        <f t="shared" si="232"/>
        <v>0</v>
      </c>
      <c r="Y971" s="12">
        <f t="shared" si="233"/>
        <v>0</v>
      </c>
      <c r="Z971" s="11"/>
      <c r="AA971" s="13">
        <f t="shared" si="234"/>
        <v>0</v>
      </c>
      <c r="AB971" s="12">
        <f t="shared" si="235"/>
        <v>0</v>
      </c>
      <c r="AC971" s="14">
        <f t="shared" si="238"/>
        <v>0</v>
      </c>
      <c r="AE971" s="19">
        <f t="shared" si="236"/>
        <v>0</v>
      </c>
      <c r="AF971" s="19"/>
      <c r="AG971" s="17"/>
      <c r="AK971" s="7"/>
      <c r="AL971" s="108">
        <f t="shared" si="239"/>
        <v>0</v>
      </c>
      <c r="AM971" s="108">
        <f t="shared" si="240"/>
        <v>0</v>
      </c>
      <c r="AN971" s="113"/>
    </row>
    <row r="972" spans="2:40" x14ac:dyDescent="0.2">
      <c r="B972" s="7"/>
      <c r="C972" s="8"/>
      <c r="D972" s="8"/>
      <c r="E972" s="9"/>
      <c r="F972" s="6"/>
      <c r="G972" s="8"/>
      <c r="H972" s="32"/>
      <c r="I972" s="10" t="str">
        <f t="shared" si="237"/>
        <v>21</v>
      </c>
      <c r="J972" s="11">
        <v>1</v>
      </c>
      <c r="K972" s="11"/>
      <c r="L972" s="11"/>
      <c r="M972" s="11">
        <f t="shared" si="226"/>
        <v>0</v>
      </c>
      <c r="N972" s="11"/>
      <c r="O972" s="11">
        <f t="shared" si="227"/>
        <v>0</v>
      </c>
      <c r="P972" s="11"/>
      <c r="Q972" s="11"/>
      <c r="R972" s="11"/>
      <c r="S972" s="11">
        <f t="shared" si="228"/>
        <v>0</v>
      </c>
      <c r="T972" s="11">
        <f t="shared" si="229"/>
        <v>1666.6666666666667</v>
      </c>
      <c r="U972" s="11">
        <f t="shared" si="230"/>
        <v>0</v>
      </c>
      <c r="V972" s="24">
        <f t="shared" si="231"/>
        <v>0</v>
      </c>
      <c r="W972" s="11">
        <f>IF(V972&lt;=40000,0,
IF(V972&lt;=55000,(V972-40000)*10%,
IF(V972&lt;=70000,(V972-55000)*15%+1500,
IF(V972&lt;=200000,(V972-70000)*20%+1500+2250,
IF(V972&lt;=400000,(V972-200000)*22.5%+1500+2250+26000,
IF(V972&lt;=600000,(V972-400000)*25%+1500+2250+26000+45000,
IF(AND(V972&gt;600000,V972&lt;=1200000),(V972-400000)*25%+1500+2250+26000+45000
+IFERROR(LOOKUP(V972,{600001;700001;800001;900001},{4000;6750;10250;15250}),0),IF(V972&gt;1200000,((V972-1200000)*27.5%)+300000,0)
)))))))</f>
        <v>0</v>
      </c>
      <c r="X972" s="12">
        <f t="shared" si="232"/>
        <v>0</v>
      </c>
      <c r="Y972" s="12">
        <f t="shared" si="233"/>
        <v>0</v>
      </c>
      <c r="Z972" s="11"/>
      <c r="AA972" s="13">
        <f t="shared" si="234"/>
        <v>0</v>
      </c>
      <c r="AB972" s="12">
        <f t="shared" si="235"/>
        <v>0</v>
      </c>
      <c r="AC972" s="14">
        <f t="shared" si="238"/>
        <v>0</v>
      </c>
      <c r="AE972" s="19">
        <f t="shared" si="236"/>
        <v>0</v>
      </c>
      <c r="AF972" s="19"/>
      <c r="AG972" s="17"/>
      <c r="AK972" s="7"/>
      <c r="AL972" s="108">
        <f t="shared" si="239"/>
        <v>0</v>
      </c>
      <c r="AM972" s="108">
        <f t="shared" si="240"/>
        <v>0</v>
      </c>
      <c r="AN972" s="113"/>
    </row>
    <row r="973" spans="2:40" x14ac:dyDescent="0.2">
      <c r="B973" s="7"/>
      <c r="C973" s="8"/>
      <c r="D973" s="8"/>
      <c r="E973" s="9"/>
      <c r="F973" s="6"/>
      <c r="G973" s="8"/>
      <c r="H973" s="32"/>
      <c r="I973" s="10" t="str">
        <f t="shared" si="237"/>
        <v>21</v>
      </c>
      <c r="J973" s="11">
        <v>1</v>
      </c>
      <c r="K973" s="11"/>
      <c r="L973" s="11"/>
      <c r="M973" s="11">
        <f t="shared" si="226"/>
        <v>0</v>
      </c>
      <c r="N973" s="11"/>
      <c r="O973" s="11">
        <f t="shared" si="227"/>
        <v>0</v>
      </c>
      <c r="P973" s="11"/>
      <c r="Q973" s="11"/>
      <c r="R973" s="11"/>
      <c r="S973" s="11">
        <f t="shared" si="228"/>
        <v>0</v>
      </c>
      <c r="T973" s="11">
        <f t="shared" si="229"/>
        <v>1666.6666666666667</v>
      </c>
      <c r="U973" s="11">
        <f t="shared" si="230"/>
        <v>0</v>
      </c>
      <c r="V973" s="24">
        <f t="shared" si="231"/>
        <v>0</v>
      </c>
      <c r="W973" s="11">
        <f>IF(V973&lt;=40000,0,
IF(V973&lt;=55000,(V973-40000)*10%,
IF(V973&lt;=70000,(V973-55000)*15%+1500,
IF(V973&lt;=200000,(V973-70000)*20%+1500+2250,
IF(V973&lt;=400000,(V973-200000)*22.5%+1500+2250+26000,
IF(V973&lt;=600000,(V973-400000)*25%+1500+2250+26000+45000,
IF(AND(V973&gt;600000,V973&lt;=1200000),(V973-400000)*25%+1500+2250+26000+45000
+IFERROR(LOOKUP(V973,{600001;700001;800001;900001},{4000;6750;10250;15250}),0),IF(V973&gt;1200000,((V973-1200000)*27.5%)+300000,0)
)))))))</f>
        <v>0</v>
      </c>
      <c r="X973" s="12">
        <f t="shared" si="232"/>
        <v>0</v>
      </c>
      <c r="Y973" s="12">
        <f t="shared" si="233"/>
        <v>0</v>
      </c>
      <c r="Z973" s="11"/>
      <c r="AA973" s="13">
        <f t="shared" si="234"/>
        <v>0</v>
      </c>
      <c r="AB973" s="12">
        <f t="shared" si="235"/>
        <v>0</v>
      </c>
      <c r="AC973" s="14">
        <f t="shared" si="238"/>
        <v>0</v>
      </c>
      <c r="AE973" s="19">
        <f t="shared" si="236"/>
        <v>0</v>
      </c>
      <c r="AF973" s="19"/>
      <c r="AG973" s="17"/>
      <c r="AK973" s="7"/>
      <c r="AL973" s="108">
        <f t="shared" si="239"/>
        <v>0</v>
      </c>
      <c r="AM973" s="108">
        <f t="shared" si="240"/>
        <v>0</v>
      </c>
      <c r="AN973" s="113"/>
    </row>
    <row r="974" spans="2:40" x14ac:dyDescent="0.2">
      <c r="B974" s="7"/>
      <c r="C974" s="8"/>
      <c r="D974" s="8"/>
      <c r="E974" s="9"/>
      <c r="F974" s="6"/>
      <c r="G974" s="8"/>
      <c r="H974" s="32"/>
      <c r="I974" s="10" t="str">
        <f t="shared" si="237"/>
        <v>21</v>
      </c>
      <c r="J974" s="11">
        <v>1</v>
      </c>
      <c r="K974" s="11"/>
      <c r="L974" s="11"/>
      <c r="M974" s="11">
        <f t="shared" si="226"/>
        <v>0</v>
      </c>
      <c r="N974" s="11"/>
      <c r="O974" s="11">
        <f t="shared" si="227"/>
        <v>0</v>
      </c>
      <c r="P974" s="11"/>
      <c r="Q974" s="11"/>
      <c r="R974" s="11"/>
      <c r="S974" s="11">
        <f t="shared" si="228"/>
        <v>0</v>
      </c>
      <c r="T974" s="11">
        <f t="shared" si="229"/>
        <v>1666.6666666666667</v>
      </c>
      <c r="U974" s="11">
        <f t="shared" si="230"/>
        <v>0</v>
      </c>
      <c r="V974" s="24">
        <f t="shared" si="231"/>
        <v>0</v>
      </c>
      <c r="W974" s="11">
        <f>IF(V974&lt;=40000,0,
IF(V974&lt;=55000,(V974-40000)*10%,
IF(V974&lt;=70000,(V974-55000)*15%+1500,
IF(V974&lt;=200000,(V974-70000)*20%+1500+2250,
IF(V974&lt;=400000,(V974-200000)*22.5%+1500+2250+26000,
IF(V974&lt;=600000,(V974-400000)*25%+1500+2250+26000+45000,
IF(AND(V974&gt;600000,V974&lt;=1200000),(V974-400000)*25%+1500+2250+26000+45000
+IFERROR(LOOKUP(V974,{600001;700001;800001;900001},{4000;6750;10250;15250}),0),IF(V974&gt;1200000,((V974-1200000)*27.5%)+300000,0)
)))))))</f>
        <v>0</v>
      </c>
      <c r="X974" s="12">
        <f t="shared" si="232"/>
        <v>0</v>
      </c>
      <c r="Y974" s="12">
        <f t="shared" si="233"/>
        <v>0</v>
      </c>
      <c r="Z974" s="11"/>
      <c r="AA974" s="13">
        <f t="shared" si="234"/>
        <v>0</v>
      </c>
      <c r="AB974" s="12">
        <f t="shared" si="235"/>
        <v>0</v>
      </c>
      <c r="AC974" s="14">
        <f t="shared" si="238"/>
        <v>0</v>
      </c>
      <c r="AE974" s="19">
        <f t="shared" si="236"/>
        <v>0</v>
      </c>
      <c r="AF974" s="19"/>
      <c r="AG974" s="17"/>
      <c r="AK974" s="7"/>
      <c r="AL974" s="108">
        <f t="shared" si="239"/>
        <v>0</v>
      </c>
      <c r="AM974" s="108">
        <f t="shared" si="240"/>
        <v>0</v>
      </c>
      <c r="AN974" s="113"/>
    </row>
    <row r="975" spans="2:40" x14ac:dyDescent="0.2">
      <c r="B975" s="7"/>
      <c r="C975" s="8"/>
      <c r="D975" s="8"/>
      <c r="E975" s="9"/>
      <c r="F975" s="6"/>
      <c r="G975" s="8"/>
      <c r="H975" s="32"/>
      <c r="I975" s="10" t="str">
        <f t="shared" si="237"/>
        <v>21</v>
      </c>
      <c r="J975" s="11">
        <v>1</v>
      </c>
      <c r="K975" s="11"/>
      <c r="L975" s="11"/>
      <c r="M975" s="11">
        <f t="shared" si="226"/>
        <v>0</v>
      </c>
      <c r="N975" s="11"/>
      <c r="O975" s="11">
        <f t="shared" si="227"/>
        <v>0</v>
      </c>
      <c r="P975" s="11"/>
      <c r="Q975" s="11"/>
      <c r="R975" s="11"/>
      <c r="S975" s="11">
        <f t="shared" si="228"/>
        <v>0</v>
      </c>
      <c r="T975" s="11">
        <f t="shared" si="229"/>
        <v>1666.6666666666667</v>
      </c>
      <c r="U975" s="11">
        <f t="shared" si="230"/>
        <v>0</v>
      </c>
      <c r="V975" s="24">
        <f t="shared" si="231"/>
        <v>0</v>
      </c>
      <c r="W975" s="11">
        <f>IF(V975&lt;=40000,0,
IF(V975&lt;=55000,(V975-40000)*10%,
IF(V975&lt;=70000,(V975-55000)*15%+1500,
IF(V975&lt;=200000,(V975-70000)*20%+1500+2250,
IF(V975&lt;=400000,(V975-200000)*22.5%+1500+2250+26000,
IF(V975&lt;=600000,(V975-400000)*25%+1500+2250+26000+45000,
IF(AND(V975&gt;600000,V975&lt;=1200000),(V975-400000)*25%+1500+2250+26000+45000
+IFERROR(LOOKUP(V975,{600001;700001;800001;900001},{4000;6750;10250;15250}),0),IF(V975&gt;1200000,((V975-1200000)*27.5%)+300000,0)
)))))))</f>
        <v>0</v>
      </c>
      <c r="X975" s="12">
        <f t="shared" si="232"/>
        <v>0</v>
      </c>
      <c r="Y975" s="12">
        <f t="shared" si="233"/>
        <v>0</v>
      </c>
      <c r="Z975" s="11"/>
      <c r="AA975" s="13">
        <f t="shared" si="234"/>
        <v>0</v>
      </c>
      <c r="AB975" s="12">
        <f t="shared" si="235"/>
        <v>0</v>
      </c>
      <c r="AC975" s="14">
        <f t="shared" si="238"/>
        <v>0</v>
      </c>
      <c r="AE975" s="19">
        <f t="shared" si="236"/>
        <v>0</v>
      </c>
      <c r="AF975" s="19"/>
      <c r="AG975" s="17"/>
      <c r="AK975" s="7"/>
      <c r="AL975" s="108">
        <f t="shared" si="239"/>
        <v>0</v>
      </c>
      <c r="AM975" s="108">
        <f t="shared" si="240"/>
        <v>0</v>
      </c>
      <c r="AN975" s="113"/>
    </row>
    <row r="976" spans="2:40" x14ac:dyDescent="0.2">
      <c r="B976" s="7"/>
      <c r="C976" s="8"/>
      <c r="D976" s="8"/>
      <c r="E976" s="9"/>
      <c r="F976" s="6"/>
      <c r="G976" s="8"/>
      <c r="H976" s="32"/>
      <c r="I976" s="10" t="str">
        <f t="shared" si="237"/>
        <v>21</v>
      </c>
      <c r="J976" s="11">
        <v>1</v>
      </c>
      <c r="K976" s="11"/>
      <c r="L976" s="11"/>
      <c r="M976" s="11">
        <f t="shared" si="226"/>
        <v>0</v>
      </c>
      <c r="N976" s="11"/>
      <c r="O976" s="11">
        <f t="shared" si="227"/>
        <v>0</v>
      </c>
      <c r="P976" s="11"/>
      <c r="Q976" s="11"/>
      <c r="R976" s="11"/>
      <c r="S976" s="11">
        <f t="shared" si="228"/>
        <v>0</v>
      </c>
      <c r="T976" s="11">
        <f t="shared" si="229"/>
        <v>1666.6666666666667</v>
      </c>
      <c r="U976" s="11">
        <f t="shared" si="230"/>
        <v>0</v>
      </c>
      <c r="V976" s="24">
        <f t="shared" si="231"/>
        <v>0</v>
      </c>
      <c r="W976" s="11">
        <f>IF(V976&lt;=40000,0,
IF(V976&lt;=55000,(V976-40000)*10%,
IF(V976&lt;=70000,(V976-55000)*15%+1500,
IF(V976&lt;=200000,(V976-70000)*20%+1500+2250,
IF(V976&lt;=400000,(V976-200000)*22.5%+1500+2250+26000,
IF(V976&lt;=600000,(V976-400000)*25%+1500+2250+26000+45000,
IF(AND(V976&gt;600000,V976&lt;=1200000),(V976-400000)*25%+1500+2250+26000+45000
+IFERROR(LOOKUP(V976,{600001;700001;800001;900001},{4000;6750;10250;15250}),0),IF(V976&gt;1200000,((V976-1200000)*27.5%)+300000,0)
)))))))</f>
        <v>0</v>
      </c>
      <c r="X976" s="12">
        <f t="shared" si="232"/>
        <v>0</v>
      </c>
      <c r="Y976" s="12">
        <f t="shared" si="233"/>
        <v>0</v>
      </c>
      <c r="Z976" s="11"/>
      <c r="AA976" s="13">
        <f t="shared" si="234"/>
        <v>0</v>
      </c>
      <c r="AB976" s="12">
        <f t="shared" si="235"/>
        <v>0</v>
      </c>
      <c r="AC976" s="14">
        <f t="shared" si="238"/>
        <v>0</v>
      </c>
      <c r="AE976" s="19">
        <f t="shared" si="236"/>
        <v>0</v>
      </c>
      <c r="AF976" s="19"/>
      <c r="AG976" s="17"/>
      <c r="AK976" s="7"/>
      <c r="AL976" s="108">
        <f t="shared" si="239"/>
        <v>0</v>
      </c>
      <c r="AM976" s="108">
        <f t="shared" si="240"/>
        <v>0</v>
      </c>
      <c r="AN976" s="113"/>
    </row>
    <row r="977" spans="2:40" x14ac:dyDescent="0.2">
      <c r="B977" s="7"/>
      <c r="C977" s="8"/>
      <c r="D977" s="8"/>
      <c r="E977" s="9"/>
      <c r="F977" s="6"/>
      <c r="G977" s="8"/>
      <c r="H977" s="32"/>
      <c r="I977" s="10" t="str">
        <f t="shared" si="237"/>
        <v>21</v>
      </c>
      <c r="J977" s="11">
        <v>1</v>
      </c>
      <c r="K977" s="11"/>
      <c r="L977" s="11"/>
      <c r="M977" s="11">
        <f t="shared" si="226"/>
        <v>0</v>
      </c>
      <c r="N977" s="11"/>
      <c r="O977" s="11">
        <f t="shared" si="227"/>
        <v>0</v>
      </c>
      <c r="P977" s="11"/>
      <c r="Q977" s="11"/>
      <c r="R977" s="11"/>
      <c r="S977" s="11">
        <f t="shared" si="228"/>
        <v>0</v>
      </c>
      <c r="T977" s="11">
        <f t="shared" si="229"/>
        <v>1666.6666666666667</v>
      </c>
      <c r="U977" s="11">
        <f t="shared" si="230"/>
        <v>0</v>
      </c>
      <c r="V977" s="24">
        <f t="shared" si="231"/>
        <v>0</v>
      </c>
      <c r="W977" s="11">
        <f>IF(V977&lt;=40000,0,
IF(V977&lt;=55000,(V977-40000)*10%,
IF(V977&lt;=70000,(V977-55000)*15%+1500,
IF(V977&lt;=200000,(V977-70000)*20%+1500+2250,
IF(V977&lt;=400000,(V977-200000)*22.5%+1500+2250+26000,
IF(V977&lt;=600000,(V977-400000)*25%+1500+2250+26000+45000,
IF(AND(V977&gt;600000,V977&lt;=1200000),(V977-400000)*25%+1500+2250+26000+45000
+IFERROR(LOOKUP(V977,{600001;700001;800001;900001},{4000;6750;10250;15250}),0),IF(V977&gt;1200000,((V977-1200000)*27.5%)+300000,0)
)))))))</f>
        <v>0</v>
      </c>
      <c r="X977" s="12">
        <f t="shared" si="232"/>
        <v>0</v>
      </c>
      <c r="Y977" s="12">
        <f t="shared" si="233"/>
        <v>0</v>
      </c>
      <c r="Z977" s="11"/>
      <c r="AA977" s="13">
        <f t="shared" si="234"/>
        <v>0</v>
      </c>
      <c r="AB977" s="12">
        <f t="shared" si="235"/>
        <v>0</v>
      </c>
      <c r="AC977" s="14">
        <f t="shared" si="238"/>
        <v>0</v>
      </c>
      <c r="AE977" s="19">
        <f t="shared" si="236"/>
        <v>0</v>
      </c>
      <c r="AF977" s="19"/>
      <c r="AG977" s="17"/>
      <c r="AK977" s="7"/>
      <c r="AL977" s="108">
        <f t="shared" si="239"/>
        <v>0</v>
      </c>
      <c r="AM977" s="108">
        <f t="shared" si="240"/>
        <v>0</v>
      </c>
      <c r="AN977" s="113"/>
    </row>
    <row r="978" spans="2:40" x14ac:dyDescent="0.2">
      <c r="B978" s="7"/>
      <c r="C978" s="8"/>
      <c r="D978" s="8"/>
      <c r="E978" s="9"/>
      <c r="F978" s="6"/>
      <c r="G978" s="8"/>
      <c r="H978" s="32"/>
      <c r="I978" s="10" t="str">
        <f t="shared" si="237"/>
        <v>21</v>
      </c>
      <c r="J978" s="11">
        <v>1</v>
      </c>
      <c r="K978" s="11"/>
      <c r="L978" s="11"/>
      <c r="M978" s="11">
        <f t="shared" si="226"/>
        <v>0</v>
      </c>
      <c r="N978" s="11"/>
      <c r="O978" s="11">
        <f t="shared" si="227"/>
        <v>0</v>
      </c>
      <c r="P978" s="11"/>
      <c r="Q978" s="11"/>
      <c r="R978" s="11"/>
      <c r="S978" s="11">
        <f t="shared" si="228"/>
        <v>0</v>
      </c>
      <c r="T978" s="11">
        <f t="shared" si="229"/>
        <v>1666.6666666666667</v>
      </c>
      <c r="U978" s="11">
        <f t="shared" si="230"/>
        <v>0</v>
      </c>
      <c r="V978" s="24">
        <f t="shared" si="231"/>
        <v>0</v>
      </c>
      <c r="W978" s="11">
        <f>IF(V978&lt;=40000,0,
IF(V978&lt;=55000,(V978-40000)*10%,
IF(V978&lt;=70000,(V978-55000)*15%+1500,
IF(V978&lt;=200000,(V978-70000)*20%+1500+2250,
IF(V978&lt;=400000,(V978-200000)*22.5%+1500+2250+26000,
IF(V978&lt;=600000,(V978-400000)*25%+1500+2250+26000+45000,
IF(AND(V978&gt;600000,V978&lt;=1200000),(V978-400000)*25%+1500+2250+26000+45000
+IFERROR(LOOKUP(V978,{600001;700001;800001;900001},{4000;6750;10250;15250}),0),IF(V978&gt;1200000,((V978-1200000)*27.5%)+300000,0)
)))))))</f>
        <v>0</v>
      </c>
      <c r="X978" s="12">
        <f t="shared" si="232"/>
        <v>0</v>
      </c>
      <c r="Y978" s="12">
        <f t="shared" si="233"/>
        <v>0</v>
      </c>
      <c r="Z978" s="11"/>
      <c r="AA978" s="13">
        <f t="shared" si="234"/>
        <v>0</v>
      </c>
      <c r="AB978" s="12">
        <f t="shared" si="235"/>
        <v>0</v>
      </c>
      <c r="AC978" s="14">
        <f t="shared" si="238"/>
        <v>0</v>
      </c>
      <c r="AE978" s="19">
        <f t="shared" si="236"/>
        <v>0</v>
      </c>
      <c r="AF978" s="19"/>
      <c r="AG978" s="17"/>
      <c r="AK978" s="7"/>
      <c r="AL978" s="108">
        <f t="shared" si="239"/>
        <v>0</v>
      </c>
      <c r="AM978" s="108">
        <f t="shared" si="240"/>
        <v>0</v>
      </c>
      <c r="AN978" s="113"/>
    </row>
    <row r="979" spans="2:40" x14ac:dyDescent="0.2">
      <c r="B979" s="7"/>
      <c r="C979" s="8"/>
      <c r="D979" s="8"/>
      <c r="E979" s="9"/>
      <c r="F979" s="6"/>
      <c r="G979" s="8"/>
      <c r="H979" s="32"/>
      <c r="I979" s="10" t="str">
        <f t="shared" si="237"/>
        <v>21</v>
      </c>
      <c r="J979" s="11">
        <v>1</v>
      </c>
      <c r="K979" s="11"/>
      <c r="L979" s="11"/>
      <c r="M979" s="11">
        <f t="shared" si="226"/>
        <v>0</v>
      </c>
      <c r="N979" s="11"/>
      <c r="O979" s="11">
        <f t="shared" si="227"/>
        <v>0</v>
      </c>
      <c r="P979" s="11"/>
      <c r="Q979" s="11"/>
      <c r="R979" s="11"/>
      <c r="S979" s="11">
        <f t="shared" si="228"/>
        <v>0</v>
      </c>
      <c r="T979" s="11">
        <f t="shared" si="229"/>
        <v>1666.6666666666667</v>
      </c>
      <c r="U979" s="11">
        <f t="shared" si="230"/>
        <v>0</v>
      </c>
      <c r="V979" s="24">
        <f t="shared" si="231"/>
        <v>0</v>
      </c>
      <c r="W979" s="11">
        <f>IF(V979&lt;=40000,0,
IF(V979&lt;=55000,(V979-40000)*10%,
IF(V979&lt;=70000,(V979-55000)*15%+1500,
IF(V979&lt;=200000,(V979-70000)*20%+1500+2250,
IF(V979&lt;=400000,(V979-200000)*22.5%+1500+2250+26000,
IF(V979&lt;=600000,(V979-400000)*25%+1500+2250+26000+45000,
IF(AND(V979&gt;600000,V979&lt;=1200000),(V979-400000)*25%+1500+2250+26000+45000
+IFERROR(LOOKUP(V979,{600001;700001;800001;900001},{4000;6750;10250;15250}),0),IF(V979&gt;1200000,((V979-1200000)*27.5%)+300000,0)
)))))))</f>
        <v>0</v>
      </c>
      <c r="X979" s="12">
        <f t="shared" si="232"/>
        <v>0</v>
      </c>
      <c r="Y979" s="12">
        <f t="shared" si="233"/>
        <v>0</v>
      </c>
      <c r="Z979" s="11"/>
      <c r="AA979" s="13">
        <f t="shared" si="234"/>
        <v>0</v>
      </c>
      <c r="AB979" s="12">
        <f t="shared" si="235"/>
        <v>0</v>
      </c>
      <c r="AC979" s="14">
        <f t="shared" si="238"/>
        <v>0</v>
      </c>
      <c r="AE979" s="19">
        <f t="shared" si="236"/>
        <v>0</v>
      </c>
      <c r="AF979" s="19"/>
      <c r="AG979" s="17"/>
      <c r="AK979" s="7"/>
      <c r="AL979" s="108">
        <f t="shared" si="239"/>
        <v>0</v>
      </c>
      <c r="AM979" s="108">
        <f t="shared" si="240"/>
        <v>0</v>
      </c>
      <c r="AN979" s="113"/>
    </row>
    <row r="980" spans="2:40" x14ac:dyDescent="0.2">
      <c r="B980" s="7"/>
      <c r="C980" s="8"/>
      <c r="D980" s="8"/>
      <c r="E980" s="9"/>
      <c r="F980" s="6"/>
      <c r="G980" s="8"/>
      <c r="H980" s="32"/>
      <c r="I980" s="10" t="str">
        <f t="shared" si="237"/>
        <v>21</v>
      </c>
      <c r="J980" s="11">
        <v>1</v>
      </c>
      <c r="K980" s="11"/>
      <c r="L980" s="11"/>
      <c r="M980" s="11">
        <f t="shared" si="226"/>
        <v>0</v>
      </c>
      <c r="N980" s="11"/>
      <c r="O980" s="11">
        <f t="shared" si="227"/>
        <v>0</v>
      </c>
      <c r="P980" s="11"/>
      <c r="Q980" s="11"/>
      <c r="R980" s="11"/>
      <c r="S980" s="11">
        <f t="shared" si="228"/>
        <v>0</v>
      </c>
      <c r="T980" s="11">
        <f t="shared" si="229"/>
        <v>1666.6666666666667</v>
      </c>
      <c r="U980" s="11">
        <f t="shared" si="230"/>
        <v>0</v>
      </c>
      <c r="V980" s="24">
        <f t="shared" si="231"/>
        <v>0</v>
      </c>
      <c r="W980" s="11">
        <f>IF(V980&lt;=40000,0,
IF(V980&lt;=55000,(V980-40000)*10%,
IF(V980&lt;=70000,(V980-55000)*15%+1500,
IF(V980&lt;=200000,(V980-70000)*20%+1500+2250,
IF(V980&lt;=400000,(V980-200000)*22.5%+1500+2250+26000,
IF(V980&lt;=600000,(V980-400000)*25%+1500+2250+26000+45000,
IF(AND(V980&gt;600000,V980&lt;=1200000),(V980-400000)*25%+1500+2250+26000+45000
+IFERROR(LOOKUP(V980,{600001;700001;800001;900001},{4000;6750;10250;15250}),0),IF(V980&gt;1200000,((V980-1200000)*27.5%)+300000,0)
)))))))</f>
        <v>0</v>
      </c>
      <c r="X980" s="12">
        <f t="shared" si="232"/>
        <v>0</v>
      </c>
      <c r="Y980" s="12">
        <f t="shared" si="233"/>
        <v>0</v>
      </c>
      <c r="Z980" s="11"/>
      <c r="AA980" s="13">
        <f t="shared" si="234"/>
        <v>0</v>
      </c>
      <c r="AB980" s="12">
        <f t="shared" si="235"/>
        <v>0</v>
      </c>
      <c r="AC980" s="14">
        <f t="shared" si="238"/>
        <v>0</v>
      </c>
      <c r="AE980" s="19">
        <f t="shared" si="236"/>
        <v>0</v>
      </c>
      <c r="AF980" s="19"/>
      <c r="AG980" s="17"/>
      <c r="AK980" s="7"/>
      <c r="AL980" s="108">
        <f t="shared" si="239"/>
        <v>0</v>
      </c>
      <c r="AM980" s="108">
        <f t="shared" si="240"/>
        <v>0</v>
      </c>
      <c r="AN980" s="113"/>
    </row>
    <row r="981" spans="2:40" x14ac:dyDescent="0.2">
      <c r="B981" s="7"/>
      <c r="C981" s="8"/>
      <c r="D981" s="8"/>
      <c r="E981" s="9"/>
      <c r="F981" s="6"/>
      <c r="G981" s="8"/>
      <c r="H981" s="32"/>
      <c r="I981" s="10" t="str">
        <f t="shared" si="237"/>
        <v>21</v>
      </c>
      <c r="J981" s="11">
        <v>1</v>
      </c>
      <c r="K981" s="11"/>
      <c r="L981" s="11"/>
      <c r="M981" s="11">
        <f t="shared" si="226"/>
        <v>0</v>
      </c>
      <c r="N981" s="11"/>
      <c r="O981" s="11">
        <f t="shared" si="227"/>
        <v>0</v>
      </c>
      <c r="P981" s="11"/>
      <c r="Q981" s="11"/>
      <c r="R981" s="11"/>
      <c r="S981" s="11">
        <f t="shared" si="228"/>
        <v>0</v>
      </c>
      <c r="T981" s="11">
        <f t="shared" si="229"/>
        <v>1666.6666666666667</v>
      </c>
      <c r="U981" s="11">
        <f t="shared" si="230"/>
        <v>0</v>
      </c>
      <c r="V981" s="24">
        <f t="shared" si="231"/>
        <v>0</v>
      </c>
      <c r="W981" s="11">
        <f>IF(V981&lt;=40000,0,
IF(V981&lt;=55000,(V981-40000)*10%,
IF(V981&lt;=70000,(V981-55000)*15%+1500,
IF(V981&lt;=200000,(V981-70000)*20%+1500+2250,
IF(V981&lt;=400000,(V981-200000)*22.5%+1500+2250+26000,
IF(V981&lt;=600000,(V981-400000)*25%+1500+2250+26000+45000,
IF(AND(V981&gt;600000,V981&lt;=1200000),(V981-400000)*25%+1500+2250+26000+45000
+IFERROR(LOOKUP(V981,{600001;700001;800001;900001},{4000;6750;10250;15250}),0),IF(V981&gt;1200000,((V981-1200000)*27.5%)+300000,0)
)))))))</f>
        <v>0</v>
      </c>
      <c r="X981" s="12">
        <f t="shared" si="232"/>
        <v>0</v>
      </c>
      <c r="Y981" s="12">
        <f t="shared" si="233"/>
        <v>0</v>
      </c>
      <c r="Z981" s="11"/>
      <c r="AA981" s="13">
        <f t="shared" si="234"/>
        <v>0</v>
      </c>
      <c r="AB981" s="12">
        <f t="shared" si="235"/>
        <v>0</v>
      </c>
      <c r="AC981" s="14">
        <f t="shared" si="238"/>
        <v>0</v>
      </c>
      <c r="AE981" s="19">
        <f t="shared" si="236"/>
        <v>0</v>
      </c>
      <c r="AF981" s="19"/>
      <c r="AG981" s="17"/>
      <c r="AK981" s="7"/>
      <c r="AL981" s="108">
        <f t="shared" si="239"/>
        <v>0</v>
      </c>
      <c r="AM981" s="108">
        <f t="shared" si="240"/>
        <v>0</v>
      </c>
      <c r="AN981" s="113"/>
    </row>
    <row r="982" spans="2:40" x14ac:dyDescent="0.2">
      <c r="B982" s="7"/>
      <c r="C982" s="8"/>
      <c r="D982" s="8"/>
      <c r="E982" s="9"/>
      <c r="F982" s="6"/>
      <c r="G982" s="8"/>
      <c r="H982" s="32"/>
      <c r="I982" s="10" t="str">
        <f t="shared" si="237"/>
        <v>21</v>
      </c>
      <c r="J982" s="11">
        <v>1</v>
      </c>
      <c r="K982" s="11"/>
      <c r="L982" s="11"/>
      <c r="M982" s="11">
        <f t="shared" si="226"/>
        <v>0</v>
      </c>
      <c r="N982" s="11"/>
      <c r="O982" s="11">
        <f t="shared" si="227"/>
        <v>0</v>
      </c>
      <c r="P982" s="11"/>
      <c r="Q982" s="11"/>
      <c r="R982" s="11"/>
      <c r="S982" s="11">
        <f t="shared" si="228"/>
        <v>0</v>
      </c>
      <c r="T982" s="11">
        <f t="shared" si="229"/>
        <v>1666.6666666666667</v>
      </c>
      <c r="U982" s="11">
        <f t="shared" si="230"/>
        <v>0</v>
      </c>
      <c r="V982" s="24">
        <f t="shared" si="231"/>
        <v>0</v>
      </c>
      <c r="W982" s="11">
        <f>IF(V982&lt;=40000,0,
IF(V982&lt;=55000,(V982-40000)*10%,
IF(V982&lt;=70000,(V982-55000)*15%+1500,
IF(V982&lt;=200000,(V982-70000)*20%+1500+2250,
IF(V982&lt;=400000,(V982-200000)*22.5%+1500+2250+26000,
IF(V982&lt;=600000,(V982-400000)*25%+1500+2250+26000+45000,
IF(AND(V982&gt;600000,V982&lt;=1200000),(V982-400000)*25%+1500+2250+26000+45000
+IFERROR(LOOKUP(V982,{600001;700001;800001;900001},{4000;6750;10250;15250}),0),IF(V982&gt;1200000,((V982-1200000)*27.5%)+300000,0)
)))))))</f>
        <v>0</v>
      </c>
      <c r="X982" s="12">
        <f t="shared" si="232"/>
        <v>0</v>
      </c>
      <c r="Y982" s="12">
        <f t="shared" si="233"/>
        <v>0</v>
      </c>
      <c r="Z982" s="11"/>
      <c r="AA982" s="13">
        <f t="shared" si="234"/>
        <v>0</v>
      </c>
      <c r="AB982" s="12">
        <f t="shared" si="235"/>
        <v>0</v>
      </c>
      <c r="AC982" s="14">
        <f t="shared" si="238"/>
        <v>0</v>
      </c>
      <c r="AE982" s="19">
        <f t="shared" si="236"/>
        <v>0</v>
      </c>
      <c r="AF982" s="19"/>
      <c r="AG982" s="17"/>
      <c r="AK982" s="7"/>
      <c r="AL982" s="108">
        <f t="shared" si="239"/>
        <v>0</v>
      </c>
      <c r="AM982" s="108">
        <f t="shared" si="240"/>
        <v>0</v>
      </c>
      <c r="AN982" s="113"/>
    </row>
    <row r="983" spans="2:40" x14ac:dyDescent="0.2">
      <c r="B983" s="7"/>
      <c r="C983" s="8"/>
      <c r="D983" s="8"/>
      <c r="E983" s="9"/>
      <c r="F983" s="6"/>
      <c r="G983" s="8"/>
      <c r="H983" s="32"/>
      <c r="I983" s="10" t="str">
        <f t="shared" si="237"/>
        <v>21</v>
      </c>
      <c r="J983" s="11">
        <v>1</v>
      </c>
      <c r="K983" s="11"/>
      <c r="L983" s="11"/>
      <c r="M983" s="11">
        <f t="shared" si="226"/>
        <v>0</v>
      </c>
      <c r="N983" s="11"/>
      <c r="O983" s="11">
        <f t="shared" si="227"/>
        <v>0</v>
      </c>
      <c r="P983" s="11"/>
      <c r="Q983" s="11"/>
      <c r="R983" s="11"/>
      <c r="S983" s="11">
        <f t="shared" si="228"/>
        <v>0</v>
      </c>
      <c r="T983" s="11">
        <f t="shared" si="229"/>
        <v>1666.6666666666667</v>
      </c>
      <c r="U983" s="11">
        <f t="shared" si="230"/>
        <v>0</v>
      </c>
      <c r="V983" s="24">
        <f t="shared" si="231"/>
        <v>0</v>
      </c>
      <c r="W983" s="11">
        <f>IF(V983&lt;=40000,0,
IF(V983&lt;=55000,(V983-40000)*10%,
IF(V983&lt;=70000,(V983-55000)*15%+1500,
IF(V983&lt;=200000,(V983-70000)*20%+1500+2250,
IF(V983&lt;=400000,(V983-200000)*22.5%+1500+2250+26000,
IF(V983&lt;=600000,(V983-400000)*25%+1500+2250+26000+45000,
IF(AND(V983&gt;600000,V983&lt;=1200000),(V983-400000)*25%+1500+2250+26000+45000
+IFERROR(LOOKUP(V983,{600001;700001;800001;900001},{4000;6750;10250;15250}),0),IF(V983&gt;1200000,((V983-1200000)*27.5%)+300000,0)
)))))))</f>
        <v>0</v>
      </c>
      <c r="X983" s="12">
        <f t="shared" si="232"/>
        <v>0</v>
      </c>
      <c r="Y983" s="12">
        <f t="shared" si="233"/>
        <v>0</v>
      </c>
      <c r="Z983" s="11"/>
      <c r="AA983" s="13">
        <f t="shared" si="234"/>
        <v>0</v>
      </c>
      <c r="AB983" s="12">
        <f t="shared" si="235"/>
        <v>0</v>
      </c>
      <c r="AC983" s="14">
        <f t="shared" si="238"/>
        <v>0</v>
      </c>
      <c r="AE983" s="19">
        <f t="shared" si="236"/>
        <v>0</v>
      </c>
      <c r="AF983" s="19"/>
      <c r="AG983" s="17"/>
      <c r="AK983" s="7"/>
      <c r="AL983" s="108">
        <f t="shared" si="239"/>
        <v>0</v>
      </c>
      <c r="AM983" s="108">
        <f t="shared" si="240"/>
        <v>0</v>
      </c>
      <c r="AN983" s="113"/>
    </row>
    <row r="984" spans="2:40" x14ac:dyDescent="0.2">
      <c r="B984" s="7"/>
      <c r="C984" s="8"/>
      <c r="D984" s="8"/>
      <c r="E984" s="9"/>
      <c r="F984" s="6"/>
      <c r="G984" s="8"/>
      <c r="H984" s="32"/>
      <c r="I984" s="10" t="str">
        <f t="shared" si="237"/>
        <v>21</v>
      </c>
      <c r="J984" s="11">
        <v>1</v>
      </c>
      <c r="K984" s="11"/>
      <c r="L984" s="11"/>
      <c r="M984" s="11">
        <f t="shared" si="226"/>
        <v>0</v>
      </c>
      <c r="N984" s="11"/>
      <c r="O984" s="11">
        <f t="shared" si="227"/>
        <v>0</v>
      </c>
      <c r="P984" s="11"/>
      <c r="Q984" s="11"/>
      <c r="R984" s="11"/>
      <c r="S984" s="11">
        <f t="shared" si="228"/>
        <v>0</v>
      </c>
      <c r="T984" s="11">
        <f t="shared" si="229"/>
        <v>1666.6666666666667</v>
      </c>
      <c r="U984" s="11">
        <f t="shared" si="230"/>
        <v>0</v>
      </c>
      <c r="V984" s="24">
        <f t="shared" si="231"/>
        <v>0</v>
      </c>
      <c r="W984" s="11">
        <f>IF(V984&lt;=40000,0,
IF(V984&lt;=55000,(V984-40000)*10%,
IF(V984&lt;=70000,(V984-55000)*15%+1500,
IF(V984&lt;=200000,(V984-70000)*20%+1500+2250,
IF(V984&lt;=400000,(V984-200000)*22.5%+1500+2250+26000,
IF(V984&lt;=600000,(V984-400000)*25%+1500+2250+26000+45000,
IF(AND(V984&gt;600000,V984&lt;=1200000),(V984-400000)*25%+1500+2250+26000+45000
+IFERROR(LOOKUP(V984,{600001;700001;800001;900001},{4000;6750;10250;15250}),0),IF(V984&gt;1200000,((V984-1200000)*27.5%)+300000,0)
)))))))</f>
        <v>0</v>
      </c>
      <c r="X984" s="12">
        <f t="shared" si="232"/>
        <v>0</v>
      </c>
      <c r="Y984" s="12">
        <f t="shared" si="233"/>
        <v>0</v>
      </c>
      <c r="Z984" s="11"/>
      <c r="AA984" s="13">
        <f t="shared" si="234"/>
        <v>0</v>
      </c>
      <c r="AB984" s="12">
        <f t="shared" si="235"/>
        <v>0</v>
      </c>
      <c r="AC984" s="14">
        <f t="shared" si="238"/>
        <v>0</v>
      </c>
      <c r="AE984" s="19">
        <f t="shared" si="236"/>
        <v>0</v>
      </c>
      <c r="AF984" s="19"/>
      <c r="AG984" s="17"/>
      <c r="AK984" s="7"/>
      <c r="AL984" s="108">
        <f t="shared" si="239"/>
        <v>0</v>
      </c>
      <c r="AM984" s="108">
        <f t="shared" si="240"/>
        <v>0</v>
      </c>
      <c r="AN984" s="113"/>
    </row>
    <row r="985" spans="2:40" x14ac:dyDescent="0.2">
      <c r="B985" s="7"/>
      <c r="C985" s="8"/>
      <c r="D985" s="8"/>
      <c r="E985" s="9"/>
      <c r="F985" s="6"/>
      <c r="G985" s="8"/>
      <c r="H985" s="32"/>
      <c r="I985" s="10" t="str">
        <f t="shared" si="237"/>
        <v>21</v>
      </c>
      <c r="J985" s="11">
        <v>1</v>
      </c>
      <c r="K985" s="11"/>
      <c r="L985" s="11"/>
      <c r="M985" s="11">
        <f t="shared" si="226"/>
        <v>0</v>
      </c>
      <c r="N985" s="11"/>
      <c r="O985" s="11">
        <f t="shared" si="227"/>
        <v>0</v>
      </c>
      <c r="P985" s="11"/>
      <c r="Q985" s="11"/>
      <c r="R985" s="11"/>
      <c r="S985" s="11">
        <f t="shared" si="228"/>
        <v>0</v>
      </c>
      <c r="T985" s="11">
        <f t="shared" si="229"/>
        <v>1666.6666666666667</v>
      </c>
      <c r="U985" s="11">
        <f t="shared" si="230"/>
        <v>0</v>
      </c>
      <c r="V985" s="24">
        <f t="shared" si="231"/>
        <v>0</v>
      </c>
      <c r="W985" s="11">
        <f>IF(V985&lt;=40000,0,
IF(V985&lt;=55000,(V985-40000)*10%,
IF(V985&lt;=70000,(V985-55000)*15%+1500,
IF(V985&lt;=200000,(V985-70000)*20%+1500+2250,
IF(V985&lt;=400000,(V985-200000)*22.5%+1500+2250+26000,
IF(V985&lt;=600000,(V985-400000)*25%+1500+2250+26000+45000,
IF(AND(V985&gt;600000,V985&lt;=1200000),(V985-400000)*25%+1500+2250+26000+45000
+IFERROR(LOOKUP(V985,{600001;700001;800001;900001},{4000;6750;10250;15250}),0),IF(V985&gt;1200000,((V985-1200000)*27.5%)+300000,0)
)))))))</f>
        <v>0</v>
      </c>
      <c r="X985" s="12">
        <f t="shared" si="232"/>
        <v>0</v>
      </c>
      <c r="Y985" s="12">
        <f t="shared" si="233"/>
        <v>0</v>
      </c>
      <c r="Z985" s="11"/>
      <c r="AA985" s="13">
        <f t="shared" si="234"/>
        <v>0</v>
      </c>
      <c r="AB985" s="12">
        <f t="shared" si="235"/>
        <v>0</v>
      </c>
      <c r="AC985" s="14">
        <f t="shared" si="238"/>
        <v>0</v>
      </c>
      <c r="AE985" s="19">
        <f t="shared" si="236"/>
        <v>0</v>
      </c>
      <c r="AF985" s="19"/>
      <c r="AG985" s="17"/>
      <c r="AK985" s="7"/>
      <c r="AL985" s="108">
        <f t="shared" si="239"/>
        <v>0</v>
      </c>
      <c r="AM985" s="108">
        <f t="shared" si="240"/>
        <v>0</v>
      </c>
      <c r="AN985" s="113"/>
    </row>
    <row r="986" spans="2:40" x14ac:dyDescent="0.2">
      <c r="B986" s="7"/>
      <c r="C986" s="8"/>
      <c r="D986" s="8"/>
      <c r="E986" s="9"/>
      <c r="F986" s="6"/>
      <c r="G986" s="8"/>
      <c r="H986" s="32"/>
      <c r="I986" s="10" t="str">
        <f t="shared" si="237"/>
        <v>21</v>
      </c>
      <c r="J986" s="11">
        <v>1</v>
      </c>
      <c r="K986" s="11"/>
      <c r="L986" s="11"/>
      <c r="M986" s="11">
        <f t="shared" si="226"/>
        <v>0</v>
      </c>
      <c r="N986" s="11"/>
      <c r="O986" s="11">
        <f t="shared" si="227"/>
        <v>0</v>
      </c>
      <c r="P986" s="11"/>
      <c r="Q986" s="11"/>
      <c r="R986" s="11"/>
      <c r="S986" s="11">
        <f t="shared" si="228"/>
        <v>0</v>
      </c>
      <c r="T986" s="11">
        <f t="shared" si="229"/>
        <v>1666.6666666666667</v>
      </c>
      <c r="U986" s="11">
        <f t="shared" si="230"/>
        <v>0</v>
      </c>
      <c r="V986" s="24">
        <f t="shared" si="231"/>
        <v>0</v>
      </c>
      <c r="W986" s="11">
        <f>IF(V986&lt;=40000,0,
IF(V986&lt;=55000,(V986-40000)*10%,
IF(V986&lt;=70000,(V986-55000)*15%+1500,
IF(V986&lt;=200000,(V986-70000)*20%+1500+2250,
IF(V986&lt;=400000,(V986-200000)*22.5%+1500+2250+26000,
IF(V986&lt;=600000,(V986-400000)*25%+1500+2250+26000+45000,
IF(AND(V986&gt;600000,V986&lt;=1200000),(V986-400000)*25%+1500+2250+26000+45000
+IFERROR(LOOKUP(V986,{600001;700001;800001;900001},{4000;6750;10250;15250}),0),IF(V986&gt;1200000,((V986-1200000)*27.5%)+300000,0)
)))))))</f>
        <v>0</v>
      </c>
      <c r="X986" s="12">
        <f t="shared" si="232"/>
        <v>0</v>
      </c>
      <c r="Y986" s="12">
        <f t="shared" si="233"/>
        <v>0</v>
      </c>
      <c r="Z986" s="11"/>
      <c r="AA986" s="13">
        <f t="shared" si="234"/>
        <v>0</v>
      </c>
      <c r="AB986" s="12">
        <f t="shared" si="235"/>
        <v>0</v>
      </c>
      <c r="AC986" s="14">
        <f t="shared" si="238"/>
        <v>0</v>
      </c>
      <c r="AE986" s="19">
        <f t="shared" si="236"/>
        <v>0</v>
      </c>
      <c r="AF986" s="19"/>
      <c r="AG986" s="17"/>
      <c r="AK986" s="7"/>
      <c r="AL986" s="108">
        <f t="shared" si="239"/>
        <v>0</v>
      </c>
      <c r="AM986" s="108">
        <f t="shared" si="240"/>
        <v>0</v>
      </c>
      <c r="AN986" s="113"/>
    </row>
    <row r="987" spans="2:40" x14ac:dyDescent="0.2">
      <c r="B987" s="7"/>
      <c r="C987" s="8"/>
      <c r="D987" s="8"/>
      <c r="E987" s="9"/>
      <c r="F987" s="6"/>
      <c r="G987" s="8"/>
      <c r="H987" s="32"/>
      <c r="I987" s="10" t="str">
        <f t="shared" si="237"/>
        <v>21</v>
      </c>
      <c r="J987" s="11">
        <v>1</v>
      </c>
      <c r="K987" s="11"/>
      <c r="L987" s="11"/>
      <c r="M987" s="11">
        <f t="shared" si="226"/>
        <v>0</v>
      </c>
      <c r="N987" s="11"/>
      <c r="O987" s="11">
        <f t="shared" si="227"/>
        <v>0</v>
      </c>
      <c r="P987" s="11"/>
      <c r="Q987" s="11"/>
      <c r="R987" s="11"/>
      <c r="S987" s="11">
        <f t="shared" si="228"/>
        <v>0</v>
      </c>
      <c r="T987" s="11">
        <f t="shared" si="229"/>
        <v>1666.6666666666667</v>
      </c>
      <c r="U987" s="11">
        <f t="shared" si="230"/>
        <v>0</v>
      </c>
      <c r="V987" s="24">
        <f t="shared" si="231"/>
        <v>0</v>
      </c>
      <c r="W987" s="11">
        <f>IF(V987&lt;=40000,0,
IF(V987&lt;=55000,(V987-40000)*10%,
IF(V987&lt;=70000,(V987-55000)*15%+1500,
IF(V987&lt;=200000,(V987-70000)*20%+1500+2250,
IF(V987&lt;=400000,(V987-200000)*22.5%+1500+2250+26000,
IF(V987&lt;=600000,(V987-400000)*25%+1500+2250+26000+45000,
IF(AND(V987&gt;600000,V987&lt;=1200000),(V987-400000)*25%+1500+2250+26000+45000
+IFERROR(LOOKUP(V987,{600001;700001;800001;900001},{4000;6750;10250;15250}),0),IF(V987&gt;1200000,((V987-1200000)*27.5%)+300000,0)
)))))))</f>
        <v>0</v>
      </c>
      <c r="X987" s="12">
        <f t="shared" si="232"/>
        <v>0</v>
      </c>
      <c r="Y987" s="12">
        <f t="shared" si="233"/>
        <v>0</v>
      </c>
      <c r="Z987" s="11"/>
      <c r="AA987" s="13">
        <f t="shared" si="234"/>
        <v>0</v>
      </c>
      <c r="AB987" s="12">
        <f t="shared" si="235"/>
        <v>0</v>
      </c>
      <c r="AC987" s="14">
        <f t="shared" si="238"/>
        <v>0</v>
      </c>
      <c r="AE987" s="19">
        <f t="shared" si="236"/>
        <v>0</v>
      </c>
      <c r="AF987" s="19"/>
      <c r="AG987" s="17"/>
      <c r="AK987" s="7"/>
      <c r="AL987" s="108">
        <f t="shared" si="239"/>
        <v>0</v>
      </c>
      <c r="AM987" s="108">
        <f t="shared" si="240"/>
        <v>0</v>
      </c>
      <c r="AN987" s="113"/>
    </row>
    <row r="988" spans="2:40" x14ac:dyDescent="0.2">
      <c r="B988" s="7"/>
      <c r="C988" s="8"/>
      <c r="D988" s="8"/>
      <c r="E988" s="9"/>
      <c r="F988" s="6"/>
      <c r="G988" s="8"/>
      <c r="H988" s="32"/>
      <c r="I988" s="10" t="str">
        <f t="shared" si="237"/>
        <v>21</v>
      </c>
      <c r="J988" s="11">
        <v>1</v>
      </c>
      <c r="K988" s="11"/>
      <c r="L988" s="11"/>
      <c r="M988" s="11">
        <f t="shared" si="226"/>
        <v>0</v>
      </c>
      <c r="N988" s="11"/>
      <c r="O988" s="11">
        <f t="shared" si="227"/>
        <v>0</v>
      </c>
      <c r="P988" s="11"/>
      <c r="Q988" s="11"/>
      <c r="R988" s="11"/>
      <c r="S988" s="11">
        <f t="shared" si="228"/>
        <v>0</v>
      </c>
      <c r="T988" s="11">
        <f t="shared" si="229"/>
        <v>1666.6666666666667</v>
      </c>
      <c r="U988" s="11">
        <f t="shared" si="230"/>
        <v>0</v>
      </c>
      <c r="V988" s="24">
        <f t="shared" si="231"/>
        <v>0</v>
      </c>
      <c r="W988" s="11">
        <f>IF(V988&lt;=40000,0,
IF(V988&lt;=55000,(V988-40000)*10%,
IF(V988&lt;=70000,(V988-55000)*15%+1500,
IF(V988&lt;=200000,(V988-70000)*20%+1500+2250,
IF(V988&lt;=400000,(V988-200000)*22.5%+1500+2250+26000,
IF(V988&lt;=600000,(V988-400000)*25%+1500+2250+26000+45000,
IF(AND(V988&gt;600000,V988&lt;=1200000),(V988-400000)*25%+1500+2250+26000+45000
+IFERROR(LOOKUP(V988,{600001;700001;800001;900001},{4000;6750;10250;15250}),0),IF(V988&gt;1200000,((V988-1200000)*27.5%)+300000,0)
)))))))</f>
        <v>0</v>
      </c>
      <c r="X988" s="12">
        <f t="shared" si="232"/>
        <v>0</v>
      </c>
      <c r="Y988" s="12">
        <f t="shared" si="233"/>
        <v>0</v>
      </c>
      <c r="Z988" s="11"/>
      <c r="AA988" s="13">
        <f t="shared" si="234"/>
        <v>0</v>
      </c>
      <c r="AB988" s="12">
        <f t="shared" si="235"/>
        <v>0</v>
      </c>
      <c r="AC988" s="14">
        <f t="shared" si="238"/>
        <v>0</v>
      </c>
      <c r="AE988" s="19">
        <f t="shared" si="236"/>
        <v>0</v>
      </c>
      <c r="AF988" s="19"/>
      <c r="AG988" s="17"/>
      <c r="AK988" s="7"/>
      <c r="AL988" s="108">
        <f t="shared" si="239"/>
        <v>0</v>
      </c>
      <c r="AM988" s="108">
        <f t="shared" si="240"/>
        <v>0</v>
      </c>
      <c r="AN988" s="113"/>
    </row>
    <row r="989" spans="2:40" x14ac:dyDescent="0.2">
      <c r="B989" s="7"/>
      <c r="C989" s="8"/>
      <c r="D989" s="8"/>
      <c r="E989" s="9"/>
      <c r="F989" s="6"/>
      <c r="G989" s="8"/>
      <c r="H989" s="32"/>
      <c r="I989" s="10" t="str">
        <f t="shared" si="237"/>
        <v>21</v>
      </c>
      <c r="J989" s="11">
        <v>1</v>
      </c>
      <c r="K989" s="11"/>
      <c r="L989" s="11"/>
      <c r="M989" s="11">
        <f t="shared" ref="M989:M1052" si="241">SUM(K989:L989)</f>
        <v>0</v>
      </c>
      <c r="N989" s="11"/>
      <c r="O989" s="11">
        <f t="shared" ref="O989:O1052" si="242">+N989+M989</f>
        <v>0</v>
      </c>
      <c r="P989" s="11"/>
      <c r="Q989" s="11"/>
      <c r="R989" s="11"/>
      <c r="S989" s="11">
        <f t="shared" ref="S989:S1052" si="243">O989-P989-Q989-R989</f>
        <v>0</v>
      </c>
      <c r="T989" s="11">
        <f t="shared" ref="T989:T1052" si="244">IF(J989&gt;0,(20000/12*J989),0)</f>
        <v>1666.6666666666667</v>
      </c>
      <c r="U989" s="11">
        <f t="shared" ref="U989:U1052" si="245">IF(AND(J989&gt;0,S989-T989&gt;0),S989-T989,0)</f>
        <v>0</v>
      </c>
      <c r="V989" s="24">
        <f t="shared" ref="V989:V1052" si="246">IF(J989=0,0,(U989/J989*12))</f>
        <v>0</v>
      </c>
      <c r="W989" s="11">
        <f>IF(V989&lt;=40000,0,
IF(V989&lt;=55000,(V989-40000)*10%,
IF(V989&lt;=70000,(V989-55000)*15%+1500,
IF(V989&lt;=200000,(V989-70000)*20%+1500+2250,
IF(V989&lt;=400000,(V989-200000)*22.5%+1500+2250+26000,
IF(V989&lt;=600000,(V989-400000)*25%+1500+2250+26000+45000,
IF(AND(V989&gt;600000,V989&lt;=1200000),(V989-400000)*25%+1500+2250+26000+45000
+IFERROR(LOOKUP(V989,{600001;700001;800001;900001},{4000;6750;10250;15250}),0),IF(V989&gt;1200000,((V989-1200000)*27.5%)+300000,0)
)))))))</f>
        <v>0</v>
      </c>
      <c r="X989" s="12">
        <f t="shared" ref="X989:X1052" si="247">N989*0.1</f>
        <v>0</v>
      </c>
      <c r="Y989" s="12">
        <f t="shared" ref="Y989:Y1052" si="248">(W989/12*J989)-X989</f>
        <v>0</v>
      </c>
      <c r="Z989" s="11"/>
      <c r="AA989" s="13">
        <f t="shared" ref="AA989:AA1052" si="249">+O989-P989-Y989-Z989</f>
        <v>0</v>
      </c>
      <c r="AB989" s="12">
        <f t="shared" ref="AB989:AB1052" si="250">(P989/0.11)*18.75%</f>
        <v>0</v>
      </c>
      <c r="AC989" s="14">
        <f t="shared" si="238"/>
        <v>0</v>
      </c>
      <c r="AE989" s="19">
        <f t="shared" ref="AE989:AE1052" si="251">+AD989-AC989</f>
        <v>0</v>
      </c>
      <c r="AF989" s="19"/>
      <c r="AG989" s="17"/>
      <c r="AK989" s="7"/>
      <c r="AL989" s="108">
        <f t="shared" si="239"/>
        <v>0</v>
      </c>
      <c r="AM989" s="108">
        <f t="shared" si="240"/>
        <v>0</v>
      </c>
      <c r="AN989" s="113"/>
    </row>
    <row r="990" spans="2:40" x14ac:dyDescent="0.2">
      <c r="B990" s="7"/>
      <c r="C990" s="8"/>
      <c r="D990" s="8"/>
      <c r="E990" s="9"/>
      <c r="F990" s="6"/>
      <c r="G990" s="8"/>
      <c r="H990" s="32"/>
      <c r="I990" s="10" t="str">
        <f t="shared" si="237"/>
        <v>21</v>
      </c>
      <c r="J990" s="11">
        <v>1</v>
      </c>
      <c r="K990" s="11"/>
      <c r="L990" s="11"/>
      <c r="M990" s="11">
        <f t="shared" si="241"/>
        <v>0</v>
      </c>
      <c r="N990" s="11"/>
      <c r="O990" s="11">
        <f t="shared" si="242"/>
        <v>0</v>
      </c>
      <c r="P990" s="11"/>
      <c r="Q990" s="11"/>
      <c r="R990" s="11"/>
      <c r="S990" s="11">
        <f t="shared" si="243"/>
        <v>0</v>
      </c>
      <c r="T990" s="11">
        <f t="shared" si="244"/>
        <v>1666.6666666666667</v>
      </c>
      <c r="U990" s="11">
        <f t="shared" si="245"/>
        <v>0</v>
      </c>
      <c r="V990" s="24">
        <f t="shared" si="246"/>
        <v>0</v>
      </c>
      <c r="W990" s="11">
        <f>IF(V990&lt;=40000,0,
IF(V990&lt;=55000,(V990-40000)*10%,
IF(V990&lt;=70000,(V990-55000)*15%+1500,
IF(V990&lt;=200000,(V990-70000)*20%+1500+2250,
IF(V990&lt;=400000,(V990-200000)*22.5%+1500+2250+26000,
IF(V990&lt;=600000,(V990-400000)*25%+1500+2250+26000+45000,
IF(AND(V990&gt;600000,V990&lt;=1200000),(V990-400000)*25%+1500+2250+26000+45000
+IFERROR(LOOKUP(V990,{600001;700001;800001;900001},{4000;6750;10250;15250}),0),IF(V990&gt;1200000,((V990-1200000)*27.5%)+300000,0)
)))))))</f>
        <v>0</v>
      </c>
      <c r="X990" s="12">
        <f t="shared" si="247"/>
        <v>0</v>
      </c>
      <c r="Y990" s="12">
        <f t="shared" si="248"/>
        <v>0</v>
      </c>
      <c r="Z990" s="11"/>
      <c r="AA990" s="13">
        <f t="shared" si="249"/>
        <v>0</v>
      </c>
      <c r="AB990" s="12">
        <f t="shared" si="250"/>
        <v>0</v>
      </c>
      <c r="AC990" s="14">
        <f t="shared" si="238"/>
        <v>0</v>
      </c>
      <c r="AE990" s="19">
        <f t="shared" si="251"/>
        <v>0</v>
      </c>
      <c r="AF990" s="19"/>
      <c r="AG990" s="17"/>
      <c r="AK990" s="7"/>
      <c r="AL990" s="108">
        <f t="shared" si="239"/>
        <v>0</v>
      </c>
      <c r="AM990" s="108">
        <f t="shared" si="240"/>
        <v>0</v>
      </c>
      <c r="AN990" s="113"/>
    </row>
    <row r="991" spans="2:40" x14ac:dyDescent="0.2">
      <c r="B991" s="7"/>
      <c r="C991" s="8"/>
      <c r="D991" s="8"/>
      <c r="E991" s="9"/>
      <c r="F991" s="6"/>
      <c r="G991" s="8"/>
      <c r="H991" s="32"/>
      <c r="I991" s="10" t="str">
        <f t="shared" si="237"/>
        <v>21</v>
      </c>
      <c r="J991" s="11">
        <v>1</v>
      </c>
      <c r="K991" s="11"/>
      <c r="L991" s="11"/>
      <c r="M991" s="11">
        <f t="shared" si="241"/>
        <v>0</v>
      </c>
      <c r="N991" s="11"/>
      <c r="O991" s="11">
        <f t="shared" si="242"/>
        <v>0</v>
      </c>
      <c r="P991" s="11"/>
      <c r="Q991" s="11"/>
      <c r="R991" s="11"/>
      <c r="S991" s="11">
        <f t="shared" si="243"/>
        <v>0</v>
      </c>
      <c r="T991" s="11">
        <f t="shared" si="244"/>
        <v>1666.6666666666667</v>
      </c>
      <c r="U991" s="11">
        <f t="shared" si="245"/>
        <v>0</v>
      </c>
      <c r="V991" s="24">
        <f t="shared" si="246"/>
        <v>0</v>
      </c>
      <c r="W991" s="11">
        <f>IF(V991&lt;=40000,0,
IF(V991&lt;=55000,(V991-40000)*10%,
IF(V991&lt;=70000,(V991-55000)*15%+1500,
IF(V991&lt;=200000,(V991-70000)*20%+1500+2250,
IF(V991&lt;=400000,(V991-200000)*22.5%+1500+2250+26000,
IF(V991&lt;=600000,(V991-400000)*25%+1500+2250+26000+45000,
IF(AND(V991&gt;600000,V991&lt;=1200000),(V991-400000)*25%+1500+2250+26000+45000
+IFERROR(LOOKUP(V991,{600001;700001;800001;900001},{4000;6750;10250;15250}),0),IF(V991&gt;1200000,((V991-1200000)*27.5%)+300000,0)
)))))))</f>
        <v>0</v>
      </c>
      <c r="X991" s="12">
        <f t="shared" si="247"/>
        <v>0</v>
      </c>
      <c r="Y991" s="12">
        <f t="shared" si="248"/>
        <v>0</v>
      </c>
      <c r="Z991" s="11"/>
      <c r="AA991" s="13">
        <f t="shared" si="249"/>
        <v>0</v>
      </c>
      <c r="AB991" s="12">
        <f t="shared" si="250"/>
        <v>0</v>
      </c>
      <c r="AC991" s="14">
        <f t="shared" si="238"/>
        <v>0</v>
      </c>
      <c r="AE991" s="19">
        <f t="shared" si="251"/>
        <v>0</v>
      </c>
      <c r="AF991" s="19"/>
      <c r="AG991" s="17"/>
      <c r="AK991" s="7"/>
      <c r="AL991" s="108">
        <f t="shared" si="239"/>
        <v>0</v>
      </c>
      <c r="AM991" s="108">
        <f t="shared" si="240"/>
        <v>0</v>
      </c>
      <c r="AN991" s="113"/>
    </row>
    <row r="992" spans="2:40" x14ac:dyDescent="0.2">
      <c r="B992" s="7"/>
      <c r="C992" s="8"/>
      <c r="D992" s="8"/>
      <c r="E992" s="9"/>
      <c r="F992" s="6"/>
      <c r="G992" s="8"/>
      <c r="H992" s="32"/>
      <c r="I992" s="10" t="str">
        <f t="shared" si="237"/>
        <v>21</v>
      </c>
      <c r="J992" s="11">
        <v>1</v>
      </c>
      <c r="K992" s="11"/>
      <c r="L992" s="11"/>
      <c r="M992" s="11">
        <f t="shared" si="241"/>
        <v>0</v>
      </c>
      <c r="N992" s="11"/>
      <c r="O992" s="11">
        <f t="shared" si="242"/>
        <v>0</v>
      </c>
      <c r="P992" s="11"/>
      <c r="Q992" s="11"/>
      <c r="R992" s="11"/>
      <c r="S992" s="11">
        <f t="shared" si="243"/>
        <v>0</v>
      </c>
      <c r="T992" s="11">
        <f t="shared" si="244"/>
        <v>1666.6666666666667</v>
      </c>
      <c r="U992" s="11">
        <f t="shared" si="245"/>
        <v>0</v>
      </c>
      <c r="V992" s="24">
        <f t="shared" si="246"/>
        <v>0</v>
      </c>
      <c r="W992" s="11">
        <f>IF(V992&lt;=40000,0,
IF(V992&lt;=55000,(V992-40000)*10%,
IF(V992&lt;=70000,(V992-55000)*15%+1500,
IF(V992&lt;=200000,(V992-70000)*20%+1500+2250,
IF(V992&lt;=400000,(V992-200000)*22.5%+1500+2250+26000,
IF(V992&lt;=600000,(V992-400000)*25%+1500+2250+26000+45000,
IF(AND(V992&gt;600000,V992&lt;=1200000),(V992-400000)*25%+1500+2250+26000+45000
+IFERROR(LOOKUP(V992,{600001;700001;800001;900001},{4000;6750;10250;15250}),0),IF(V992&gt;1200000,((V992-1200000)*27.5%)+300000,0)
)))))))</f>
        <v>0</v>
      </c>
      <c r="X992" s="12">
        <f t="shared" si="247"/>
        <v>0</v>
      </c>
      <c r="Y992" s="12">
        <f t="shared" si="248"/>
        <v>0</v>
      </c>
      <c r="Z992" s="11"/>
      <c r="AA992" s="13">
        <f t="shared" si="249"/>
        <v>0</v>
      </c>
      <c r="AB992" s="12">
        <f t="shared" si="250"/>
        <v>0</v>
      </c>
      <c r="AC992" s="14">
        <f t="shared" si="238"/>
        <v>0</v>
      </c>
      <c r="AE992" s="19">
        <f t="shared" si="251"/>
        <v>0</v>
      </c>
      <c r="AF992" s="19"/>
      <c r="AG992" s="17"/>
      <c r="AK992" s="7"/>
      <c r="AL992" s="108">
        <f t="shared" si="239"/>
        <v>0</v>
      </c>
      <c r="AM992" s="108">
        <f t="shared" si="240"/>
        <v>0</v>
      </c>
      <c r="AN992" s="113"/>
    </row>
    <row r="993" spans="2:40" x14ac:dyDescent="0.2">
      <c r="B993" s="7"/>
      <c r="C993" s="8"/>
      <c r="D993" s="8"/>
      <c r="E993" s="9"/>
      <c r="F993" s="6"/>
      <c r="G993" s="8"/>
      <c r="H993" s="32"/>
      <c r="I993" s="10" t="str">
        <f t="shared" si="237"/>
        <v>21</v>
      </c>
      <c r="J993" s="11">
        <v>1</v>
      </c>
      <c r="K993" s="11"/>
      <c r="L993" s="11"/>
      <c r="M993" s="11">
        <f t="shared" si="241"/>
        <v>0</v>
      </c>
      <c r="N993" s="11"/>
      <c r="O993" s="11">
        <f t="shared" si="242"/>
        <v>0</v>
      </c>
      <c r="P993" s="11"/>
      <c r="Q993" s="11"/>
      <c r="R993" s="11"/>
      <c r="S993" s="11">
        <f t="shared" si="243"/>
        <v>0</v>
      </c>
      <c r="T993" s="11">
        <f t="shared" si="244"/>
        <v>1666.6666666666667</v>
      </c>
      <c r="U993" s="11">
        <f t="shared" si="245"/>
        <v>0</v>
      </c>
      <c r="V993" s="24">
        <f t="shared" si="246"/>
        <v>0</v>
      </c>
      <c r="W993" s="11">
        <f>IF(V993&lt;=40000,0,
IF(V993&lt;=55000,(V993-40000)*10%,
IF(V993&lt;=70000,(V993-55000)*15%+1500,
IF(V993&lt;=200000,(V993-70000)*20%+1500+2250,
IF(V993&lt;=400000,(V993-200000)*22.5%+1500+2250+26000,
IF(V993&lt;=600000,(V993-400000)*25%+1500+2250+26000+45000,
IF(AND(V993&gt;600000,V993&lt;=1200000),(V993-400000)*25%+1500+2250+26000+45000
+IFERROR(LOOKUP(V993,{600001;700001;800001;900001},{4000;6750;10250;15250}),0),IF(V993&gt;1200000,((V993-1200000)*27.5%)+300000,0)
)))))))</f>
        <v>0</v>
      </c>
      <c r="X993" s="12">
        <f t="shared" si="247"/>
        <v>0</v>
      </c>
      <c r="Y993" s="12">
        <f t="shared" si="248"/>
        <v>0</v>
      </c>
      <c r="Z993" s="11"/>
      <c r="AA993" s="13">
        <f t="shared" si="249"/>
        <v>0</v>
      </c>
      <c r="AB993" s="12">
        <f t="shared" si="250"/>
        <v>0</v>
      </c>
      <c r="AC993" s="14">
        <f t="shared" si="238"/>
        <v>0</v>
      </c>
      <c r="AE993" s="19">
        <f t="shared" si="251"/>
        <v>0</v>
      </c>
      <c r="AF993" s="19"/>
      <c r="AG993" s="17"/>
      <c r="AK993" s="7"/>
      <c r="AL993" s="108">
        <f t="shared" si="239"/>
        <v>0</v>
      </c>
      <c r="AM993" s="108">
        <f t="shared" si="240"/>
        <v>0</v>
      </c>
      <c r="AN993" s="113"/>
    </row>
    <row r="994" spans="2:40" x14ac:dyDescent="0.2">
      <c r="B994" s="7"/>
      <c r="C994" s="8"/>
      <c r="D994" s="8"/>
      <c r="E994" s="9"/>
      <c r="F994" s="6"/>
      <c r="G994" s="8"/>
      <c r="H994" s="32"/>
      <c r="I994" s="10" t="str">
        <f t="shared" si="237"/>
        <v>21</v>
      </c>
      <c r="J994" s="11">
        <v>1</v>
      </c>
      <c r="K994" s="11"/>
      <c r="L994" s="11"/>
      <c r="M994" s="11">
        <f t="shared" si="241"/>
        <v>0</v>
      </c>
      <c r="N994" s="11"/>
      <c r="O994" s="11">
        <f t="shared" si="242"/>
        <v>0</v>
      </c>
      <c r="P994" s="11"/>
      <c r="Q994" s="11"/>
      <c r="R994" s="11"/>
      <c r="S994" s="11">
        <f t="shared" si="243"/>
        <v>0</v>
      </c>
      <c r="T994" s="11">
        <f t="shared" si="244"/>
        <v>1666.6666666666667</v>
      </c>
      <c r="U994" s="11">
        <f t="shared" si="245"/>
        <v>0</v>
      </c>
      <c r="V994" s="24">
        <f t="shared" si="246"/>
        <v>0</v>
      </c>
      <c r="W994" s="11">
        <f>IF(V994&lt;=40000,0,
IF(V994&lt;=55000,(V994-40000)*10%,
IF(V994&lt;=70000,(V994-55000)*15%+1500,
IF(V994&lt;=200000,(V994-70000)*20%+1500+2250,
IF(V994&lt;=400000,(V994-200000)*22.5%+1500+2250+26000,
IF(V994&lt;=600000,(V994-400000)*25%+1500+2250+26000+45000,
IF(AND(V994&gt;600000,V994&lt;=1200000),(V994-400000)*25%+1500+2250+26000+45000
+IFERROR(LOOKUP(V994,{600001;700001;800001;900001},{4000;6750;10250;15250}),0),IF(V994&gt;1200000,((V994-1200000)*27.5%)+300000,0)
)))))))</f>
        <v>0</v>
      </c>
      <c r="X994" s="12">
        <f t="shared" si="247"/>
        <v>0</v>
      </c>
      <c r="Y994" s="12">
        <f t="shared" si="248"/>
        <v>0</v>
      </c>
      <c r="Z994" s="11"/>
      <c r="AA994" s="13">
        <f t="shared" si="249"/>
        <v>0</v>
      </c>
      <c r="AB994" s="12">
        <f t="shared" si="250"/>
        <v>0</v>
      </c>
      <c r="AC994" s="14">
        <f t="shared" si="238"/>
        <v>0</v>
      </c>
      <c r="AE994" s="19">
        <f t="shared" si="251"/>
        <v>0</v>
      </c>
      <c r="AF994" s="19"/>
      <c r="AG994" s="17"/>
      <c r="AK994" s="7"/>
      <c r="AL994" s="108">
        <f t="shared" si="239"/>
        <v>0</v>
      </c>
      <c r="AM994" s="108">
        <f t="shared" si="240"/>
        <v>0</v>
      </c>
      <c r="AN994" s="113"/>
    </row>
    <row r="995" spans="2:40" x14ac:dyDescent="0.2">
      <c r="B995" s="7"/>
      <c r="C995" s="8"/>
      <c r="D995" s="8"/>
      <c r="E995" s="9"/>
      <c r="F995" s="6"/>
      <c r="G995" s="8"/>
      <c r="H995" s="32"/>
      <c r="I995" s="10" t="str">
        <f t="shared" si="237"/>
        <v>21</v>
      </c>
      <c r="J995" s="11">
        <v>1</v>
      </c>
      <c r="K995" s="11"/>
      <c r="L995" s="11"/>
      <c r="M995" s="11">
        <f t="shared" si="241"/>
        <v>0</v>
      </c>
      <c r="N995" s="11"/>
      <c r="O995" s="11">
        <f t="shared" si="242"/>
        <v>0</v>
      </c>
      <c r="P995" s="11"/>
      <c r="Q995" s="11"/>
      <c r="R995" s="11"/>
      <c r="S995" s="11">
        <f t="shared" si="243"/>
        <v>0</v>
      </c>
      <c r="T995" s="11">
        <f t="shared" si="244"/>
        <v>1666.6666666666667</v>
      </c>
      <c r="U995" s="11">
        <f t="shared" si="245"/>
        <v>0</v>
      </c>
      <c r="V995" s="24">
        <f t="shared" si="246"/>
        <v>0</v>
      </c>
      <c r="W995" s="11">
        <f>IF(V995&lt;=40000,0,
IF(V995&lt;=55000,(V995-40000)*10%,
IF(V995&lt;=70000,(V995-55000)*15%+1500,
IF(V995&lt;=200000,(V995-70000)*20%+1500+2250,
IF(V995&lt;=400000,(V995-200000)*22.5%+1500+2250+26000,
IF(V995&lt;=600000,(V995-400000)*25%+1500+2250+26000+45000,
IF(AND(V995&gt;600000,V995&lt;=1200000),(V995-400000)*25%+1500+2250+26000+45000
+IFERROR(LOOKUP(V995,{600001;700001;800001;900001},{4000;6750;10250;15250}),0),IF(V995&gt;1200000,((V995-1200000)*27.5%)+300000,0)
)))))))</f>
        <v>0</v>
      </c>
      <c r="X995" s="12">
        <f t="shared" si="247"/>
        <v>0</v>
      </c>
      <c r="Y995" s="12">
        <f t="shared" si="248"/>
        <v>0</v>
      </c>
      <c r="Z995" s="11"/>
      <c r="AA995" s="13">
        <f t="shared" si="249"/>
        <v>0</v>
      </c>
      <c r="AB995" s="12">
        <f t="shared" si="250"/>
        <v>0</v>
      </c>
      <c r="AC995" s="14">
        <f t="shared" si="238"/>
        <v>0</v>
      </c>
      <c r="AE995" s="19">
        <f t="shared" si="251"/>
        <v>0</v>
      </c>
      <c r="AF995" s="19"/>
      <c r="AG995" s="17"/>
      <c r="AK995" s="7"/>
      <c r="AL995" s="108">
        <f t="shared" si="239"/>
        <v>0</v>
      </c>
      <c r="AM995" s="108">
        <f t="shared" si="240"/>
        <v>0</v>
      </c>
      <c r="AN995" s="113"/>
    </row>
    <row r="996" spans="2:40" x14ac:dyDescent="0.2">
      <c r="B996" s="7"/>
      <c r="C996" s="8"/>
      <c r="D996" s="8"/>
      <c r="E996" s="9"/>
      <c r="F996" s="6"/>
      <c r="G996" s="8"/>
      <c r="H996" s="32"/>
      <c r="I996" s="10" t="str">
        <f t="shared" si="237"/>
        <v>21</v>
      </c>
      <c r="J996" s="11">
        <v>1</v>
      </c>
      <c r="K996" s="11"/>
      <c r="L996" s="11"/>
      <c r="M996" s="11">
        <f t="shared" si="241"/>
        <v>0</v>
      </c>
      <c r="N996" s="11"/>
      <c r="O996" s="11">
        <f t="shared" si="242"/>
        <v>0</v>
      </c>
      <c r="P996" s="11"/>
      <c r="Q996" s="11"/>
      <c r="R996" s="11"/>
      <c r="S996" s="11">
        <f t="shared" si="243"/>
        <v>0</v>
      </c>
      <c r="T996" s="11">
        <f t="shared" si="244"/>
        <v>1666.6666666666667</v>
      </c>
      <c r="U996" s="11">
        <f t="shared" si="245"/>
        <v>0</v>
      </c>
      <c r="V996" s="24">
        <f t="shared" si="246"/>
        <v>0</v>
      </c>
      <c r="W996" s="11">
        <f>IF(V996&lt;=40000,0,
IF(V996&lt;=55000,(V996-40000)*10%,
IF(V996&lt;=70000,(V996-55000)*15%+1500,
IF(V996&lt;=200000,(V996-70000)*20%+1500+2250,
IF(V996&lt;=400000,(V996-200000)*22.5%+1500+2250+26000,
IF(V996&lt;=600000,(V996-400000)*25%+1500+2250+26000+45000,
IF(AND(V996&gt;600000,V996&lt;=1200000),(V996-400000)*25%+1500+2250+26000+45000
+IFERROR(LOOKUP(V996,{600001;700001;800001;900001},{4000;6750;10250;15250}),0),IF(V996&gt;1200000,((V996-1200000)*27.5%)+300000,0)
)))))))</f>
        <v>0</v>
      </c>
      <c r="X996" s="12">
        <f t="shared" si="247"/>
        <v>0</v>
      </c>
      <c r="Y996" s="12">
        <f t="shared" si="248"/>
        <v>0</v>
      </c>
      <c r="Z996" s="11"/>
      <c r="AA996" s="13">
        <f t="shared" si="249"/>
        <v>0</v>
      </c>
      <c r="AB996" s="12">
        <f t="shared" si="250"/>
        <v>0</v>
      </c>
      <c r="AC996" s="14">
        <f t="shared" si="238"/>
        <v>0</v>
      </c>
      <c r="AE996" s="19">
        <f t="shared" si="251"/>
        <v>0</v>
      </c>
      <c r="AF996" s="19"/>
      <c r="AG996" s="17"/>
      <c r="AK996" s="7"/>
      <c r="AL996" s="108">
        <f t="shared" si="239"/>
        <v>0</v>
      </c>
      <c r="AM996" s="108">
        <f t="shared" si="240"/>
        <v>0</v>
      </c>
      <c r="AN996" s="113"/>
    </row>
    <row r="997" spans="2:40" x14ac:dyDescent="0.2">
      <c r="B997" s="7"/>
      <c r="C997" s="8"/>
      <c r="D997" s="8"/>
      <c r="E997" s="9"/>
      <c r="F997" s="6"/>
      <c r="G997" s="8"/>
      <c r="H997" s="32"/>
      <c r="I997" s="10" t="str">
        <f t="shared" si="237"/>
        <v>21</v>
      </c>
      <c r="J997" s="11">
        <v>1</v>
      </c>
      <c r="K997" s="11"/>
      <c r="L997" s="11"/>
      <c r="M997" s="11">
        <f t="shared" si="241"/>
        <v>0</v>
      </c>
      <c r="N997" s="11"/>
      <c r="O997" s="11">
        <f t="shared" si="242"/>
        <v>0</v>
      </c>
      <c r="P997" s="11"/>
      <c r="Q997" s="11"/>
      <c r="R997" s="11"/>
      <c r="S997" s="11">
        <f t="shared" si="243"/>
        <v>0</v>
      </c>
      <c r="T997" s="11">
        <f t="shared" si="244"/>
        <v>1666.6666666666667</v>
      </c>
      <c r="U997" s="11">
        <f t="shared" si="245"/>
        <v>0</v>
      </c>
      <c r="V997" s="24">
        <f t="shared" si="246"/>
        <v>0</v>
      </c>
      <c r="W997" s="11">
        <f>IF(V997&lt;=40000,0,
IF(V997&lt;=55000,(V997-40000)*10%,
IF(V997&lt;=70000,(V997-55000)*15%+1500,
IF(V997&lt;=200000,(V997-70000)*20%+1500+2250,
IF(V997&lt;=400000,(V997-200000)*22.5%+1500+2250+26000,
IF(V997&lt;=600000,(V997-400000)*25%+1500+2250+26000+45000,
IF(AND(V997&gt;600000,V997&lt;=1200000),(V997-400000)*25%+1500+2250+26000+45000
+IFERROR(LOOKUP(V997,{600001;700001;800001;900001},{4000;6750;10250;15250}),0),IF(V997&gt;1200000,((V997-1200000)*27.5%)+300000,0)
)))))))</f>
        <v>0</v>
      </c>
      <c r="X997" s="12">
        <f t="shared" si="247"/>
        <v>0</v>
      </c>
      <c r="Y997" s="12">
        <f t="shared" si="248"/>
        <v>0</v>
      </c>
      <c r="Z997" s="11"/>
      <c r="AA997" s="13">
        <f t="shared" si="249"/>
        <v>0</v>
      </c>
      <c r="AB997" s="12">
        <f t="shared" si="250"/>
        <v>0</v>
      </c>
      <c r="AC997" s="14">
        <f t="shared" si="238"/>
        <v>0</v>
      </c>
      <c r="AE997" s="19">
        <f t="shared" si="251"/>
        <v>0</v>
      </c>
      <c r="AF997" s="19"/>
      <c r="AG997" s="17"/>
      <c r="AK997" s="7"/>
      <c r="AL997" s="108">
        <f t="shared" si="239"/>
        <v>0</v>
      </c>
      <c r="AM997" s="108">
        <f t="shared" si="240"/>
        <v>0</v>
      </c>
      <c r="AN997" s="113"/>
    </row>
    <row r="998" spans="2:40" x14ac:dyDescent="0.2">
      <c r="B998" s="7"/>
      <c r="C998" s="8"/>
      <c r="D998" s="8"/>
      <c r="E998" s="9"/>
      <c r="F998" s="6"/>
      <c r="G998" s="8"/>
      <c r="H998" s="32"/>
      <c r="I998" s="10" t="str">
        <f t="shared" si="237"/>
        <v>21</v>
      </c>
      <c r="J998" s="11">
        <v>1</v>
      </c>
      <c r="K998" s="11"/>
      <c r="L998" s="11"/>
      <c r="M998" s="11">
        <f t="shared" si="241"/>
        <v>0</v>
      </c>
      <c r="N998" s="11"/>
      <c r="O998" s="11">
        <f t="shared" si="242"/>
        <v>0</v>
      </c>
      <c r="P998" s="11"/>
      <c r="Q998" s="11"/>
      <c r="R998" s="11"/>
      <c r="S998" s="11">
        <f t="shared" si="243"/>
        <v>0</v>
      </c>
      <c r="T998" s="11">
        <f t="shared" si="244"/>
        <v>1666.6666666666667</v>
      </c>
      <c r="U998" s="11">
        <f t="shared" si="245"/>
        <v>0</v>
      </c>
      <c r="V998" s="24">
        <f t="shared" si="246"/>
        <v>0</v>
      </c>
      <c r="W998" s="11">
        <f>IF(V998&lt;=40000,0,
IF(V998&lt;=55000,(V998-40000)*10%,
IF(V998&lt;=70000,(V998-55000)*15%+1500,
IF(V998&lt;=200000,(V998-70000)*20%+1500+2250,
IF(V998&lt;=400000,(V998-200000)*22.5%+1500+2250+26000,
IF(V998&lt;=600000,(V998-400000)*25%+1500+2250+26000+45000,
IF(AND(V998&gt;600000,V998&lt;=1200000),(V998-400000)*25%+1500+2250+26000+45000
+IFERROR(LOOKUP(V998,{600001;700001;800001;900001},{4000;6750;10250;15250}),0),IF(V998&gt;1200000,((V998-1200000)*27.5%)+300000,0)
)))))))</f>
        <v>0</v>
      </c>
      <c r="X998" s="12">
        <f t="shared" si="247"/>
        <v>0</v>
      </c>
      <c r="Y998" s="12">
        <f t="shared" si="248"/>
        <v>0</v>
      </c>
      <c r="Z998" s="11"/>
      <c r="AA998" s="13">
        <f t="shared" si="249"/>
        <v>0</v>
      </c>
      <c r="AB998" s="12">
        <f t="shared" si="250"/>
        <v>0</v>
      </c>
      <c r="AC998" s="14">
        <f t="shared" si="238"/>
        <v>0</v>
      </c>
      <c r="AE998" s="19">
        <f t="shared" si="251"/>
        <v>0</v>
      </c>
      <c r="AF998" s="19"/>
      <c r="AG998" s="17"/>
      <c r="AK998" s="7"/>
      <c r="AL998" s="108">
        <f t="shared" si="239"/>
        <v>0</v>
      </c>
      <c r="AM998" s="108">
        <f t="shared" si="240"/>
        <v>0</v>
      </c>
      <c r="AN998" s="113"/>
    </row>
    <row r="999" spans="2:40" x14ac:dyDescent="0.2">
      <c r="B999" s="7"/>
      <c r="C999" s="8"/>
      <c r="D999" s="8"/>
      <c r="E999" s="9"/>
      <c r="F999" s="6"/>
      <c r="G999" s="8"/>
      <c r="H999" s="32"/>
      <c r="I999" s="10" t="str">
        <f t="shared" si="237"/>
        <v>21</v>
      </c>
      <c r="J999" s="11">
        <v>1</v>
      </c>
      <c r="K999" s="11"/>
      <c r="L999" s="11"/>
      <c r="M999" s="11">
        <f t="shared" si="241"/>
        <v>0</v>
      </c>
      <c r="N999" s="11"/>
      <c r="O999" s="11">
        <f t="shared" si="242"/>
        <v>0</v>
      </c>
      <c r="P999" s="11"/>
      <c r="Q999" s="11"/>
      <c r="R999" s="11"/>
      <c r="S999" s="11">
        <f t="shared" si="243"/>
        <v>0</v>
      </c>
      <c r="T999" s="11">
        <f t="shared" si="244"/>
        <v>1666.6666666666667</v>
      </c>
      <c r="U999" s="11">
        <f t="shared" si="245"/>
        <v>0</v>
      </c>
      <c r="V999" s="24">
        <f t="shared" si="246"/>
        <v>0</v>
      </c>
      <c r="W999" s="11">
        <f>IF(V999&lt;=40000,0,
IF(V999&lt;=55000,(V999-40000)*10%,
IF(V999&lt;=70000,(V999-55000)*15%+1500,
IF(V999&lt;=200000,(V999-70000)*20%+1500+2250,
IF(V999&lt;=400000,(V999-200000)*22.5%+1500+2250+26000,
IF(V999&lt;=600000,(V999-400000)*25%+1500+2250+26000+45000,
IF(AND(V999&gt;600000,V999&lt;=1200000),(V999-400000)*25%+1500+2250+26000+45000
+IFERROR(LOOKUP(V999,{600001;700001;800001;900001},{4000;6750;10250;15250}),0),IF(V999&gt;1200000,((V999-1200000)*27.5%)+300000,0)
)))))))</f>
        <v>0</v>
      </c>
      <c r="X999" s="12">
        <f t="shared" si="247"/>
        <v>0</v>
      </c>
      <c r="Y999" s="12">
        <f t="shared" si="248"/>
        <v>0</v>
      </c>
      <c r="Z999" s="11"/>
      <c r="AA999" s="13">
        <f t="shared" si="249"/>
        <v>0</v>
      </c>
      <c r="AB999" s="12">
        <f t="shared" si="250"/>
        <v>0</v>
      </c>
      <c r="AC999" s="14">
        <f t="shared" si="238"/>
        <v>0</v>
      </c>
      <c r="AE999" s="19">
        <f t="shared" si="251"/>
        <v>0</v>
      </c>
      <c r="AF999" s="19"/>
      <c r="AG999" s="17"/>
      <c r="AK999" s="7"/>
      <c r="AL999" s="108">
        <f t="shared" si="239"/>
        <v>0</v>
      </c>
      <c r="AM999" s="108">
        <f t="shared" si="240"/>
        <v>0</v>
      </c>
      <c r="AN999" s="113"/>
    </row>
    <row r="1000" spans="2:40" x14ac:dyDescent="0.2">
      <c r="B1000" s="7"/>
      <c r="C1000" s="8"/>
      <c r="D1000" s="8"/>
      <c r="E1000" s="9"/>
      <c r="F1000" s="6"/>
      <c r="G1000" s="8"/>
      <c r="H1000" s="32"/>
      <c r="I1000" s="10" t="str">
        <f t="shared" si="237"/>
        <v>21</v>
      </c>
      <c r="J1000" s="11">
        <v>1</v>
      </c>
      <c r="K1000" s="11"/>
      <c r="L1000" s="11"/>
      <c r="M1000" s="11">
        <f t="shared" si="241"/>
        <v>0</v>
      </c>
      <c r="N1000" s="11"/>
      <c r="O1000" s="11">
        <f t="shared" si="242"/>
        <v>0</v>
      </c>
      <c r="P1000" s="11"/>
      <c r="Q1000" s="11"/>
      <c r="R1000" s="11"/>
      <c r="S1000" s="11">
        <f t="shared" si="243"/>
        <v>0</v>
      </c>
      <c r="T1000" s="11">
        <f t="shared" si="244"/>
        <v>1666.6666666666667</v>
      </c>
      <c r="U1000" s="11">
        <f t="shared" si="245"/>
        <v>0</v>
      </c>
      <c r="V1000" s="24">
        <f t="shared" si="246"/>
        <v>0</v>
      </c>
      <c r="W1000" s="11">
        <f>IF(V1000&lt;=40000,0,
IF(V1000&lt;=55000,(V1000-40000)*10%,
IF(V1000&lt;=70000,(V1000-55000)*15%+1500,
IF(V1000&lt;=200000,(V1000-70000)*20%+1500+2250,
IF(V1000&lt;=400000,(V1000-200000)*22.5%+1500+2250+26000,
IF(V1000&lt;=600000,(V1000-400000)*25%+1500+2250+26000+45000,
IF(AND(V1000&gt;600000,V1000&lt;=1200000),(V1000-400000)*25%+1500+2250+26000+45000
+IFERROR(LOOKUP(V1000,{600001;700001;800001;900001},{4000;6750;10250;15250}),0),IF(V1000&gt;1200000,((V1000-1200000)*27.5%)+300000,0)
)))))))</f>
        <v>0</v>
      </c>
      <c r="X1000" s="12">
        <f t="shared" si="247"/>
        <v>0</v>
      </c>
      <c r="Y1000" s="12">
        <f t="shared" si="248"/>
        <v>0</v>
      </c>
      <c r="Z1000" s="11"/>
      <c r="AA1000" s="13">
        <f t="shared" si="249"/>
        <v>0</v>
      </c>
      <c r="AB1000" s="12">
        <f t="shared" si="250"/>
        <v>0</v>
      </c>
      <c r="AC1000" s="14">
        <f t="shared" si="238"/>
        <v>0</v>
      </c>
      <c r="AE1000" s="19">
        <f t="shared" si="251"/>
        <v>0</v>
      </c>
      <c r="AF1000" s="19"/>
      <c r="AG1000" s="17"/>
      <c r="AK1000" s="7"/>
      <c r="AL1000" s="108">
        <f t="shared" si="239"/>
        <v>0</v>
      </c>
      <c r="AM1000" s="108">
        <f t="shared" si="240"/>
        <v>0</v>
      </c>
      <c r="AN1000" s="113"/>
    </row>
    <row r="1001" spans="2:40" x14ac:dyDescent="0.2">
      <c r="B1001" s="7"/>
      <c r="C1001" s="8"/>
      <c r="D1001" s="8"/>
      <c r="E1001" s="9"/>
      <c r="F1001" s="6"/>
      <c r="G1001" s="8"/>
      <c r="H1001" s="32"/>
      <c r="I1001" s="10" t="str">
        <f t="shared" si="237"/>
        <v>21</v>
      </c>
      <c r="J1001" s="11">
        <v>1</v>
      </c>
      <c r="K1001" s="11"/>
      <c r="L1001" s="11"/>
      <c r="M1001" s="11">
        <f t="shared" si="241"/>
        <v>0</v>
      </c>
      <c r="N1001" s="11"/>
      <c r="O1001" s="11">
        <f t="shared" si="242"/>
        <v>0</v>
      </c>
      <c r="P1001" s="11"/>
      <c r="Q1001" s="11"/>
      <c r="R1001" s="11"/>
      <c r="S1001" s="11">
        <f t="shared" si="243"/>
        <v>0</v>
      </c>
      <c r="T1001" s="11">
        <f t="shared" si="244"/>
        <v>1666.6666666666667</v>
      </c>
      <c r="U1001" s="11">
        <f t="shared" si="245"/>
        <v>0</v>
      </c>
      <c r="V1001" s="24">
        <f t="shared" si="246"/>
        <v>0</v>
      </c>
      <c r="W1001" s="11">
        <f>IF(V1001&lt;=40000,0,
IF(V1001&lt;=55000,(V1001-40000)*10%,
IF(V1001&lt;=70000,(V1001-55000)*15%+1500,
IF(V1001&lt;=200000,(V1001-70000)*20%+1500+2250,
IF(V1001&lt;=400000,(V1001-200000)*22.5%+1500+2250+26000,
IF(V1001&lt;=600000,(V1001-400000)*25%+1500+2250+26000+45000,
IF(AND(V1001&gt;600000,V1001&lt;=1200000),(V1001-400000)*25%+1500+2250+26000+45000
+IFERROR(LOOKUP(V1001,{600001;700001;800001;900001},{4000;6750;10250;15250}),0),IF(V1001&gt;1200000,((V1001-1200000)*27.5%)+300000,0)
)))))))</f>
        <v>0</v>
      </c>
      <c r="X1001" s="12">
        <f t="shared" si="247"/>
        <v>0</v>
      </c>
      <c r="Y1001" s="12">
        <f t="shared" si="248"/>
        <v>0</v>
      </c>
      <c r="Z1001" s="11"/>
      <c r="AA1001" s="13">
        <f t="shared" si="249"/>
        <v>0</v>
      </c>
      <c r="AB1001" s="12">
        <f t="shared" si="250"/>
        <v>0</v>
      </c>
      <c r="AC1001" s="14">
        <f t="shared" si="238"/>
        <v>0</v>
      </c>
      <c r="AE1001" s="19">
        <f t="shared" si="251"/>
        <v>0</v>
      </c>
      <c r="AF1001" s="19"/>
      <c r="AG1001" s="17"/>
      <c r="AK1001" s="7"/>
      <c r="AL1001" s="108">
        <f t="shared" si="239"/>
        <v>0</v>
      </c>
      <c r="AM1001" s="108">
        <f t="shared" si="240"/>
        <v>0</v>
      </c>
      <c r="AN1001" s="113"/>
    </row>
    <row r="1002" spans="2:40" x14ac:dyDescent="0.2">
      <c r="B1002" s="7"/>
      <c r="C1002" s="8"/>
      <c r="D1002" s="8"/>
      <c r="E1002" s="9"/>
      <c r="F1002" s="6"/>
      <c r="G1002" s="8"/>
      <c r="H1002" s="32"/>
      <c r="I1002" s="10" t="str">
        <f t="shared" si="237"/>
        <v>21</v>
      </c>
      <c r="J1002" s="11">
        <v>1</v>
      </c>
      <c r="K1002" s="11"/>
      <c r="L1002" s="11"/>
      <c r="M1002" s="11">
        <f t="shared" si="241"/>
        <v>0</v>
      </c>
      <c r="N1002" s="11"/>
      <c r="O1002" s="11">
        <f t="shared" si="242"/>
        <v>0</v>
      </c>
      <c r="P1002" s="11"/>
      <c r="Q1002" s="11"/>
      <c r="R1002" s="11"/>
      <c r="S1002" s="11">
        <f t="shared" si="243"/>
        <v>0</v>
      </c>
      <c r="T1002" s="11">
        <f t="shared" si="244"/>
        <v>1666.6666666666667</v>
      </c>
      <c r="U1002" s="11">
        <f t="shared" si="245"/>
        <v>0</v>
      </c>
      <c r="V1002" s="24">
        <f t="shared" si="246"/>
        <v>0</v>
      </c>
      <c r="W1002" s="11">
        <f>IF(V1002&lt;=40000,0,
IF(V1002&lt;=55000,(V1002-40000)*10%,
IF(V1002&lt;=70000,(V1002-55000)*15%+1500,
IF(V1002&lt;=200000,(V1002-70000)*20%+1500+2250,
IF(V1002&lt;=400000,(V1002-200000)*22.5%+1500+2250+26000,
IF(V1002&lt;=600000,(V1002-400000)*25%+1500+2250+26000+45000,
IF(AND(V1002&gt;600000,V1002&lt;=1200000),(V1002-400000)*25%+1500+2250+26000+45000
+IFERROR(LOOKUP(V1002,{600001;700001;800001;900001},{4000;6750;10250;15250}),0),IF(V1002&gt;1200000,((V1002-1200000)*27.5%)+300000,0)
)))))))</f>
        <v>0</v>
      </c>
      <c r="X1002" s="12">
        <f t="shared" si="247"/>
        <v>0</v>
      </c>
      <c r="Y1002" s="12">
        <f t="shared" si="248"/>
        <v>0</v>
      </c>
      <c r="Z1002" s="11"/>
      <c r="AA1002" s="13">
        <f t="shared" si="249"/>
        <v>0</v>
      </c>
      <c r="AB1002" s="12">
        <f t="shared" si="250"/>
        <v>0</v>
      </c>
      <c r="AC1002" s="14">
        <f t="shared" si="238"/>
        <v>0</v>
      </c>
      <c r="AE1002" s="19">
        <f t="shared" si="251"/>
        <v>0</v>
      </c>
      <c r="AF1002" s="19"/>
      <c r="AG1002" s="17"/>
      <c r="AK1002" s="7"/>
      <c r="AL1002" s="108">
        <f t="shared" si="239"/>
        <v>0</v>
      </c>
      <c r="AM1002" s="108">
        <f t="shared" si="240"/>
        <v>0</v>
      </c>
      <c r="AN1002" s="113"/>
    </row>
    <row r="1003" spans="2:40" x14ac:dyDescent="0.2">
      <c r="B1003" s="7"/>
      <c r="C1003" s="8"/>
      <c r="D1003" s="8"/>
      <c r="E1003" s="9"/>
      <c r="F1003" s="6"/>
      <c r="G1003" s="8"/>
      <c r="H1003" s="32"/>
      <c r="I1003" s="10" t="str">
        <f t="shared" si="237"/>
        <v>21</v>
      </c>
      <c r="J1003" s="11">
        <v>1</v>
      </c>
      <c r="K1003" s="11"/>
      <c r="L1003" s="11"/>
      <c r="M1003" s="11">
        <f t="shared" si="241"/>
        <v>0</v>
      </c>
      <c r="N1003" s="11"/>
      <c r="O1003" s="11">
        <f t="shared" si="242"/>
        <v>0</v>
      </c>
      <c r="P1003" s="11"/>
      <c r="Q1003" s="11"/>
      <c r="R1003" s="11"/>
      <c r="S1003" s="11">
        <f t="shared" si="243"/>
        <v>0</v>
      </c>
      <c r="T1003" s="11">
        <f t="shared" si="244"/>
        <v>1666.6666666666667</v>
      </c>
      <c r="U1003" s="11">
        <f t="shared" si="245"/>
        <v>0</v>
      </c>
      <c r="V1003" s="24">
        <f t="shared" si="246"/>
        <v>0</v>
      </c>
      <c r="W1003" s="11">
        <f>IF(V1003&lt;=40000,0,
IF(V1003&lt;=55000,(V1003-40000)*10%,
IF(V1003&lt;=70000,(V1003-55000)*15%+1500,
IF(V1003&lt;=200000,(V1003-70000)*20%+1500+2250,
IF(V1003&lt;=400000,(V1003-200000)*22.5%+1500+2250+26000,
IF(V1003&lt;=600000,(V1003-400000)*25%+1500+2250+26000+45000,
IF(AND(V1003&gt;600000,V1003&lt;=1200000),(V1003-400000)*25%+1500+2250+26000+45000
+IFERROR(LOOKUP(V1003,{600001;700001;800001;900001},{4000;6750;10250;15250}),0),IF(V1003&gt;1200000,((V1003-1200000)*27.5%)+300000,0)
)))))))</f>
        <v>0</v>
      </c>
      <c r="X1003" s="12">
        <f t="shared" si="247"/>
        <v>0</v>
      </c>
      <c r="Y1003" s="12">
        <f t="shared" si="248"/>
        <v>0</v>
      </c>
      <c r="Z1003" s="11"/>
      <c r="AA1003" s="13">
        <f t="shared" si="249"/>
        <v>0</v>
      </c>
      <c r="AB1003" s="12">
        <f t="shared" si="250"/>
        <v>0</v>
      </c>
      <c r="AC1003" s="14">
        <f t="shared" si="238"/>
        <v>0</v>
      </c>
      <c r="AE1003" s="19">
        <f t="shared" si="251"/>
        <v>0</v>
      </c>
      <c r="AF1003" s="19"/>
      <c r="AG1003" s="17"/>
      <c r="AK1003" s="7"/>
      <c r="AL1003" s="108">
        <f t="shared" si="239"/>
        <v>0</v>
      </c>
      <c r="AM1003" s="108">
        <f t="shared" si="240"/>
        <v>0</v>
      </c>
      <c r="AN1003" s="113"/>
    </row>
    <row r="1004" spans="2:40" x14ac:dyDescent="0.2">
      <c r="B1004" s="7"/>
      <c r="C1004" s="8"/>
      <c r="D1004" s="8"/>
      <c r="E1004" s="9"/>
      <c r="F1004" s="6"/>
      <c r="G1004" s="8"/>
      <c r="H1004" s="32"/>
      <c r="I1004" s="10" t="str">
        <f t="shared" si="237"/>
        <v>21</v>
      </c>
      <c r="J1004" s="11">
        <v>1</v>
      </c>
      <c r="K1004" s="11"/>
      <c r="L1004" s="11"/>
      <c r="M1004" s="11">
        <f t="shared" si="241"/>
        <v>0</v>
      </c>
      <c r="N1004" s="11"/>
      <c r="O1004" s="11">
        <f t="shared" si="242"/>
        <v>0</v>
      </c>
      <c r="P1004" s="11"/>
      <c r="Q1004" s="11"/>
      <c r="R1004" s="11"/>
      <c r="S1004" s="11">
        <f t="shared" si="243"/>
        <v>0</v>
      </c>
      <c r="T1004" s="11">
        <f t="shared" si="244"/>
        <v>1666.6666666666667</v>
      </c>
      <c r="U1004" s="11">
        <f t="shared" si="245"/>
        <v>0</v>
      </c>
      <c r="V1004" s="24">
        <f t="shared" si="246"/>
        <v>0</v>
      </c>
      <c r="W1004" s="11">
        <f>IF(V1004&lt;=40000,0,
IF(V1004&lt;=55000,(V1004-40000)*10%,
IF(V1004&lt;=70000,(V1004-55000)*15%+1500,
IF(V1004&lt;=200000,(V1004-70000)*20%+1500+2250,
IF(V1004&lt;=400000,(V1004-200000)*22.5%+1500+2250+26000,
IF(V1004&lt;=600000,(V1004-400000)*25%+1500+2250+26000+45000,
IF(AND(V1004&gt;600000,V1004&lt;=1200000),(V1004-400000)*25%+1500+2250+26000+45000
+IFERROR(LOOKUP(V1004,{600001;700001;800001;900001},{4000;6750;10250;15250}),0),IF(V1004&gt;1200000,((V1004-1200000)*27.5%)+300000,0)
)))))))</f>
        <v>0</v>
      </c>
      <c r="X1004" s="12">
        <f t="shared" si="247"/>
        <v>0</v>
      </c>
      <c r="Y1004" s="12">
        <f t="shared" si="248"/>
        <v>0</v>
      </c>
      <c r="Z1004" s="11"/>
      <c r="AA1004" s="13">
        <f t="shared" si="249"/>
        <v>0</v>
      </c>
      <c r="AB1004" s="12">
        <f t="shared" si="250"/>
        <v>0</v>
      </c>
      <c r="AC1004" s="14">
        <f t="shared" si="238"/>
        <v>0</v>
      </c>
      <c r="AE1004" s="19">
        <f t="shared" si="251"/>
        <v>0</v>
      </c>
      <c r="AF1004" s="19"/>
      <c r="AG1004" s="17"/>
      <c r="AK1004" s="7"/>
      <c r="AL1004" s="108">
        <f t="shared" si="239"/>
        <v>0</v>
      </c>
      <c r="AM1004" s="108">
        <f t="shared" si="240"/>
        <v>0</v>
      </c>
      <c r="AN1004" s="113"/>
    </row>
    <row r="1005" spans="2:40" x14ac:dyDescent="0.2">
      <c r="B1005" s="7"/>
      <c r="C1005" s="8"/>
      <c r="D1005" s="8"/>
      <c r="E1005" s="9"/>
      <c r="F1005" s="6"/>
      <c r="G1005" s="8"/>
      <c r="H1005" s="32"/>
      <c r="I1005" s="10" t="str">
        <f t="shared" si="237"/>
        <v>21</v>
      </c>
      <c r="J1005" s="11">
        <v>1</v>
      </c>
      <c r="K1005" s="11"/>
      <c r="L1005" s="11"/>
      <c r="M1005" s="11">
        <f t="shared" si="241"/>
        <v>0</v>
      </c>
      <c r="N1005" s="11"/>
      <c r="O1005" s="11">
        <f t="shared" si="242"/>
        <v>0</v>
      </c>
      <c r="P1005" s="11"/>
      <c r="Q1005" s="11"/>
      <c r="R1005" s="11"/>
      <c r="S1005" s="11">
        <f t="shared" si="243"/>
        <v>0</v>
      </c>
      <c r="T1005" s="11">
        <f t="shared" si="244"/>
        <v>1666.6666666666667</v>
      </c>
      <c r="U1005" s="11">
        <f t="shared" si="245"/>
        <v>0</v>
      </c>
      <c r="V1005" s="24">
        <f t="shared" si="246"/>
        <v>0</v>
      </c>
      <c r="W1005" s="11">
        <f>IF(V1005&lt;=40000,0,
IF(V1005&lt;=55000,(V1005-40000)*10%,
IF(V1005&lt;=70000,(V1005-55000)*15%+1500,
IF(V1005&lt;=200000,(V1005-70000)*20%+1500+2250,
IF(V1005&lt;=400000,(V1005-200000)*22.5%+1500+2250+26000,
IF(V1005&lt;=600000,(V1005-400000)*25%+1500+2250+26000+45000,
IF(AND(V1005&gt;600000,V1005&lt;=1200000),(V1005-400000)*25%+1500+2250+26000+45000
+IFERROR(LOOKUP(V1005,{600001;700001;800001;900001},{4000;6750;10250;15250}),0),IF(V1005&gt;1200000,((V1005-1200000)*27.5%)+300000,0)
)))))))</f>
        <v>0</v>
      </c>
      <c r="X1005" s="12">
        <f t="shared" si="247"/>
        <v>0</v>
      </c>
      <c r="Y1005" s="12">
        <f t="shared" si="248"/>
        <v>0</v>
      </c>
      <c r="Z1005" s="11"/>
      <c r="AA1005" s="13">
        <f t="shared" si="249"/>
        <v>0</v>
      </c>
      <c r="AB1005" s="12">
        <f t="shared" si="250"/>
        <v>0</v>
      </c>
      <c r="AC1005" s="14">
        <f t="shared" si="238"/>
        <v>0</v>
      </c>
      <c r="AE1005" s="19">
        <f t="shared" si="251"/>
        <v>0</v>
      </c>
      <c r="AF1005" s="19"/>
      <c r="AG1005" s="17"/>
      <c r="AK1005" s="7"/>
      <c r="AL1005" s="108">
        <f t="shared" si="239"/>
        <v>0</v>
      </c>
      <c r="AM1005" s="108">
        <f t="shared" si="240"/>
        <v>0</v>
      </c>
      <c r="AN1005" s="113"/>
    </row>
    <row r="1006" spans="2:40" x14ac:dyDescent="0.2">
      <c r="B1006" s="7"/>
      <c r="C1006" s="8"/>
      <c r="D1006" s="8"/>
      <c r="E1006" s="9"/>
      <c r="F1006" s="6"/>
      <c r="G1006" s="8"/>
      <c r="H1006" s="32"/>
      <c r="I1006" s="10" t="str">
        <f t="shared" si="237"/>
        <v>21</v>
      </c>
      <c r="J1006" s="11">
        <v>1</v>
      </c>
      <c r="K1006" s="11"/>
      <c r="L1006" s="11"/>
      <c r="M1006" s="11">
        <f t="shared" si="241"/>
        <v>0</v>
      </c>
      <c r="N1006" s="11"/>
      <c r="O1006" s="11">
        <f t="shared" si="242"/>
        <v>0</v>
      </c>
      <c r="P1006" s="11"/>
      <c r="Q1006" s="11"/>
      <c r="R1006" s="11"/>
      <c r="S1006" s="11">
        <f t="shared" si="243"/>
        <v>0</v>
      </c>
      <c r="T1006" s="11">
        <f t="shared" si="244"/>
        <v>1666.6666666666667</v>
      </c>
      <c r="U1006" s="11">
        <f t="shared" si="245"/>
        <v>0</v>
      </c>
      <c r="V1006" s="24">
        <f t="shared" si="246"/>
        <v>0</v>
      </c>
      <c r="W1006" s="11">
        <f>IF(V1006&lt;=40000,0,
IF(V1006&lt;=55000,(V1006-40000)*10%,
IF(V1006&lt;=70000,(V1006-55000)*15%+1500,
IF(V1006&lt;=200000,(V1006-70000)*20%+1500+2250,
IF(V1006&lt;=400000,(V1006-200000)*22.5%+1500+2250+26000,
IF(V1006&lt;=600000,(V1006-400000)*25%+1500+2250+26000+45000,
IF(AND(V1006&gt;600000,V1006&lt;=1200000),(V1006-400000)*25%+1500+2250+26000+45000
+IFERROR(LOOKUP(V1006,{600001;700001;800001;900001},{4000;6750;10250;15250}),0),IF(V1006&gt;1200000,((V1006-1200000)*27.5%)+300000,0)
)))))))</f>
        <v>0</v>
      </c>
      <c r="X1006" s="12">
        <f t="shared" si="247"/>
        <v>0</v>
      </c>
      <c r="Y1006" s="12">
        <f t="shared" si="248"/>
        <v>0</v>
      </c>
      <c r="Z1006" s="11"/>
      <c r="AA1006" s="13">
        <f t="shared" si="249"/>
        <v>0</v>
      </c>
      <c r="AB1006" s="12">
        <f t="shared" si="250"/>
        <v>0</v>
      </c>
      <c r="AC1006" s="14">
        <f t="shared" si="238"/>
        <v>0</v>
      </c>
      <c r="AE1006" s="19">
        <f t="shared" si="251"/>
        <v>0</v>
      </c>
      <c r="AF1006" s="19"/>
      <c r="AG1006" s="17"/>
      <c r="AK1006" s="7"/>
      <c r="AL1006" s="108">
        <f t="shared" si="239"/>
        <v>0</v>
      </c>
      <c r="AM1006" s="108">
        <f t="shared" si="240"/>
        <v>0</v>
      </c>
      <c r="AN1006" s="113"/>
    </row>
    <row r="1007" spans="2:40" x14ac:dyDescent="0.2">
      <c r="B1007" s="7"/>
      <c r="C1007" s="8"/>
      <c r="D1007" s="8"/>
      <c r="E1007" s="9"/>
      <c r="F1007" s="6"/>
      <c r="G1007" s="8"/>
      <c r="H1007" s="32"/>
      <c r="I1007" s="10" t="str">
        <f t="shared" si="237"/>
        <v>21</v>
      </c>
      <c r="J1007" s="11">
        <v>1</v>
      </c>
      <c r="K1007" s="11"/>
      <c r="L1007" s="11"/>
      <c r="M1007" s="11">
        <f t="shared" si="241"/>
        <v>0</v>
      </c>
      <c r="N1007" s="11"/>
      <c r="O1007" s="11">
        <f t="shared" si="242"/>
        <v>0</v>
      </c>
      <c r="P1007" s="11"/>
      <c r="Q1007" s="11"/>
      <c r="R1007" s="11"/>
      <c r="S1007" s="11">
        <f t="shared" si="243"/>
        <v>0</v>
      </c>
      <c r="T1007" s="11">
        <f t="shared" si="244"/>
        <v>1666.6666666666667</v>
      </c>
      <c r="U1007" s="11">
        <f t="shared" si="245"/>
        <v>0</v>
      </c>
      <c r="V1007" s="24">
        <f t="shared" si="246"/>
        <v>0</v>
      </c>
      <c r="W1007" s="11">
        <f>IF(V1007&lt;=40000,0,
IF(V1007&lt;=55000,(V1007-40000)*10%,
IF(V1007&lt;=70000,(V1007-55000)*15%+1500,
IF(V1007&lt;=200000,(V1007-70000)*20%+1500+2250,
IF(V1007&lt;=400000,(V1007-200000)*22.5%+1500+2250+26000,
IF(V1007&lt;=600000,(V1007-400000)*25%+1500+2250+26000+45000,
IF(AND(V1007&gt;600000,V1007&lt;=1200000),(V1007-400000)*25%+1500+2250+26000+45000
+IFERROR(LOOKUP(V1007,{600001;700001;800001;900001},{4000;6750;10250;15250}),0),IF(V1007&gt;1200000,((V1007-1200000)*27.5%)+300000,0)
)))))))</f>
        <v>0</v>
      </c>
      <c r="X1007" s="12">
        <f t="shared" si="247"/>
        <v>0</v>
      </c>
      <c r="Y1007" s="12">
        <f t="shared" si="248"/>
        <v>0</v>
      </c>
      <c r="Z1007" s="11"/>
      <c r="AA1007" s="13">
        <f t="shared" si="249"/>
        <v>0</v>
      </c>
      <c r="AB1007" s="12">
        <f t="shared" si="250"/>
        <v>0</v>
      </c>
      <c r="AC1007" s="14">
        <f t="shared" si="238"/>
        <v>0</v>
      </c>
      <c r="AE1007" s="19">
        <f t="shared" si="251"/>
        <v>0</v>
      </c>
      <c r="AF1007" s="19"/>
      <c r="AG1007" s="17"/>
      <c r="AK1007" s="7"/>
      <c r="AL1007" s="108">
        <f t="shared" si="239"/>
        <v>0</v>
      </c>
      <c r="AM1007" s="108">
        <f t="shared" si="240"/>
        <v>0</v>
      </c>
      <c r="AN1007" s="113"/>
    </row>
    <row r="1008" spans="2:40" x14ac:dyDescent="0.2">
      <c r="B1008" s="7"/>
      <c r="C1008" s="8"/>
      <c r="D1008" s="8"/>
      <c r="E1008" s="9"/>
      <c r="F1008" s="6"/>
      <c r="G1008" s="8"/>
      <c r="H1008" s="32"/>
      <c r="I1008" s="10" t="str">
        <f t="shared" si="237"/>
        <v>21</v>
      </c>
      <c r="J1008" s="11">
        <v>1</v>
      </c>
      <c r="K1008" s="11"/>
      <c r="L1008" s="11"/>
      <c r="M1008" s="11">
        <f t="shared" si="241"/>
        <v>0</v>
      </c>
      <c r="N1008" s="11"/>
      <c r="O1008" s="11">
        <f t="shared" si="242"/>
        <v>0</v>
      </c>
      <c r="P1008" s="11"/>
      <c r="Q1008" s="11"/>
      <c r="R1008" s="11"/>
      <c r="S1008" s="11">
        <f t="shared" si="243"/>
        <v>0</v>
      </c>
      <c r="T1008" s="11">
        <f t="shared" si="244"/>
        <v>1666.6666666666667</v>
      </c>
      <c r="U1008" s="11">
        <f t="shared" si="245"/>
        <v>0</v>
      </c>
      <c r="V1008" s="24">
        <f t="shared" si="246"/>
        <v>0</v>
      </c>
      <c r="W1008" s="11">
        <f>IF(V1008&lt;=40000,0,
IF(V1008&lt;=55000,(V1008-40000)*10%,
IF(V1008&lt;=70000,(V1008-55000)*15%+1500,
IF(V1008&lt;=200000,(V1008-70000)*20%+1500+2250,
IF(V1008&lt;=400000,(V1008-200000)*22.5%+1500+2250+26000,
IF(V1008&lt;=600000,(V1008-400000)*25%+1500+2250+26000+45000,
IF(AND(V1008&gt;600000,V1008&lt;=1200000),(V1008-400000)*25%+1500+2250+26000+45000
+IFERROR(LOOKUP(V1008,{600001;700001;800001;900001},{4000;6750;10250;15250}),0),IF(V1008&gt;1200000,((V1008-1200000)*27.5%)+300000,0)
)))))))</f>
        <v>0</v>
      </c>
      <c r="X1008" s="12">
        <f t="shared" si="247"/>
        <v>0</v>
      </c>
      <c r="Y1008" s="12">
        <f t="shared" si="248"/>
        <v>0</v>
      </c>
      <c r="Z1008" s="11"/>
      <c r="AA1008" s="13">
        <f t="shared" si="249"/>
        <v>0</v>
      </c>
      <c r="AB1008" s="12">
        <f t="shared" si="250"/>
        <v>0</v>
      </c>
      <c r="AC1008" s="14">
        <f t="shared" si="238"/>
        <v>0</v>
      </c>
      <c r="AE1008" s="19">
        <f t="shared" si="251"/>
        <v>0</v>
      </c>
      <c r="AF1008" s="19"/>
      <c r="AG1008" s="17"/>
      <c r="AK1008" s="7"/>
      <c r="AL1008" s="108">
        <f t="shared" si="239"/>
        <v>0</v>
      </c>
      <c r="AM1008" s="108">
        <f t="shared" si="240"/>
        <v>0</v>
      </c>
      <c r="AN1008" s="113"/>
    </row>
    <row r="1009" spans="2:40" x14ac:dyDescent="0.2">
      <c r="B1009" s="7"/>
      <c r="C1009" s="8"/>
      <c r="D1009" s="8"/>
      <c r="E1009" s="9"/>
      <c r="F1009" s="6"/>
      <c r="G1009" s="8"/>
      <c r="H1009" s="32"/>
      <c r="I1009" s="10" t="str">
        <f t="shared" si="237"/>
        <v>21</v>
      </c>
      <c r="J1009" s="11">
        <v>1</v>
      </c>
      <c r="K1009" s="11"/>
      <c r="L1009" s="11"/>
      <c r="M1009" s="11">
        <f t="shared" si="241"/>
        <v>0</v>
      </c>
      <c r="N1009" s="11"/>
      <c r="O1009" s="11">
        <f t="shared" si="242"/>
        <v>0</v>
      </c>
      <c r="P1009" s="11"/>
      <c r="Q1009" s="11"/>
      <c r="R1009" s="11"/>
      <c r="S1009" s="11">
        <f t="shared" si="243"/>
        <v>0</v>
      </c>
      <c r="T1009" s="11">
        <f t="shared" si="244"/>
        <v>1666.6666666666667</v>
      </c>
      <c r="U1009" s="11">
        <f t="shared" si="245"/>
        <v>0</v>
      </c>
      <c r="V1009" s="24">
        <f t="shared" si="246"/>
        <v>0</v>
      </c>
      <c r="W1009" s="11">
        <f>IF(V1009&lt;=40000,0,
IF(V1009&lt;=55000,(V1009-40000)*10%,
IF(V1009&lt;=70000,(V1009-55000)*15%+1500,
IF(V1009&lt;=200000,(V1009-70000)*20%+1500+2250,
IF(V1009&lt;=400000,(V1009-200000)*22.5%+1500+2250+26000,
IF(V1009&lt;=600000,(V1009-400000)*25%+1500+2250+26000+45000,
IF(AND(V1009&gt;600000,V1009&lt;=1200000),(V1009-400000)*25%+1500+2250+26000+45000
+IFERROR(LOOKUP(V1009,{600001;700001;800001;900001},{4000;6750;10250;15250}),0),IF(V1009&gt;1200000,((V1009-1200000)*27.5%)+300000,0)
)))))))</f>
        <v>0</v>
      </c>
      <c r="X1009" s="12">
        <f t="shared" si="247"/>
        <v>0</v>
      </c>
      <c r="Y1009" s="12">
        <f t="shared" si="248"/>
        <v>0</v>
      </c>
      <c r="Z1009" s="11"/>
      <c r="AA1009" s="13">
        <f t="shared" si="249"/>
        <v>0</v>
      </c>
      <c r="AB1009" s="12">
        <f t="shared" si="250"/>
        <v>0</v>
      </c>
      <c r="AC1009" s="14">
        <f t="shared" si="238"/>
        <v>0</v>
      </c>
      <c r="AE1009" s="19">
        <f t="shared" si="251"/>
        <v>0</v>
      </c>
      <c r="AF1009" s="19"/>
      <c r="AG1009" s="17"/>
      <c r="AK1009" s="7"/>
      <c r="AL1009" s="108">
        <f t="shared" si="239"/>
        <v>0</v>
      </c>
      <c r="AM1009" s="108">
        <f t="shared" si="240"/>
        <v>0</v>
      </c>
      <c r="AN1009" s="113"/>
    </row>
    <row r="1010" spans="2:40" x14ac:dyDescent="0.2">
      <c r="B1010" s="7"/>
      <c r="C1010" s="8"/>
      <c r="D1010" s="8"/>
      <c r="E1010" s="9"/>
      <c r="F1010" s="6"/>
      <c r="G1010" s="8"/>
      <c r="H1010" s="32"/>
      <c r="I1010" s="10" t="str">
        <f t="shared" si="237"/>
        <v>21</v>
      </c>
      <c r="J1010" s="11">
        <v>1</v>
      </c>
      <c r="K1010" s="11"/>
      <c r="L1010" s="11"/>
      <c r="M1010" s="11">
        <f t="shared" si="241"/>
        <v>0</v>
      </c>
      <c r="N1010" s="11"/>
      <c r="O1010" s="11">
        <f t="shared" si="242"/>
        <v>0</v>
      </c>
      <c r="P1010" s="11"/>
      <c r="Q1010" s="11"/>
      <c r="R1010" s="11"/>
      <c r="S1010" s="11">
        <f t="shared" si="243"/>
        <v>0</v>
      </c>
      <c r="T1010" s="11">
        <f t="shared" si="244"/>
        <v>1666.6666666666667</v>
      </c>
      <c r="U1010" s="11">
        <f t="shared" si="245"/>
        <v>0</v>
      </c>
      <c r="V1010" s="24">
        <f t="shared" si="246"/>
        <v>0</v>
      </c>
      <c r="W1010" s="11">
        <f>IF(V1010&lt;=40000,0,
IF(V1010&lt;=55000,(V1010-40000)*10%,
IF(V1010&lt;=70000,(V1010-55000)*15%+1500,
IF(V1010&lt;=200000,(V1010-70000)*20%+1500+2250,
IF(V1010&lt;=400000,(V1010-200000)*22.5%+1500+2250+26000,
IF(V1010&lt;=600000,(V1010-400000)*25%+1500+2250+26000+45000,
IF(AND(V1010&gt;600000,V1010&lt;=1200000),(V1010-400000)*25%+1500+2250+26000+45000
+IFERROR(LOOKUP(V1010,{600001;700001;800001;900001},{4000;6750;10250;15250}),0),IF(V1010&gt;1200000,((V1010-1200000)*27.5%)+300000,0)
)))))))</f>
        <v>0</v>
      </c>
      <c r="X1010" s="12">
        <f t="shared" si="247"/>
        <v>0</v>
      </c>
      <c r="Y1010" s="12">
        <f t="shared" si="248"/>
        <v>0</v>
      </c>
      <c r="Z1010" s="11"/>
      <c r="AA1010" s="13">
        <f t="shared" si="249"/>
        <v>0</v>
      </c>
      <c r="AB1010" s="12">
        <f t="shared" si="250"/>
        <v>0</v>
      </c>
      <c r="AC1010" s="14">
        <f t="shared" si="238"/>
        <v>0</v>
      </c>
      <c r="AE1010" s="19">
        <f t="shared" si="251"/>
        <v>0</v>
      </c>
      <c r="AF1010" s="19"/>
      <c r="AG1010" s="17"/>
      <c r="AK1010" s="7"/>
      <c r="AL1010" s="108">
        <f t="shared" si="239"/>
        <v>0</v>
      </c>
      <c r="AM1010" s="108">
        <f t="shared" si="240"/>
        <v>0</v>
      </c>
      <c r="AN1010" s="113"/>
    </row>
    <row r="1011" spans="2:40" x14ac:dyDescent="0.2">
      <c r="B1011" s="7"/>
      <c r="C1011" s="8"/>
      <c r="D1011" s="8"/>
      <c r="E1011" s="9"/>
      <c r="F1011" s="6"/>
      <c r="G1011" s="8"/>
      <c r="H1011" s="32"/>
      <c r="I1011" s="10" t="str">
        <f t="shared" si="237"/>
        <v>21</v>
      </c>
      <c r="J1011" s="11">
        <v>1</v>
      </c>
      <c r="K1011" s="11"/>
      <c r="L1011" s="11"/>
      <c r="M1011" s="11">
        <f t="shared" si="241"/>
        <v>0</v>
      </c>
      <c r="N1011" s="11"/>
      <c r="O1011" s="11">
        <f t="shared" si="242"/>
        <v>0</v>
      </c>
      <c r="P1011" s="11"/>
      <c r="Q1011" s="11"/>
      <c r="R1011" s="11"/>
      <c r="S1011" s="11">
        <f t="shared" si="243"/>
        <v>0</v>
      </c>
      <c r="T1011" s="11">
        <f t="shared" si="244"/>
        <v>1666.6666666666667</v>
      </c>
      <c r="U1011" s="11">
        <f t="shared" si="245"/>
        <v>0</v>
      </c>
      <c r="V1011" s="24">
        <f t="shared" si="246"/>
        <v>0</v>
      </c>
      <c r="W1011" s="11">
        <f>IF(V1011&lt;=40000,0,
IF(V1011&lt;=55000,(V1011-40000)*10%,
IF(V1011&lt;=70000,(V1011-55000)*15%+1500,
IF(V1011&lt;=200000,(V1011-70000)*20%+1500+2250,
IF(V1011&lt;=400000,(V1011-200000)*22.5%+1500+2250+26000,
IF(V1011&lt;=600000,(V1011-400000)*25%+1500+2250+26000+45000,
IF(AND(V1011&gt;600000,V1011&lt;=1200000),(V1011-400000)*25%+1500+2250+26000+45000
+IFERROR(LOOKUP(V1011,{600001;700001;800001;900001},{4000;6750;10250;15250}),0),IF(V1011&gt;1200000,((V1011-1200000)*27.5%)+300000,0)
)))))))</f>
        <v>0</v>
      </c>
      <c r="X1011" s="12">
        <f t="shared" si="247"/>
        <v>0</v>
      </c>
      <c r="Y1011" s="12">
        <f t="shared" si="248"/>
        <v>0</v>
      </c>
      <c r="Z1011" s="11"/>
      <c r="AA1011" s="13">
        <f t="shared" si="249"/>
        <v>0</v>
      </c>
      <c r="AB1011" s="12">
        <f t="shared" si="250"/>
        <v>0</v>
      </c>
      <c r="AC1011" s="14">
        <f t="shared" si="238"/>
        <v>0</v>
      </c>
      <c r="AE1011" s="19">
        <f t="shared" si="251"/>
        <v>0</v>
      </c>
      <c r="AF1011" s="19"/>
      <c r="AG1011" s="17"/>
      <c r="AK1011" s="7"/>
      <c r="AL1011" s="108">
        <f t="shared" si="239"/>
        <v>0</v>
      </c>
      <c r="AM1011" s="108">
        <f t="shared" si="240"/>
        <v>0</v>
      </c>
      <c r="AN1011" s="113"/>
    </row>
    <row r="1012" spans="2:40" x14ac:dyDescent="0.2">
      <c r="B1012" s="7"/>
      <c r="C1012" s="8"/>
      <c r="D1012" s="8"/>
      <c r="E1012" s="9"/>
      <c r="F1012" s="6"/>
      <c r="G1012" s="8"/>
      <c r="H1012" s="32"/>
      <c r="I1012" s="10" t="str">
        <f t="shared" si="237"/>
        <v>21</v>
      </c>
      <c r="J1012" s="11">
        <v>1</v>
      </c>
      <c r="K1012" s="11"/>
      <c r="L1012" s="11"/>
      <c r="M1012" s="11">
        <f t="shared" si="241"/>
        <v>0</v>
      </c>
      <c r="N1012" s="11"/>
      <c r="O1012" s="11">
        <f t="shared" si="242"/>
        <v>0</v>
      </c>
      <c r="P1012" s="11"/>
      <c r="Q1012" s="11"/>
      <c r="R1012" s="11"/>
      <c r="S1012" s="11">
        <f t="shared" si="243"/>
        <v>0</v>
      </c>
      <c r="T1012" s="11">
        <f t="shared" si="244"/>
        <v>1666.6666666666667</v>
      </c>
      <c r="U1012" s="11">
        <f t="shared" si="245"/>
        <v>0</v>
      </c>
      <c r="V1012" s="24">
        <f t="shared" si="246"/>
        <v>0</v>
      </c>
      <c r="W1012" s="11">
        <f>IF(V1012&lt;=40000,0,
IF(V1012&lt;=55000,(V1012-40000)*10%,
IF(V1012&lt;=70000,(V1012-55000)*15%+1500,
IF(V1012&lt;=200000,(V1012-70000)*20%+1500+2250,
IF(V1012&lt;=400000,(V1012-200000)*22.5%+1500+2250+26000,
IF(V1012&lt;=600000,(V1012-400000)*25%+1500+2250+26000+45000,
IF(AND(V1012&gt;600000,V1012&lt;=1200000),(V1012-400000)*25%+1500+2250+26000+45000
+IFERROR(LOOKUP(V1012,{600001;700001;800001;900001},{4000;6750;10250;15250}),0),IF(V1012&gt;1200000,((V1012-1200000)*27.5%)+300000,0)
)))))))</f>
        <v>0</v>
      </c>
      <c r="X1012" s="12">
        <f t="shared" si="247"/>
        <v>0</v>
      </c>
      <c r="Y1012" s="12">
        <f t="shared" si="248"/>
        <v>0</v>
      </c>
      <c r="Z1012" s="11"/>
      <c r="AA1012" s="13">
        <f t="shared" si="249"/>
        <v>0</v>
      </c>
      <c r="AB1012" s="12">
        <f t="shared" si="250"/>
        <v>0</v>
      </c>
      <c r="AC1012" s="14">
        <f t="shared" si="238"/>
        <v>0</v>
      </c>
      <c r="AE1012" s="19">
        <f t="shared" si="251"/>
        <v>0</v>
      </c>
      <c r="AF1012" s="19"/>
      <c r="AG1012" s="17"/>
      <c r="AK1012" s="7"/>
      <c r="AL1012" s="108">
        <f t="shared" si="239"/>
        <v>0</v>
      </c>
      <c r="AM1012" s="108">
        <f t="shared" si="240"/>
        <v>0</v>
      </c>
      <c r="AN1012" s="113"/>
    </row>
    <row r="1013" spans="2:40" x14ac:dyDescent="0.2">
      <c r="B1013" s="7"/>
      <c r="C1013" s="8"/>
      <c r="D1013" s="8"/>
      <c r="E1013" s="9"/>
      <c r="F1013" s="6"/>
      <c r="G1013" s="8"/>
      <c r="H1013" s="32"/>
      <c r="I1013" s="10" t="str">
        <f t="shared" si="237"/>
        <v>21</v>
      </c>
      <c r="J1013" s="11">
        <v>1</v>
      </c>
      <c r="K1013" s="11"/>
      <c r="L1013" s="11"/>
      <c r="M1013" s="11">
        <f t="shared" si="241"/>
        <v>0</v>
      </c>
      <c r="N1013" s="11"/>
      <c r="O1013" s="11">
        <f t="shared" si="242"/>
        <v>0</v>
      </c>
      <c r="P1013" s="11"/>
      <c r="Q1013" s="11"/>
      <c r="R1013" s="11"/>
      <c r="S1013" s="11">
        <f t="shared" si="243"/>
        <v>0</v>
      </c>
      <c r="T1013" s="11">
        <f t="shared" si="244"/>
        <v>1666.6666666666667</v>
      </c>
      <c r="U1013" s="11">
        <f t="shared" si="245"/>
        <v>0</v>
      </c>
      <c r="V1013" s="24">
        <f t="shared" si="246"/>
        <v>0</v>
      </c>
      <c r="W1013" s="11">
        <f>IF(V1013&lt;=40000,0,
IF(V1013&lt;=55000,(V1013-40000)*10%,
IF(V1013&lt;=70000,(V1013-55000)*15%+1500,
IF(V1013&lt;=200000,(V1013-70000)*20%+1500+2250,
IF(V1013&lt;=400000,(V1013-200000)*22.5%+1500+2250+26000,
IF(V1013&lt;=600000,(V1013-400000)*25%+1500+2250+26000+45000,
IF(AND(V1013&gt;600000,V1013&lt;=1200000),(V1013-400000)*25%+1500+2250+26000+45000
+IFERROR(LOOKUP(V1013,{600001;700001;800001;900001},{4000;6750;10250;15250}),0),IF(V1013&gt;1200000,((V1013-1200000)*27.5%)+300000,0)
)))))))</f>
        <v>0</v>
      </c>
      <c r="X1013" s="12">
        <f t="shared" si="247"/>
        <v>0</v>
      </c>
      <c r="Y1013" s="12">
        <f t="shared" si="248"/>
        <v>0</v>
      </c>
      <c r="Z1013" s="11"/>
      <c r="AA1013" s="13">
        <f t="shared" si="249"/>
        <v>0</v>
      </c>
      <c r="AB1013" s="12">
        <f t="shared" si="250"/>
        <v>0</v>
      </c>
      <c r="AC1013" s="14">
        <f t="shared" si="238"/>
        <v>0</v>
      </c>
      <c r="AE1013" s="19">
        <f t="shared" si="251"/>
        <v>0</v>
      </c>
      <c r="AF1013" s="19"/>
      <c r="AG1013" s="17"/>
      <c r="AK1013" s="7"/>
      <c r="AL1013" s="108">
        <f t="shared" si="239"/>
        <v>0</v>
      </c>
      <c r="AM1013" s="108">
        <f t="shared" si="240"/>
        <v>0</v>
      </c>
      <c r="AN1013" s="113"/>
    </row>
    <row r="1014" spans="2:40" x14ac:dyDescent="0.2">
      <c r="B1014" s="7"/>
      <c r="C1014" s="8"/>
      <c r="D1014" s="8"/>
      <c r="E1014" s="9"/>
      <c r="F1014" s="6"/>
      <c r="G1014" s="8"/>
      <c r="H1014" s="32"/>
      <c r="I1014" s="10" t="str">
        <f t="shared" si="237"/>
        <v>21</v>
      </c>
      <c r="J1014" s="11">
        <v>1</v>
      </c>
      <c r="K1014" s="11"/>
      <c r="L1014" s="11"/>
      <c r="M1014" s="11">
        <f t="shared" si="241"/>
        <v>0</v>
      </c>
      <c r="N1014" s="11"/>
      <c r="O1014" s="11">
        <f t="shared" si="242"/>
        <v>0</v>
      </c>
      <c r="P1014" s="11"/>
      <c r="Q1014" s="11"/>
      <c r="R1014" s="11"/>
      <c r="S1014" s="11">
        <f t="shared" si="243"/>
        <v>0</v>
      </c>
      <c r="T1014" s="11">
        <f t="shared" si="244"/>
        <v>1666.6666666666667</v>
      </c>
      <c r="U1014" s="11">
        <f t="shared" si="245"/>
        <v>0</v>
      </c>
      <c r="V1014" s="24">
        <f t="shared" si="246"/>
        <v>0</v>
      </c>
      <c r="W1014" s="11">
        <f>IF(V1014&lt;=40000,0,
IF(V1014&lt;=55000,(V1014-40000)*10%,
IF(V1014&lt;=70000,(V1014-55000)*15%+1500,
IF(V1014&lt;=200000,(V1014-70000)*20%+1500+2250,
IF(V1014&lt;=400000,(V1014-200000)*22.5%+1500+2250+26000,
IF(V1014&lt;=600000,(V1014-400000)*25%+1500+2250+26000+45000,
IF(AND(V1014&gt;600000,V1014&lt;=1200000),(V1014-400000)*25%+1500+2250+26000+45000
+IFERROR(LOOKUP(V1014,{600001;700001;800001;900001},{4000;6750;10250;15250}),0),IF(V1014&gt;1200000,((V1014-1200000)*27.5%)+300000,0)
)))))))</f>
        <v>0</v>
      </c>
      <c r="X1014" s="12">
        <f t="shared" si="247"/>
        <v>0</v>
      </c>
      <c r="Y1014" s="12">
        <f t="shared" si="248"/>
        <v>0</v>
      </c>
      <c r="Z1014" s="11"/>
      <c r="AA1014" s="13">
        <f t="shared" si="249"/>
        <v>0</v>
      </c>
      <c r="AB1014" s="12">
        <f t="shared" si="250"/>
        <v>0</v>
      </c>
      <c r="AC1014" s="14">
        <f t="shared" si="238"/>
        <v>0</v>
      </c>
      <c r="AE1014" s="19">
        <f t="shared" si="251"/>
        <v>0</v>
      </c>
      <c r="AF1014" s="19"/>
      <c r="AG1014" s="17"/>
      <c r="AK1014" s="7"/>
      <c r="AL1014" s="108">
        <f t="shared" si="239"/>
        <v>0</v>
      </c>
      <c r="AM1014" s="108">
        <f t="shared" si="240"/>
        <v>0</v>
      </c>
      <c r="AN1014" s="113"/>
    </row>
    <row r="1015" spans="2:40" x14ac:dyDescent="0.2">
      <c r="B1015" s="7"/>
      <c r="C1015" s="8"/>
      <c r="D1015" s="8"/>
      <c r="E1015" s="9"/>
      <c r="F1015" s="6"/>
      <c r="G1015" s="8"/>
      <c r="H1015" s="32"/>
      <c r="I1015" s="10" t="str">
        <f t="shared" si="237"/>
        <v>21</v>
      </c>
      <c r="J1015" s="11">
        <v>1</v>
      </c>
      <c r="K1015" s="11"/>
      <c r="L1015" s="11"/>
      <c r="M1015" s="11">
        <f t="shared" si="241"/>
        <v>0</v>
      </c>
      <c r="N1015" s="11"/>
      <c r="O1015" s="11">
        <f t="shared" si="242"/>
        <v>0</v>
      </c>
      <c r="P1015" s="11"/>
      <c r="Q1015" s="11"/>
      <c r="R1015" s="11"/>
      <c r="S1015" s="11">
        <f t="shared" si="243"/>
        <v>0</v>
      </c>
      <c r="T1015" s="11">
        <f t="shared" si="244"/>
        <v>1666.6666666666667</v>
      </c>
      <c r="U1015" s="11">
        <f t="shared" si="245"/>
        <v>0</v>
      </c>
      <c r="V1015" s="24">
        <f t="shared" si="246"/>
        <v>0</v>
      </c>
      <c r="W1015" s="11">
        <f>IF(V1015&lt;=40000,0,
IF(V1015&lt;=55000,(V1015-40000)*10%,
IF(V1015&lt;=70000,(V1015-55000)*15%+1500,
IF(V1015&lt;=200000,(V1015-70000)*20%+1500+2250,
IF(V1015&lt;=400000,(V1015-200000)*22.5%+1500+2250+26000,
IF(V1015&lt;=600000,(V1015-400000)*25%+1500+2250+26000+45000,
IF(AND(V1015&gt;600000,V1015&lt;=1200000),(V1015-400000)*25%+1500+2250+26000+45000
+IFERROR(LOOKUP(V1015,{600001;700001;800001;900001},{4000;6750;10250;15250}),0),IF(V1015&gt;1200000,((V1015-1200000)*27.5%)+300000,0)
)))))))</f>
        <v>0</v>
      </c>
      <c r="X1015" s="12">
        <f t="shared" si="247"/>
        <v>0</v>
      </c>
      <c r="Y1015" s="12">
        <f t="shared" si="248"/>
        <v>0</v>
      </c>
      <c r="Z1015" s="11"/>
      <c r="AA1015" s="13">
        <f t="shared" si="249"/>
        <v>0</v>
      </c>
      <c r="AB1015" s="12">
        <f t="shared" si="250"/>
        <v>0</v>
      </c>
      <c r="AC1015" s="14">
        <f t="shared" si="238"/>
        <v>0</v>
      </c>
      <c r="AE1015" s="19">
        <f t="shared" si="251"/>
        <v>0</v>
      </c>
      <c r="AF1015" s="19"/>
      <c r="AG1015" s="17"/>
      <c r="AK1015" s="7"/>
      <c r="AL1015" s="108">
        <f t="shared" si="239"/>
        <v>0</v>
      </c>
      <c r="AM1015" s="108">
        <f t="shared" si="240"/>
        <v>0</v>
      </c>
      <c r="AN1015" s="113"/>
    </row>
    <row r="1016" spans="2:40" x14ac:dyDescent="0.2">
      <c r="B1016" s="7"/>
      <c r="C1016" s="8"/>
      <c r="D1016" s="8"/>
      <c r="E1016" s="9"/>
      <c r="F1016" s="6"/>
      <c r="G1016" s="8"/>
      <c r="H1016" s="32"/>
      <c r="I1016" s="10" t="str">
        <f t="shared" si="237"/>
        <v>21</v>
      </c>
      <c r="J1016" s="11">
        <v>1</v>
      </c>
      <c r="K1016" s="11"/>
      <c r="L1016" s="11"/>
      <c r="M1016" s="11">
        <f t="shared" si="241"/>
        <v>0</v>
      </c>
      <c r="N1016" s="11"/>
      <c r="O1016" s="11">
        <f t="shared" si="242"/>
        <v>0</v>
      </c>
      <c r="P1016" s="11"/>
      <c r="Q1016" s="11"/>
      <c r="R1016" s="11"/>
      <c r="S1016" s="11">
        <f t="shared" si="243"/>
        <v>0</v>
      </c>
      <c r="T1016" s="11">
        <f t="shared" si="244"/>
        <v>1666.6666666666667</v>
      </c>
      <c r="U1016" s="11">
        <f t="shared" si="245"/>
        <v>0</v>
      </c>
      <c r="V1016" s="24">
        <f t="shared" si="246"/>
        <v>0</v>
      </c>
      <c r="W1016" s="11">
        <f>IF(V1016&lt;=40000,0,
IF(V1016&lt;=55000,(V1016-40000)*10%,
IF(V1016&lt;=70000,(V1016-55000)*15%+1500,
IF(V1016&lt;=200000,(V1016-70000)*20%+1500+2250,
IF(V1016&lt;=400000,(V1016-200000)*22.5%+1500+2250+26000,
IF(V1016&lt;=600000,(V1016-400000)*25%+1500+2250+26000+45000,
IF(AND(V1016&gt;600000,V1016&lt;=1200000),(V1016-400000)*25%+1500+2250+26000+45000
+IFERROR(LOOKUP(V1016,{600001;700001;800001;900001},{4000;6750;10250;15250}),0),IF(V1016&gt;1200000,((V1016-1200000)*27.5%)+300000,0)
)))))))</f>
        <v>0</v>
      </c>
      <c r="X1016" s="12">
        <f t="shared" si="247"/>
        <v>0</v>
      </c>
      <c r="Y1016" s="12">
        <f t="shared" si="248"/>
        <v>0</v>
      </c>
      <c r="Z1016" s="11"/>
      <c r="AA1016" s="13">
        <f t="shared" si="249"/>
        <v>0</v>
      </c>
      <c r="AB1016" s="12">
        <f t="shared" si="250"/>
        <v>0</v>
      </c>
      <c r="AC1016" s="14">
        <f t="shared" si="238"/>
        <v>0</v>
      </c>
      <c r="AE1016" s="19">
        <f t="shared" si="251"/>
        <v>0</v>
      </c>
      <c r="AF1016" s="19"/>
      <c r="AG1016" s="17"/>
      <c r="AK1016" s="7"/>
      <c r="AL1016" s="108">
        <f t="shared" si="239"/>
        <v>0</v>
      </c>
      <c r="AM1016" s="108">
        <f t="shared" si="240"/>
        <v>0</v>
      </c>
      <c r="AN1016" s="113"/>
    </row>
    <row r="1017" spans="2:40" x14ac:dyDescent="0.2">
      <c r="B1017" s="7"/>
      <c r="C1017" s="8"/>
      <c r="D1017" s="8"/>
      <c r="E1017" s="9"/>
      <c r="F1017" s="6"/>
      <c r="G1017" s="8"/>
      <c r="H1017" s="32"/>
      <c r="I1017" s="10" t="str">
        <f t="shared" si="237"/>
        <v>21</v>
      </c>
      <c r="J1017" s="11">
        <v>1</v>
      </c>
      <c r="K1017" s="11"/>
      <c r="L1017" s="11"/>
      <c r="M1017" s="11">
        <f t="shared" si="241"/>
        <v>0</v>
      </c>
      <c r="N1017" s="11"/>
      <c r="O1017" s="11">
        <f t="shared" si="242"/>
        <v>0</v>
      </c>
      <c r="P1017" s="11"/>
      <c r="Q1017" s="11"/>
      <c r="R1017" s="11"/>
      <c r="S1017" s="11">
        <f t="shared" si="243"/>
        <v>0</v>
      </c>
      <c r="T1017" s="11">
        <f t="shared" si="244"/>
        <v>1666.6666666666667</v>
      </c>
      <c r="U1017" s="11">
        <f t="shared" si="245"/>
        <v>0</v>
      </c>
      <c r="V1017" s="24">
        <f t="shared" si="246"/>
        <v>0</v>
      </c>
      <c r="W1017" s="11">
        <f>IF(V1017&lt;=40000,0,
IF(V1017&lt;=55000,(V1017-40000)*10%,
IF(V1017&lt;=70000,(V1017-55000)*15%+1500,
IF(V1017&lt;=200000,(V1017-70000)*20%+1500+2250,
IF(V1017&lt;=400000,(V1017-200000)*22.5%+1500+2250+26000,
IF(V1017&lt;=600000,(V1017-400000)*25%+1500+2250+26000+45000,
IF(AND(V1017&gt;600000,V1017&lt;=1200000),(V1017-400000)*25%+1500+2250+26000+45000
+IFERROR(LOOKUP(V1017,{600001;700001;800001;900001},{4000;6750;10250;15250}),0),IF(V1017&gt;1200000,((V1017-1200000)*27.5%)+300000,0)
)))))))</f>
        <v>0</v>
      </c>
      <c r="X1017" s="12">
        <f t="shared" si="247"/>
        <v>0</v>
      </c>
      <c r="Y1017" s="12">
        <f t="shared" si="248"/>
        <v>0</v>
      </c>
      <c r="Z1017" s="11"/>
      <c r="AA1017" s="13">
        <f t="shared" si="249"/>
        <v>0</v>
      </c>
      <c r="AB1017" s="12">
        <f t="shared" si="250"/>
        <v>0</v>
      </c>
      <c r="AC1017" s="14">
        <f t="shared" si="238"/>
        <v>0</v>
      </c>
      <c r="AE1017" s="19">
        <f t="shared" si="251"/>
        <v>0</v>
      </c>
      <c r="AF1017" s="19"/>
      <c r="AG1017" s="17"/>
      <c r="AK1017" s="7"/>
      <c r="AL1017" s="108">
        <f t="shared" si="239"/>
        <v>0</v>
      </c>
      <c r="AM1017" s="108">
        <f t="shared" si="240"/>
        <v>0</v>
      </c>
      <c r="AN1017" s="113"/>
    </row>
    <row r="1018" spans="2:40" x14ac:dyDescent="0.2">
      <c r="B1018" s="7"/>
      <c r="C1018" s="8"/>
      <c r="D1018" s="8"/>
      <c r="E1018" s="9"/>
      <c r="F1018" s="6"/>
      <c r="G1018" s="8"/>
      <c r="H1018" s="32"/>
      <c r="I1018" s="10" t="str">
        <f t="shared" si="237"/>
        <v>21</v>
      </c>
      <c r="J1018" s="11">
        <v>1</v>
      </c>
      <c r="K1018" s="11"/>
      <c r="L1018" s="11"/>
      <c r="M1018" s="11">
        <f t="shared" si="241"/>
        <v>0</v>
      </c>
      <c r="N1018" s="11"/>
      <c r="O1018" s="11">
        <f t="shared" si="242"/>
        <v>0</v>
      </c>
      <c r="P1018" s="11"/>
      <c r="Q1018" s="11"/>
      <c r="R1018" s="11"/>
      <c r="S1018" s="11">
        <f t="shared" si="243"/>
        <v>0</v>
      </c>
      <c r="T1018" s="11">
        <f t="shared" si="244"/>
        <v>1666.6666666666667</v>
      </c>
      <c r="U1018" s="11">
        <f t="shared" si="245"/>
        <v>0</v>
      </c>
      <c r="V1018" s="24">
        <f t="shared" si="246"/>
        <v>0</v>
      </c>
      <c r="W1018" s="11">
        <f>IF(V1018&lt;=40000,0,
IF(V1018&lt;=55000,(V1018-40000)*10%,
IF(V1018&lt;=70000,(V1018-55000)*15%+1500,
IF(V1018&lt;=200000,(V1018-70000)*20%+1500+2250,
IF(V1018&lt;=400000,(V1018-200000)*22.5%+1500+2250+26000,
IF(V1018&lt;=600000,(V1018-400000)*25%+1500+2250+26000+45000,
IF(AND(V1018&gt;600000,V1018&lt;=1200000),(V1018-400000)*25%+1500+2250+26000+45000
+IFERROR(LOOKUP(V1018,{600001;700001;800001;900001},{4000;6750;10250;15250}),0),IF(V1018&gt;1200000,((V1018-1200000)*27.5%)+300000,0)
)))))))</f>
        <v>0</v>
      </c>
      <c r="X1018" s="12">
        <f t="shared" si="247"/>
        <v>0</v>
      </c>
      <c r="Y1018" s="12">
        <f t="shared" si="248"/>
        <v>0</v>
      </c>
      <c r="Z1018" s="11"/>
      <c r="AA1018" s="13">
        <f t="shared" si="249"/>
        <v>0</v>
      </c>
      <c r="AB1018" s="12">
        <f t="shared" si="250"/>
        <v>0</v>
      </c>
      <c r="AC1018" s="14">
        <f t="shared" si="238"/>
        <v>0</v>
      </c>
      <c r="AE1018" s="19">
        <f t="shared" si="251"/>
        <v>0</v>
      </c>
      <c r="AF1018" s="19"/>
      <c r="AG1018" s="17"/>
      <c r="AK1018" s="7"/>
      <c r="AL1018" s="108">
        <f t="shared" si="239"/>
        <v>0</v>
      </c>
      <c r="AM1018" s="108">
        <f t="shared" si="240"/>
        <v>0</v>
      </c>
      <c r="AN1018" s="113"/>
    </row>
    <row r="1019" spans="2:40" x14ac:dyDescent="0.2">
      <c r="B1019" s="7"/>
      <c r="C1019" s="8"/>
      <c r="D1019" s="8"/>
      <c r="E1019" s="9"/>
      <c r="F1019" s="6"/>
      <c r="G1019" s="8"/>
      <c r="H1019" s="32"/>
      <c r="I1019" s="10" t="str">
        <f t="shared" si="237"/>
        <v>21</v>
      </c>
      <c r="J1019" s="11">
        <v>1</v>
      </c>
      <c r="K1019" s="11"/>
      <c r="L1019" s="11"/>
      <c r="M1019" s="11">
        <f t="shared" si="241"/>
        <v>0</v>
      </c>
      <c r="N1019" s="11"/>
      <c r="O1019" s="11">
        <f t="shared" si="242"/>
        <v>0</v>
      </c>
      <c r="P1019" s="11"/>
      <c r="Q1019" s="11"/>
      <c r="R1019" s="11"/>
      <c r="S1019" s="11">
        <f t="shared" si="243"/>
        <v>0</v>
      </c>
      <c r="T1019" s="11">
        <f t="shared" si="244"/>
        <v>1666.6666666666667</v>
      </c>
      <c r="U1019" s="11">
        <f t="shared" si="245"/>
        <v>0</v>
      </c>
      <c r="V1019" s="24">
        <f t="shared" si="246"/>
        <v>0</v>
      </c>
      <c r="W1019" s="11">
        <f>IF(V1019&lt;=40000,0,
IF(V1019&lt;=55000,(V1019-40000)*10%,
IF(V1019&lt;=70000,(V1019-55000)*15%+1500,
IF(V1019&lt;=200000,(V1019-70000)*20%+1500+2250,
IF(V1019&lt;=400000,(V1019-200000)*22.5%+1500+2250+26000,
IF(V1019&lt;=600000,(V1019-400000)*25%+1500+2250+26000+45000,
IF(AND(V1019&gt;600000,V1019&lt;=1200000),(V1019-400000)*25%+1500+2250+26000+45000
+IFERROR(LOOKUP(V1019,{600001;700001;800001;900001},{4000;6750;10250;15250}),0),IF(V1019&gt;1200000,((V1019-1200000)*27.5%)+300000,0)
)))))))</f>
        <v>0</v>
      </c>
      <c r="X1019" s="12">
        <f t="shared" si="247"/>
        <v>0</v>
      </c>
      <c r="Y1019" s="12">
        <f t="shared" si="248"/>
        <v>0</v>
      </c>
      <c r="Z1019" s="11"/>
      <c r="AA1019" s="13">
        <f t="shared" si="249"/>
        <v>0</v>
      </c>
      <c r="AB1019" s="12">
        <f t="shared" si="250"/>
        <v>0</v>
      </c>
      <c r="AC1019" s="14">
        <f t="shared" si="238"/>
        <v>0</v>
      </c>
      <c r="AE1019" s="19">
        <f t="shared" si="251"/>
        <v>0</v>
      </c>
      <c r="AF1019" s="19"/>
      <c r="AG1019" s="17"/>
      <c r="AK1019" s="7"/>
      <c r="AL1019" s="108">
        <f t="shared" si="239"/>
        <v>0</v>
      </c>
      <c r="AM1019" s="108">
        <f t="shared" si="240"/>
        <v>0</v>
      </c>
      <c r="AN1019" s="113"/>
    </row>
    <row r="1020" spans="2:40" x14ac:dyDescent="0.2">
      <c r="B1020" s="7"/>
      <c r="C1020" s="8"/>
      <c r="D1020" s="8"/>
      <c r="E1020" s="9"/>
      <c r="F1020" s="6"/>
      <c r="G1020" s="8"/>
      <c r="H1020" s="32"/>
      <c r="I1020" s="10" t="str">
        <f t="shared" si="237"/>
        <v>21</v>
      </c>
      <c r="J1020" s="11">
        <v>1</v>
      </c>
      <c r="K1020" s="11"/>
      <c r="L1020" s="11"/>
      <c r="M1020" s="11">
        <f t="shared" si="241"/>
        <v>0</v>
      </c>
      <c r="N1020" s="11"/>
      <c r="O1020" s="11">
        <f t="shared" si="242"/>
        <v>0</v>
      </c>
      <c r="P1020" s="11"/>
      <c r="Q1020" s="11"/>
      <c r="R1020" s="11"/>
      <c r="S1020" s="11">
        <f t="shared" si="243"/>
        <v>0</v>
      </c>
      <c r="T1020" s="11">
        <f t="shared" si="244"/>
        <v>1666.6666666666667</v>
      </c>
      <c r="U1020" s="11">
        <f t="shared" si="245"/>
        <v>0</v>
      </c>
      <c r="V1020" s="24">
        <f t="shared" si="246"/>
        <v>0</v>
      </c>
      <c r="W1020" s="11">
        <f>IF(V1020&lt;=40000,0,
IF(V1020&lt;=55000,(V1020-40000)*10%,
IF(V1020&lt;=70000,(V1020-55000)*15%+1500,
IF(V1020&lt;=200000,(V1020-70000)*20%+1500+2250,
IF(V1020&lt;=400000,(V1020-200000)*22.5%+1500+2250+26000,
IF(V1020&lt;=600000,(V1020-400000)*25%+1500+2250+26000+45000,
IF(AND(V1020&gt;600000,V1020&lt;=1200000),(V1020-400000)*25%+1500+2250+26000+45000
+IFERROR(LOOKUP(V1020,{600001;700001;800001;900001},{4000;6750;10250;15250}),0),IF(V1020&gt;1200000,((V1020-1200000)*27.5%)+300000,0)
)))))))</f>
        <v>0</v>
      </c>
      <c r="X1020" s="12">
        <f t="shared" si="247"/>
        <v>0</v>
      </c>
      <c r="Y1020" s="12">
        <f t="shared" si="248"/>
        <v>0</v>
      </c>
      <c r="Z1020" s="11"/>
      <c r="AA1020" s="13">
        <f t="shared" si="249"/>
        <v>0</v>
      </c>
      <c r="AB1020" s="12">
        <f t="shared" si="250"/>
        <v>0</v>
      </c>
      <c r="AC1020" s="14">
        <f t="shared" si="238"/>
        <v>0</v>
      </c>
      <c r="AE1020" s="19">
        <f t="shared" si="251"/>
        <v>0</v>
      </c>
      <c r="AF1020" s="19"/>
      <c r="AG1020" s="17"/>
      <c r="AK1020" s="7"/>
      <c r="AL1020" s="108">
        <f t="shared" si="239"/>
        <v>0</v>
      </c>
      <c r="AM1020" s="108">
        <f t="shared" si="240"/>
        <v>0</v>
      </c>
      <c r="AN1020" s="113"/>
    </row>
    <row r="1021" spans="2:40" x14ac:dyDescent="0.2">
      <c r="B1021" s="7"/>
      <c r="C1021" s="8"/>
      <c r="D1021" s="8"/>
      <c r="E1021" s="9"/>
      <c r="F1021" s="6"/>
      <c r="G1021" s="8"/>
      <c r="H1021" s="32"/>
      <c r="I1021" s="10" t="str">
        <f t="shared" si="237"/>
        <v>21</v>
      </c>
      <c r="J1021" s="11">
        <v>1</v>
      </c>
      <c r="K1021" s="11"/>
      <c r="L1021" s="11"/>
      <c r="M1021" s="11">
        <f t="shared" si="241"/>
        <v>0</v>
      </c>
      <c r="N1021" s="11"/>
      <c r="O1021" s="11">
        <f t="shared" si="242"/>
        <v>0</v>
      </c>
      <c r="P1021" s="11"/>
      <c r="Q1021" s="11"/>
      <c r="R1021" s="11"/>
      <c r="S1021" s="11">
        <f t="shared" si="243"/>
        <v>0</v>
      </c>
      <c r="T1021" s="11">
        <f t="shared" si="244"/>
        <v>1666.6666666666667</v>
      </c>
      <c r="U1021" s="11">
        <f t="shared" si="245"/>
        <v>0</v>
      </c>
      <c r="V1021" s="24">
        <f t="shared" si="246"/>
        <v>0</v>
      </c>
      <c r="W1021" s="11">
        <f>IF(V1021&lt;=40000,0,
IF(V1021&lt;=55000,(V1021-40000)*10%,
IF(V1021&lt;=70000,(V1021-55000)*15%+1500,
IF(V1021&lt;=200000,(V1021-70000)*20%+1500+2250,
IF(V1021&lt;=400000,(V1021-200000)*22.5%+1500+2250+26000,
IF(V1021&lt;=600000,(V1021-400000)*25%+1500+2250+26000+45000,
IF(AND(V1021&gt;600000,V1021&lt;=1200000),(V1021-400000)*25%+1500+2250+26000+45000
+IFERROR(LOOKUP(V1021,{600001;700001;800001;900001},{4000;6750;10250;15250}),0),IF(V1021&gt;1200000,((V1021-1200000)*27.5%)+300000,0)
)))))))</f>
        <v>0</v>
      </c>
      <c r="X1021" s="12">
        <f t="shared" si="247"/>
        <v>0</v>
      </c>
      <c r="Y1021" s="12">
        <f t="shared" si="248"/>
        <v>0</v>
      </c>
      <c r="Z1021" s="11"/>
      <c r="AA1021" s="13">
        <f t="shared" si="249"/>
        <v>0</v>
      </c>
      <c r="AB1021" s="12">
        <f t="shared" si="250"/>
        <v>0</v>
      </c>
      <c r="AC1021" s="14">
        <f t="shared" si="238"/>
        <v>0</v>
      </c>
      <c r="AE1021" s="19">
        <f t="shared" si="251"/>
        <v>0</v>
      </c>
      <c r="AF1021" s="19"/>
      <c r="AG1021" s="17"/>
      <c r="AK1021" s="7"/>
      <c r="AL1021" s="108">
        <f t="shared" si="239"/>
        <v>0</v>
      </c>
      <c r="AM1021" s="108">
        <f t="shared" si="240"/>
        <v>0</v>
      </c>
      <c r="AN1021" s="113"/>
    </row>
    <row r="1022" spans="2:40" x14ac:dyDescent="0.2">
      <c r="B1022" s="7"/>
      <c r="C1022" s="8"/>
      <c r="D1022" s="8"/>
      <c r="E1022" s="9"/>
      <c r="F1022" s="6"/>
      <c r="G1022" s="8"/>
      <c r="H1022" s="32"/>
      <c r="I1022" s="10" t="str">
        <f t="shared" si="237"/>
        <v>21</v>
      </c>
      <c r="J1022" s="11">
        <v>1</v>
      </c>
      <c r="K1022" s="11"/>
      <c r="L1022" s="11"/>
      <c r="M1022" s="11">
        <f t="shared" si="241"/>
        <v>0</v>
      </c>
      <c r="N1022" s="11"/>
      <c r="O1022" s="11">
        <f t="shared" si="242"/>
        <v>0</v>
      </c>
      <c r="P1022" s="11"/>
      <c r="Q1022" s="11"/>
      <c r="R1022" s="11"/>
      <c r="S1022" s="11">
        <f t="shared" si="243"/>
        <v>0</v>
      </c>
      <c r="T1022" s="11">
        <f t="shared" si="244"/>
        <v>1666.6666666666667</v>
      </c>
      <c r="U1022" s="11">
        <f t="shared" si="245"/>
        <v>0</v>
      </c>
      <c r="V1022" s="24">
        <f t="shared" si="246"/>
        <v>0</v>
      </c>
      <c r="W1022" s="11">
        <f>IF(V1022&lt;=40000,0,
IF(V1022&lt;=55000,(V1022-40000)*10%,
IF(V1022&lt;=70000,(V1022-55000)*15%+1500,
IF(V1022&lt;=200000,(V1022-70000)*20%+1500+2250,
IF(V1022&lt;=400000,(V1022-200000)*22.5%+1500+2250+26000,
IF(V1022&lt;=600000,(V1022-400000)*25%+1500+2250+26000+45000,
IF(AND(V1022&gt;600000,V1022&lt;=1200000),(V1022-400000)*25%+1500+2250+26000+45000
+IFERROR(LOOKUP(V1022,{600001;700001;800001;900001},{4000;6750;10250;15250}),0),IF(V1022&gt;1200000,((V1022-1200000)*27.5%)+300000,0)
)))))))</f>
        <v>0</v>
      </c>
      <c r="X1022" s="12">
        <f t="shared" si="247"/>
        <v>0</v>
      </c>
      <c r="Y1022" s="12">
        <f t="shared" si="248"/>
        <v>0</v>
      </c>
      <c r="Z1022" s="11"/>
      <c r="AA1022" s="13">
        <f t="shared" si="249"/>
        <v>0</v>
      </c>
      <c r="AB1022" s="12">
        <f t="shared" si="250"/>
        <v>0</v>
      </c>
      <c r="AC1022" s="14">
        <f t="shared" si="238"/>
        <v>0</v>
      </c>
      <c r="AE1022" s="19">
        <f t="shared" si="251"/>
        <v>0</v>
      </c>
      <c r="AF1022" s="19"/>
      <c r="AG1022" s="17"/>
      <c r="AK1022" s="7"/>
      <c r="AL1022" s="108">
        <f t="shared" si="239"/>
        <v>0</v>
      </c>
      <c r="AM1022" s="108">
        <f t="shared" si="240"/>
        <v>0</v>
      </c>
      <c r="AN1022" s="113"/>
    </row>
    <row r="1023" spans="2:40" x14ac:dyDescent="0.2">
      <c r="B1023" s="7"/>
      <c r="C1023" s="8"/>
      <c r="D1023" s="8"/>
      <c r="E1023" s="9"/>
      <c r="F1023" s="6"/>
      <c r="G1023" s="8"/>
      <c r="H1023" s="32"/>
      <c r="I1023" s="10" t="str">
        <f t="shared" si="237"/>
        <v>21</v>
      </c>
      <c r="J1023" s="11">
        <v>1</v>
      </c>
      <c r="K1023" s="11"/>
      <c r="L1023" s="11"/>
      <c r="M1023" s="11">
        <f t="shared" si="241"/>
        <v>0</v>
      </c>
      <c r="N1023" s="11"/>
      <c r="O1023" s="11">
        <f t="shared" si="242"/>
        <v>0</v>
      </c>
      <c r="P1023" s="11"/>
      <c r="Q1023" s="11"/>
      <c r="R1023" s="11"/>
      <c r="S1023" s="11">
        <f t="shared" si="243"/>
        <v>0</v>
      </c>
      <c r="T1023" s="11">
        <f t="shared" si="244"/>
        <v>1666.6666666666667</v>
      </c>
      <c r="U1023" s="11">
        <f t="shared" si="245"/>
        <v>0</v>
      </c>
      <c r="V1023" s="24">
        <f t="shared" si="246"/>
        <v>0</v>
      </c>
      <c r="W1023" s="11">
        <f>IF(V1023&lt;=40000,0,
IF(V1023&lt;=55000,(V1023-40000)*10%,
IF(V1023&lt;=70000,(V1023-55000)*15%+1500,
IF(V1023&lt;=200000,(V1023-70000)*20%+1500+2250,
IF(V1023&lt;=400000,(V1023-200000)*22.5%+1500+2250+26000,
IF(V1023&lt;=600000,(V1023-400000)*25%+1500+2250+26000+45000,
IF(AND(V1023&gt;600000,V1023&lt;=1200000),(V1023-400000)*25%+1500+2250+26000+45000
+IFERROR(LOOKUP(V1023,{600001;700001;800001;900001},{4000;6750;10250;15250}),0),IF(V1023&gt;1200000,((V1023-1200000)*27.5%)+300000,0)
)))))))</f>
        <v>0</v>
      </c>
      <c r="X1023" s="12">
        <f t="shared" si="247"/>
        <v>0</v>
      </c>
      <c r="Y1023" s="12">
        <f t="shared" si="248"/>
        <v>0</v>
      </c>
      <c r="Z1023" s="11"/>
      <c r="AA1023" s="13">
        <f t="shared" si="249"/>
        <v>0</v>
      </c>
      <c r="AB1023" s="12">
        <f t="shared" si="250"/>
        <v>0</v>
      </c>
      <c r="AC1023" s="14">
        <f t="shared" si="238"/>
        <v>0</v>
      </c>
      <c r="AE1023" s="19">
        <f t="shared" si="251"/>
        <v>0</v>
      </c>
      <c r="AF1023" s="19"/>
      <c r="AG1023" s="17"/>
      <c r="AK1023" s="7"/>
      <c r="AL1023" s="108">
        <f t="shared" si="239"/>
        <v>0</v>
      </c>
      <c r="AM1023" s="108">
        <f t="shared" si="240"/>
        <v>0</v>
      </c>
      <c r="AN1023" s="113"/>
    </row>
    <row r="1024" spans="2:40" x14ac:dyDescent="0.2">
      <c r="B1024" s="7"/>
      <c r="C1024" s="8"/>
      <c r="D1024" s="8"/>
      <c r="E1024" s="9"/>
      <c r="F1024" s="6"/>
      <c r="G1024" s="8"/>
      <c r="H1024" s="32"/>
      <c r="I1024" s="10" t="str">
        <f t="shared" si="237"/>
        <v>21</v>
      </c>
      <c r="J1024" s="11">
        <v>1</v>
      </c>
      <c r="K1024" s="11"/>
      <c r="L1024" s="11"/>
      <c r="M1024" s="11">
        <f t="shared" si="241"/>
        <v>0</v>
      </c>
      <c r="N1024" s="11"/>
      <c r="O1024" s="11">
        <f t="shared" si="242"/>
        <v>0</v>
      </c>
      <c r="P1024" s="11"/>
      <c r="Q1024" s="11"/>
      <c r="R1024" s="11"/>
      <c r="S1024" s="11">
        <f t="shared" si="243"/>
        <v>0</v>
      </c>
      <c r="T1024" s="11">
        <f t="shared" si="244"/>
        <v>1666.6666666666667</v>
      </c>
      <c r="U1024" s="11">
        <f t="shared" si="245"/>
        <v>0</v>
      </c>
      <c r="V1024" s="24">
        <f t="shared" si="246"/>
        <v>0</v>
      </c>
      <c r="W1024" s="11">
        <f>IF(V1024&lt;=40000,0,
IF(V1024&lt;=55000,(V1024-40000)*10%,
IF(V1024&lt;=70000,(V1024-55000)*15%+1500,
IF(V1024&lt;=200000,(V1024-70000)*20%+1500+2250,
IF(V1024&lt;=400000,(V1024-200000)*22.5%+1500+2250+26000,
IF(V1024&lt;=600000,(V1024-400000)*25%+1500+2250+26000+45000,
IF(AND(V1024&gt;600000,V1024&lt;=1200000),(V1024-400000)*25%+1500+2250+26000+45000
+IFERROR(LOOKUP(V1024,{600001;700001;800001;900001},{4000;6750;10250;15250}),0),IF(V1024&gt;1200000,((V1024-1200000)*27.5%)+300000,0)
)))))))</f>
        <v>0</v>
      </c>
      <c r="X1024" s="12">
        <f t="shared" si="247"/>
        <v>0</v>
      </c>
      <c r="Y1024" s="12">
        <f t="shared" si="248"/>
        <v>0</v>
      </c>
      <c r="Z1024" s="11"/>
      <c r="AA1024" s="13">
        <f t="shared" si="249"/>
        <v>0</v>
      </c>
      <c r="AB1024" s="12">
        <f t="shared" si="250"/>
        <v>0</v>
      </c>
      <c r="AC1024" s="14">
        <f t="shared" si="238"/>
        <v>0</v>
      </c>
      <c r="AE1024" s="19">
        <f t="shared" si="251"/>
        <v>0</v>
      </c>
      <c r="AF1024" s="19"/>
      <c r="AG1024" s="17"/>
      <c r="AK1024" s="7"/>
      <c r="AL1024" s="108">
        <f t="shared" si="239"/>
        <v>0</v>
      </c>
      <c r="AM1024" s="108">
        <f t="shared" si="240"/>
        <v>0</v>
      </c>
      <c r="AN1024" s="113"/>
    </row>
    <row r="1025" spans="2:40" x14ac:dyDescent="0.2">
      <c r="B1025" s="7"/>
      <c r="C1025" s="8"/>
      <c r="D1025" s="8"/>
      <c r="E1025" s="9"/>
      <c r="F1025" s="6"/>
      <c r="G1025" s="8"/>
      <c r="H1025" s="32"/>
      <c r="I1025" s="10" t="str">
        <f t="shared" si="237"/>
        <v>21</v>
      </c>
      <c r="J1025" s="11">
        <v>1</v>
      </c>
      <c r="K1025" s="11"/>
      <c r="L1025" s="11"/>
      <c r="M1025" s="11">
        <f t="shared" si="241"/>
        <v>0</v>
      </c>
      <c r="N1025" s="11"/>
      <c r="O1025" s="11">
        <f t="shared" si="242"/>
        <v>0</v>
      </c>
      <c r="P1025" s="11"/>
      <c r="Q1025" s="11"/>
      <c r="R1025" s="11"/>
      <c r="S1025" s="11">
        <f t="shared" si="243"/>
        <v>0</v>
      </c>
      <c r="T1025" s="11">
        <f t="shared" si="244"/>
        <v>1666.6666666666667</v>
      </c>
      <c r="U1025" s="11">
        <f t="shared" si="245"/>
        <v>0</v>
      </c>
      <c r="V1025" s="24">
        <f t="shared" si="246"/>
        <v>0</v>
      </c>
      <c r="W1025" s="11">
        <f>IF(V1025&lt;=40000,0,
IF(V1025&lt;=55000,(V1025-40000)*10%,
IF(V1025&lt;=70000,(V1025-55000)*15%+1500,
IF(V1025&lt;=200000,(V1025-70000)*20%+1500+2250,
IF(V1025&lt;=400000,(V1025-200000)*22.5%+1500+2250+26000,
IF(V1025&lt;=600000,(V1025-400000)*25%+1500+2250+26000+45000,
IF(AND(V1025&gt;600000,V1025&lt;=1200000),(V1025-400000)*25%+1500+2250+26000+45000
+IFERROR(LOOKUP(V1025,{600001;700001;800001;900001},{4000;6750;10250;15250}),0),IF(V1025&gt;1200000,((V1025-1200000)*27.5%)+300000,0)
)))))))</f>
        <v>0</v>
      </c>
      <c r="X1025" s="12">
        <f t="shared" si="247"/>
        <v>0</v>
      </c>
      <c r="Y1025" s="12">
        <f t="shared" si="248"/>
        <v>0</v>
      </c>
      <c r="Z1025" s="11"/>
      <c r="AA1025" s="13">
        <f t="shared" si="249"/>
        <v>0</v>
      </c>
      <c r="AB1025" s="12">
        <f t="shared" si="250"/>
        <v>0</v>
      </c>
      <c r="AC1025" s="14">
        <f t="shared" si="238"/>
        <v>0</v>
      </c>
      <c r="AE1025" s="19">
        <f t="shared" si="251"/>
        <v>0</v>
      </c>
      <c r="AF1025" s="19"/>
      <c r="AG1025" s="17"/>
      <c r="AK1025" s="7"/>
      <c r="AL1025" s="108">
        <f t="shared" si="239"/>
        <v>0</v>
      </c>
      <c r="AM1025" s="108">
        <f t="shared" si="240"/>
        <v>0</v>
      </c>
      <c r="AN1025" s="113"/>
    </row>
    <row r="1026" spans="2:40" x14ac:dyDescent="0.2">
      <c r="B1026" s="7"/>
      <c r="C1026" s="8"/>
      <c r="D1026" s="8"/>
      <c r="E1026" s="9"/>
      <c r="F1026" s="6"/>
      <c r="G1026" s="8"/>
      <c r="H1026" s="32"/>
      <c r="I1026" s="10" t="str">
        <f t="shared" si="237"/>
        <v>21</v>
      </c>
      <c r="J1026" s="11">
        <v>1</v>
      </c>
      <c r="K1026" s="11"/>
      <c r="L1026" s="11"/>
      <c r="M1026" s="11">
        <f t="shared" si="241"/>
        <v>0</v>
      </c>
      <c r="N1026" s="11"/>
      <c r="O1026" s="11">
        <f t="shared" si="242"/>
        <v>0</v>
      </c>
      <c r="P1026" s="11"/>
      <c r="Q1026" s="11"/>
      <c r="R1026" s="11"/>
      <c r="S1026" s="11">
        <f t="shared" si="243"/>
        <v>0</v>
      </c>
      <c r="T1026" s="11">
        <f t="shared" si="244"/>
        <v>1666.6666666666667</v>
      </c>
      <c r="U1026" s="11">
        <f t="shared" si="245"/>
        <v>0</v>
      </c>
      <c r="V1026" s="24">
        <f t="shared" si="246"/>
        <v>0</v>
      </c>
      <c r="W1026" s="11">
        <f>IF(V1026&lt;=40000,0,
IF(V1026&lt;=55000,(V1026-40000)*10%,
IF(V1026&lt;=70000,(V1026-55000)*15%+1500,
IF(V1026&lt;=200000,(V1026-70000)*20%+1500+2250,
IF(V1026&lt;=400000,(V1026-200000)*22.5%+1500+2250+26000,
IF(V1026&lt;=600000,(V1026-400000)*25%+1500+2250+26000+45000,
IF(AND(V1026&gt;600000,V1026&lt;=1200000),(V1026-400000)*25%+1500+2250+26000+45000
+IFERROR(LOOKUP(V1026,{600001;700001;800001;900001},{4000;6750;10250;15250}),0),IF(V1026&gt;1200000,((V1026-1200000)*27.5%)+300000,0)
)))))))</f>
        <v>0</v>
      </c>
      <c r="X1026" s="12">
        <f t="shared" si="247"/>
        <v>0</v>
      </c>
      <c r="Y1026" s="12">
        <f t="shared" si="248"/>
        <v>0</v>
      </c>
      <c r="Z1026" s="11"/>
      <c r="AA1026" s="13">
        <f t="shared" si="249"/>
        <v>0</v>
      </c>
      <c r="AB1026" s="12">
        <f t="shared" si="250"/>
        <v>0</v>
      </c>
      <c r="AC1026" s="14">
        <f t="shared" si="238"/>
        <v>0</v>
      </c>
      <c r="AE1026" s="19">
        <f t="shared" si="251"/>
        <v>0</v>
      </c>
      <c r="AF1026" s="19"/>
      <c r="AG1026" s="17"/>
      <c r="AK1026" s="7"/>
      <c r="AL1026" s="108">
        <f t="shared" si="239"/>
        <v>0</v>
      </c>
      <c r="AM1026" s="108">
        <f t="shared" si="240"/>
        <v>0</v>
      </c>
      <c r="AN1026" s="113"/>
    </row>
    <row r="1027" spans="2:40" x14ac:dyDescent="0.2">
      <c r="B1027" s="7"/>
      <c r="C1027" s="8"/>
      <c r="D1027" s="8"/>
      <c r="E1027" s="9"/>
      <c r="F1027" s="6"/>
      <c r="G1027" s="8"/>
      <c r="H1027" s="32"/>
      <c r="I1027" s="10" t="str">
        <f t="shared" si="237"/>
        <v>21</v>
      </c>
      <c r="J1027" s="11">
        <v>1</v>
      </c>
      <c r="K1027" s="11"/>
      <c r="L1027" s="11"/>
      <c r="M1027" s="11">
        <f t="shared" si="241"/>
        <v>0</v>
      </c>
      <c r="N1027" s="11"/>
      <c r="O1027" s="11">
        <f t="shared" si="242"/>
        <v>0</v>
      </c>
      <c r="P1027" s="11"/>
      <c r="Q1027" s="11"/>
      <c r="R1027" s="11"/>
      <c r="S1027" s="11">
        <f t="shared" si="243"/>
        <v>0</v>
      </c>
      <c r="T1027" s="11">
        <f t="shared" si="244"/>
        <v>1666.6666666666667</v>
      </c>
      <c r="U1027" s="11">
        <f t="shared" si="245"/>
        <v>0</v>
      </c>
      <c r="V1027" s="24">
        <f t="shared" si="246"/>
        <v>0</v>
      </c>
      <c r="W1027" s="11">
        <f>IF(V1027&lt;=40000,0,
IF(V1027&lt;=55000,(V1027-40000)*10%,
IF(V1027&lt;=70000,(V1027-55000)*15%+1500,
IF(V1027&lt;=200000,(V1027-70000)*20%+1500+2250,
IF(V1027&lt;=400000,(V1027-200000)*22.5%+1500+2250+26000,
IF(V1027&lt;=600000,(V1027-400000)*25%+1500+2250+26000+45000,
IF(AND(V1027&gt;600000,V1027&lt;=1200000),(V1027-400000)*25%+1500+2250+26000+45000
+IFERROR(LOOKUP(V1027,{600001;700001;800001;900001},{4000;6750;10250;15250}),0),IF(V1027&gt;1200000,((V1027-1200000)*27.5%)+300000,0)
)))))))</f>
        <v>0</v>
      </c>
      <c r="X1027" s="12">
        <f t="shared" si="247"/>
        <v>0</v>
      </c>
      <c r="Y1027" s="12">
        <f t="shared" si="248"/>
        <v>0</v>
      </c>
      <c r="Z1027" s="11"/>
      <c r="AA1027" s="13">
        <f t="shared" si="249"/>
        <v>0</v>
      </c>
      <c r="AB1027" s="12">
        <f t="shared" si="250"/>
        <v>0</v>
      </c>
      <c r="AC1027" s="14">
        <f t="shared" si="238"/>
        <v>0</v>
      </c>
      <c r="AE1027" s="19">
        <f t="shared" si="251"/>
        <v>0</v>
      </c>
      <c r="AF1027" s="19"/>
      <c r="AG1027" s="17"/>
      <c r="AK1027" s="7"/>
      <c r="AL1027" s="108">
        <f t="shared" si="239"/>
        <v>0</v>
      </c>
      <c r="AM1027" s="108">
        <f t="shared" si="240"/>
        <v>0</v>
      </c>
      <c r="AN1027" s="113"/>
    </row>
    <row r="1028" spans="2:40" x14ac:dyDescent="0.2">
      <c r="B1028" s="7"/>
      <c r="C1028" s="8"/>
      <c r="D1028" s="8"/>
      <c r="E1028" s="9"/>
      <c r="F1028" s="6"/>
      <c r="G1028" s="8"/>
      <c r="H1028" s="32"/>
      <c r="I1028" s="10" t="str">
        <f t="shared" si="237"/>
        <v>21</v>
      </c>
      <c r="J1028" s="11">
        <v>1</v>
      </c>
      <c r="K1028" s="11"/>
      <c r="L1028" s="11"/>
      <c r="M1028" s="11">
        <f t="shared" si="241"/>
        <v>0</v>
      </c>
      <c r="N1028" s="11"/>
      <c r="O1028" s="11">
        <f t="shared" si="242"/>
        <v>0</v>
      </c>
      <c r="P1028" s="11"/>
      <c r="Q1028" s="11"/>
      <c r="R1028" s="11"/>
      <c r="S1028" s="11">
        <f t="shared" si="243"/>
        <v>0</v>
      </c>
      <c r="T1028" s="11">
        <f t="shared" si="244"/>
        <v>1666.6666666666667</v>
      </c>
      <c r="U1028" s="11">
        <f t="shared" si="245"/>
        <v>0</v>
      </c>
      <c r="V1028" s="24">
        <f t="shared" si="246"/>
        <v>0</v>
      </c>
      <c r="W1028" s="11">
        <f>IF(V1028&lt;=40000,0,
IF(V1028&lt;=55000,(V1028-40000)*10%,
IF(V1028&lt;=70000,(V1028-55000)*15%+1500,
IF(V1028&lt;=200000,(V1028-70000)*20%+1500+2250,
IF(V1028&lt;=400000,(V1028-200000)*22.5%+1500+2250+26000,
IF(V1028&lt;=600000,(V1028-400000)*25%+1500+2250+26000+45000,
IF(AND(V1028&gt;600000,V1028&lt;=1200000),(V1028-400000)*25%+1500+2250+26000+45000
+IFERROR(LOOKUP(V1028,{600001;700001;800001;900001},{4000;6750;10250;15250}),0),IF(V1028&gt;1200000,((V1028-1200000)*27.5%)+300000,0)
)))))))</f>
        <v>0</v>
      </c>
      <c r="X1028" s="12">
        <f t="shared" si="247"/>
        <v>0</v>
      </c>
      <c r="Y1028" s="12">
        <f t="shared" si="248"/>
        <v>0</v>
      </c>
      <c r="Z1028" s="11"/>
      <c r="AA1028" s="13">
        <f t="shared" si="249"/>
        <v>0</v>
      </c>
      <c r="AB1028" s="12">
        <f t="shared" si="250"/>
        <v>0</v>
      </c>
      <c r="AC1028" s="14">
        <f t="shared" si="238"/>
        <v>0</v>
      </c>
      <c r="AE1028" s="19">
        <f t="shared" si="251"/>
        <v>0</v>
      </c>
      <c r="AF1028" s="19"/>
      <c r="AG1028" s="17"/>
      <c r="AK1028" s="7"/>
      <c r="AL1028" s="108">
        <f t="shared" si="239"/>
        <v>0</v>
      </c>
      <c r="AM1028" s="108">
        <f t="shared" si="240"/>
        <v>0</v>
      </c>
      <c r="AN1028" s="113"/>
    </row>
    <row r="1029" spans="2:40" x14ac:dyDescent="0.2">
      <c r="B1029" s="7"/>
      <c r="C1029" s="8"/>
      <c r="D1029" s="8"/>
      <c r="E1029" s="9"/>
      <c r="F1029" s="6"/>
      <c r="G1029" s="8"/>
      <c r="H1029" s="32"/>
      <c r="I1029" s="10" t="str">
        <f t="shared" ref="I1029:I1092" si="252">IF(G1029&gt;0,"1","21")</f>
        <v>21</v>
      </c>
      <c r="J1029" s="11">
        <v>1</v>
      </c>
      <c r="K1029" s="11"/>
      <c r="L1029" s="11"/>
      <c r="M1029" s="11">
        <f t="shared" si="241"/>
        <v>0</v>
      </c>
      <c r="N1029" s="11"/>
      <c r="O1029" s="11">
        <f t="shared" si="242"/>
        <v>0</v>
      </c>
      <c r="P1029" s="11"/>
      <c r="Q1029" s="11"/>
      <c r="R1029" s="11"/>
      <c r="S1029" s="11">
        <f t="shared" si="243"/>
        <v>0</v>
      </c>
      <c r="T1029" s="11">
        <f t="shared" si="244"/>
        <v>1666.6666666666667</v>
      </c>
      <c r="U1029" s="11">
        <f t="shared" si="245"/>
        <v>0</v>
      </c>
      <c r="V1029" s="24">
        <f t="shared" si="246"/>
        <v>0</v>
      </c>
      <c r="W1029" s="11">
        <f>IF(V1029&lt;=40000,0,
IF(V1029&lt;=55000,(V1029-40000)*10%,
IF(V1029&lt;=70000,(V1029-55000)*15%+1500,
IF(V1029&lt;=200000,(V1029-70000)*20%+1500+2250,
IF(V1029&lt;=400000,(V1029-200000)*22.5%+1500+2250+26000,
IF(V1029&lt;=600000,(V1029-400000)*25%+1500+2250+26000+45000,
IF(AND(V1029&gt;600000,V1029&lt;=1200000),(V1029-400000)*25%+1500+2250+26000+45000
+IFERROR(LOOKUP(V1029,{600001;700001;800001;900001},{4000;6750;10250;15250}),0),IF(V1029&gt;1200000,((V1029-1200000)*27.5%)+300000,0)
)))))))</f>
        <v>0</v>
      </c>
      <c r="X1029" s="12">
        <f t="shared" si="247"/>
        <v>0</v>
      </c>
      <c r="Y1029" s="12">
        <f t="shared" si="248"/>
        <v>0</v>
      </c>
      <c r="Z1029" s="11"/>
      <c r="AA1029" s="13">
        <f t="shared" si="249"/>
        <v>0</v>
      </c>
      <c r="AB1029" s="12">
        <f t="shared" si="250"/>
        <v>0</v>
      </c>
      <c r="AC1029" s="14">
        <f t="shared" ref="AC1029:AC1092" si="253">+M1029-P1029-Y1029</f>
        <v>0</v>
      </c>
      <c r="AE1029" s="19">
        <f t="shared" si="251"/>
        <v>0</v>
      </c>
      <c r="AF1029" s="19"/>
      <c r="AG1029" s="17"/>
      <c r="AK1029" s="7"/>
      <c r="AL1029" s="108">
        <f t="shared" ref="AL1029:AL1092" si="254">+AK1029+AD1029</f>
        <v>0</v>
      </c>
      <c r="AM1029" s="108">
        <f t="shared" ref="AM1029:AM1092" si="255">+AL1029-AC1029</f>
        <v>0</v>
      </c>
      <c r="AN1029" s="113"/>
    </row>
    <row r="1030" spans="2:40" x14ac:dyDescent="0.2">
      <c r="B1030" s="7"/>
      <c r="C1030" s="8"/>
      <c r="D1030" s="8"/>
      <c r="E1030" s="9"/>
      <c r="F1030" s="6"/>
      <c r="G1030" s="8"/>
      <c r="H1030" s="32"/>
      <c r="I1030" s="10" t="str">
        <f t="shared" si="252"/>
        <v>21</v>
      </c>
      <c r="J1030" s="11">
        <v>1</v>
      </c>
      <c r="K1030" s="11"/>
      <c r="L1030" s="11"/>
      <c r="M1030" s="11">
        <f t="shared" si="241"/>
        <v>0</v>
      </c>
      <c r="N1030" s="11"/>
      <c r="O1030" s="11">
        <f t="shared" si="242"/>
        <v>0</v>
      </c>
      <c r="P1030" s="11"/>
      <c r="Q1030" s="11"/>
      <c r="R1030" s="11"/>
      <c r="S1030" s="11">
        <f t="shared" si="243"/>
        <v>0</v>
      </c>
      <c r="T1030" s="11">
        <f t="shared" si="244"/>
        <v>1666.6666666666667</v>
      </c>
      <c r="U1030" s="11">
        <f t="shared" si="245"/>
        <v>0</v>
      </c>
      <c r="V1030" s="24">
        <f t="shared" si="246"/>
        <v>0</v>
      </c>
      <c r="W1030" s="11">
        <f>IF(V1030&lt;=40000,0,
IF(V1030&lt;=55000,(V1030-40000)*10%,
IF(V1030&lt;=70000,(V1030-55000)*15%+1500,
IF(V1030&lt;=200000,(V1030-70000)*20%+1500+2250,
IF(V1030&lt;=400000,(V1030-200000)*22.5%+1500+2250+26000,
IF(V1030&lt;=600000,(V1030-400000)*25%+1500+2250+26000+45000,
IF(AND(V1030&gt;600000,V1030&lt;=1200000),(V1030-400000)*25%+1500+2250+26000+45000
+IFERROR(LOOKUP(V1030,{600001;700001;800001;900001},{4000;6750;10250;15250}),0),IF(V1030&gt;1200000,((V1030-1200000)*27.5%)+300000,0)
)))))))</f>
        <v>0</v>
      </c>
      <c r="X1030" s="12">
        <f t="shared" si="247"/>
        <v>0</v>
      </c>
      <c r="Y1030" s="12">
        <f t="shared" si="248"/>
        <v>0</v>
      </c>
      <c r="Z1030" s="11"/>
      <c r="AA1030" s="13">
        <f t="shared" si="249"/>
        <v>0</v>
      </c>
      <c r="AB1030" s="12">
        <f t="shared" si="250"/>
        <v>0</v>
      </c>
      <c r="AC1030" s="14">
        <f t="shared" si="253"/>
        <v>0</v>
      </c>
      <c r="AE1030" s="19">
        <f t="shared" si="251"/>
        <v>0</v>
      </c>
      <c r="AF1030" s="19"/>
      <c r="AG1030" s="17"/>
      <c r="AK1030" s="7"/>
      <c r="AL1030" s="108">
        <f t="shared" si="254"/>
        <v>0</v>
      </c>
      <c r="AM1030" s="108">
        <f t="shared" si="255"/>
        <v>0</v>
      </c>
      <c r="AN1030" s="113"/>
    </row>
    <row r="1031" spans="2:40" x14ac:dyDescent="0.2">
      <c r="B1031" s="7"/>
      <c r="C1031" s="8"/>
      <c r="D1031" s="8"/>
      <c r="E1031" s="9"/>
      <c r="F1031" s="6"/>
      <c r="G1031" s="8"/>
      <c r="H1031" s="32"/>
      <c r="I1031" s="10" t="str">
        <f t="shared" si="252"/>
        <v>21</v>
      </c>
      <c r="J1031" s="11">
        <v>1</v>
      </c>
      <c r="K1031" s="11"/>
      <c r="L1031" s="11"/>
      <c r="M1031" s="11">
        <f t="shared" si="241"/>
        <v>0</v>
      </c>
      <c r="N1031" s="11"/>
      <c r="O1031" s="11">
        <f t="shared" si="242"/>
        <v>0</v>
      </c>
      <c r="P1031" s="11"/>
      <c r="Q1031" s="11"/>
      <c r="R1031" s="11"/>
      <c r="S1031" s="11">
        <f t="shared" si="243"/>
        <v>0</v>
      </c>
      <c r="T1031" s="11">
        <f t="shared" si="244"/>
        <v>1666.6666666666667</v>
      </c>
      <c r="U1031" s="11">
        <f t="shared" si="245"/>
        <v>0</v>
      </c>
      <c r="V1031" s="24">
        <f t="shared" si="246"/>
        <v>0</v>
      </c>
      <c r="W1031" s="11">
        <f>IF(V1031&lt;=40000,0,
IF(V1031&lt;=55000,(V1031-40000)*10%,
IF(V1031&lt;=70000,(V1031-55000)*15%+1500,
IF(V1031&lt;=200000,(V1031-70000)*20%+1500+2250,
IF(V1031&lt;=400000,(V1031-200000)*22.5%+1500+2250+26000,
IF(V1031&lt;=600000,(V1031-400000)*25%+1500+2250+26000+45000,
IF(AND(V1031&gt;600000,V1031&lt;=1200000),(V1031-400000)*25%+1500+2250+26000+45000
+IFERROR(LOOKUP(V1031,{600001;700001;800001;900001},{4000;6750;10250;15250}),0),IF(V1031&gt;1200000,((V1031-1200000)*27.5%)+300000,0)
)))))))</f>
        <v>0</v>
      </c>
      <c r="X1031" s="12">
        <f t="shared" si="247"/>
        <v>0</v>
      </c>
      <c r="Y1031" s="12">
        <f t="shared" si="248"/>
        <v>0</v>
      </c>
      <c r="Z1031" s="11"/>
      <c r="AA1031" s="13">
        <f t="shared" si="249"/>
        <v>0</v>
      </c>
      <c r="AB1031" s="12">
        <f t="shared" si="250"/>
        <v>0</v>
      </c>
      <c r="AC1031" s="14">
        <f t="shared" si="253"/>
        <v>0</v>
      </c>
      <c r="AE1031" s="19">
        <f t="shared" si="251"/>
        <v>0</v>
      </c>
      <c r="AF1031" s="19"/>
      <c r="AG1031" s="17"/>
      <c r="AK1031" s="7"/>
      <c r="AL1031" s="108">
        <f t="shared" si="254"/>
        <v>0</v>
      </c>
      <c r="AM1031" s="108">
        <f t="shared" si="255"/>
        <v>0</v>
      </c>
      <c r="AN1031" s="113"/>
    </row>
    <row r="1032" spans="2:40" x14ac:dyDescent="0.2">
      <c r="B1032" s="7"/>
      <c r="C1032" s="8"/>
      <c r="D1032" s="8"/>
      <c r="E1032" s="9"/>
      <c r="F1032" s="6"/>
      <c r="G1032" s="8"/>
      <c r="H1032" s="32"/>
      <c r="I1032" s="10" t="str">
        <f t="shared" si="252"/>
        <v>21</v>
      </c>
      <c r="J1032" s="11">
        <v>1</v>
      </c>
      <c r="K1032" s="11"/>
      <c r="L1032" s="11"/>
      <c r="M1032" s="11">
        <f t="shared" si="241"/>
        <v>0</v>
      </c>
      <c r="N1032" s="11"/>
      <c r="O1032" s="11">
        <f t="shared" si="242"/>
        <v>0</v>
      </c>
      <c r="P1032" s="11"/>
      <c r="Q1032" s="11"/>
      <c r="R1032" s="11"/>
      <c r="S1032" s="11">
        <f t="shared" si="243"/>
        <v>0</v>
      </c>
      <c r="T1032" s="11">
        <f t="shared" si="244"/>
        <v>1666.6666666666667</v>
      </c>
      <c r="U1032" s="11">
        <f t="shared" si="245"/>
        <v>0</v>
      </c>
      <c r="V1032" s="24">
        <f t="shared" si="246"/>
        <v>0</v>
      </c>
      <c r="W1032" s="11">
        <f>IF(V1032&lt;=40000,0,
IF(V1032&lt;=55000,(V1032-40000)*10%,
IF(V1032&lt;=70000,(V1032-55000)*15%+1500,
IF(V1032&lt;=200000,(V1032-70000)*20%+1500+2250,
IF(V1032&lt;=400000,(V1032-200000)*22.5%+1500+2250+26000,
IF(V1032&lt;=600000,(V1032-400000)*25%+1500+2250+26000+45000,
IF(AND(V1032&gt;600000,V1032&lt;=1200000),(V1032-400000)*25%+1500+2250+26000+45000
+IFERROR(LOOKUP(V1032,{600001;700001;800001;900001},{4000;6750;10250;15250}),0),IF(V1032&gt;1200000,((V1032-1200000)*27.5%)+300000,0)
)))))))</f>
        <v>0</v>
      </c>
      <c r="X1032" s="12">
        <f t="shared" si="247"/>
        <v>0</v>
      </c>
      <c r="Y1032" s="12">
        <f t="shared" si="248"/>
        <v>0</v>
      </c>
      <c r="Z1032" s="11"/>
      <c r="AA1032" s="13">
        <f t="shared" si="249"/>
        <v>0</v>
      </c>
      <c r="AB1032" s="12">
        <f t="shared" si="250"/>
        <v>0</v>
      </c>
      <c r="AC1032" s="14">
        <f t="shared" si="253"/>
        <v>0</v>
      </c>
      <c r="AE1032" s="19">
        <f t="shared" si="251"/>
        <v>0</v>
      </c>
      <c r="AF1032" s="19"/>
      <c r="AG1032" s="17"/>
      <c r="AK1032" s="7"/>
      <c r="AL1032" s="108">
        <f t="shared" si="254"/>
        <v>0</v>
      </c>
      <c r="AM1032" s="108">
        <f t="shared" si="255"/>
        <v>0</v>
      </c>
      <c r="AN1032" s="113"/>
    </row>
    <row r="1033" spans="2:40" x14ac:dyDescent="0.2">
      <c r="B1033" s="7"/>
      <c r="C1033" s="8"/>
      <c r="D1033" s="8"/>
      <c r="E1033" s="9"/>
      <c r="F1033" s="6"/>
      <c r="G1033" s="8"/>
      <c r="H1033" s="32"/>
      <c r="I1033" s="10" t="str">
        <f t="shared" si="252"/>
        <v>21</v>
      </c>
      <c r="J1033" s="11">
        <v>1</v>
      </c>
      <c r="K1033" s="11"/>
      <c r="L1033" s="11"/>
      <c r="M1033" s="11">
        <f t="shared" si="241"/>
        <v>0</v>
      </c>
      <c r="N1033" s="11"/>
      <c r="O1033" s="11">
        <f t="shared" si="242"/>
        <v>0</v>
      </c>
      <c r="P1033" s="11"/>
      <c r="Q1033" s="11"/>
      <c r="R1033" s="11"/>
      <c r="S1033" s="11">
        <f t="shared" si="243"/>
        <v>0</v>
      </c>
      <c r="T1033" s="11">
        <f t="shared" si="244"/>
        <v>1666.6666666666667</v>
      </c>
      <c r="U1033" s="11">
        <f t="shared" si="245"/>
        <v>0</v>
      </c>
      <c r="V1033" s="24">
        <f t="shared" si="246"/>
        <v>0</v>
      </c>
      <c r="W1033" s="11">
        <f>IF(V1033&lt;=40000,0,
IF(V1033&lt;=55000,(V1033-40000)*10%,
IF(V1033&lt;=70000,(V1033-55000)*15%+1500,
IF(V1033&lt;=200000,(V1033-70000)*20%+1500+2250,
IF(V1033&lt;=400000,(V1033-200000)*22.5%+1500+2250+26000,
IF(V1033&lt;=600000,(V1033-400000)*25%+1500+2250+26000+45000,
IF(AND(V1033&gt;600000,V1033&lt;=1200000),(V1033-400000)*25%+1500+2250+26000+45000
+IFERROR(LOOKUP(V1033,{600001;700001;800001;900001},{4000;6750;10250;15250}),0),IF(V1033&gt;1200000,((V1033-1200000)*27.5%)+300000,0)
)))))))</f>
        <v>0</v>
      </c>
      <c r="X1033" s="12">
        <f t="shared" si="247"/>
        <v>0</v>
      </c>
      <c r="Y1033" s="12">
        <f t="shared" si="248"/>
        <v>0</v>
      </c>
      <c r="Z1033" s="11"/>
      <c r="AA1033" s="13">
        <f t="shared" si="249"/>
        <v>0</v>
      </c>
      <c r="AB1033" s="12">
        <f t="shared" si="250"/>
        <v>0</v>
      </c>
      <c r="AC1033" s="14">
        <f t="shared" si="253"/>
        <v>0</v>
      </c>
      <c r="AE1033" s="19">
        <f t="shared" si="251"/>
        <v>0</v>
      </c>
      <c r="AF1033" s="19"/>
      <c r="AG1033" s="17"/>
      <c r="AK1033" s="7"/>
      <c r="AL1033" s="108">
        <f t="shared" si="254"/>
        <v>0</v>
      </c>
      <c r="AM1033" s="108">
        <f t="shared" si="255"/>
        <v>0</v>
      </c>
      <c r="AN1033" s="113"/>
    </row>
    <row r="1034" spans="2:40" x14ac:dyDescent="0.2">
      <c r="B1034" s="7"/>
      <c r="C1034" s="8"/>
      <c r="D1034" s="8"/>
      <c r="E1034" s="9"/>
      <c r="F1034" s="6"/>
      <c r="G1034" s="8"/>
      <c r="H1034" s="32"/>
      <c r="I1034" s="10" t="str">
        <f t="shared" si="252"/>
        <v>21</v>
      </c>
      <c r="J1034" s="11">
        <v>1</v>
      </c>
      <c r="K1034" s="11"/>
      <c r="L1034" s="11"/>
      <c r="M1034" s="11">
        <f t="shared" si="241"/>
        <v>0</v>
      </c>
      <c r="N1034" s="11"/>
      <c r="O1034" s="11">
        <f t="shared" si="242"/>
        <v>0</v>
      </c>
      <c r="P1034" s="11"/>
      <c r="Q1034" s="11"/>
      <c r="R1034" s="11"/>
      <c r="S1034" s="11">
        <f t="shared" si="243"/>
        <v>0</v>
      </c>
      <c r="T1034" s="11">
        <f t="shared" si="244"/>
        <v>1666.6666666666667</v>
      </c>
      <c r="U1034" s="11">
        <f t="shared" si="245"/>
        <v>0</v>
      </c>
      <c r="V1034" s="24">
        <f t="shared" si="246"/>
        <v>0</v>
      </c>
      <c r="W1034" s="11">
        <f>IF(V1034&lt;=40000,0,
IF(V1034&lt;=55000,(V1034-40000)*10%,
IF(V1034&lt;=70000,(V1034-55000)*15%+1500,
IF(V1034&lt;=200000,(V1034-70000)*20%+1500+2250,
IF(V1034&lt;=400000,(V1034-200000)*22.5%+1500+2250+26000,
IF(V1034&lt;=600000,(V1034-400000)*25%+1500+2250+26000+45000,
IF(AND(V1034&gt;600000,V1034&lt;=1200000),(V1034-400000)*25%+1500+2250+26000+45000
+IFERROR(LOOKUP(V1034,{600001;700001;800001;900001},{4000;6750;10250;15250}),0),IF(V1034&gt;1200000,((V1034-1200000)*27.5%)+300000,0)
)))))))</f>
        <v>0</v>
      </c>
      <c r="X1034" s="12">
        <f t="shared" si="247"/>
        <v>0</v>
      </c>
      <c r="Y1034" s="12">
        <f t="shared" si="248"/>
        <v>0</v>
      </c>
      <c r="Z1034" s="11"/>
      <c r="AA1034" s="13">
        <f t="shared" si="249"/>
        <v>0</v>
      </c>
      <c r="AB1034" s="12">
        <f t="shared" si="250"/>
        <v>0</v>
      </c>
      <c r="AC1034" s="14">
        <f t="shared" si="253"/>
        <v>0</v>
      </c>
      <c r="AE1034" s="19">
        <f t="shared" si="251"/>
        <v>0</v>
      </c>
      <c r="AF1034" s="19"/>
      <c r="AG1034" s="17"/>
      <c r="AK1034" s="7"/>
      <c r="AL1034" s="108">
        <f t="shared" si="254"/>
        <v>0</v>
      </c>
      <c r="AM1034" s="108">
        <f t="shared" si="255"/>
        <v>0</v>
      </c>
      <c r="AN1034" s="113"/>
    </row>
    <row r="1035" spans="2:40" x14ac:dyDescent="0.2">
      <c r="B1035" s="7"/>
      <c r="C1035" s="8"/>
      <c r="D1035" s="8"/>
      <c r="E1035" s="9"/>
      <c r="F1035" s="6"/>
      <c r="G1035" s="8"/>
      <c r="H1035" s="32"/>
      <c r="I1035" s="10" t="str">
        <f t="shared" si="252"/>
        <v>21</v>
      </c>
      <c r="J1035" s="11">
        <v>1</v>
      </c>
      <c r="K1035" s="11"/>
      <c r="L1035" s="11"/>
      <c r="M1035" s="11">
        <f t="shared" si="241"/>
        <v>0</v>
      </c>
      <c r="N1035" s="11"/>
      <c r="O1035" s="11">
        <f t="shared" si="242"/>
        <v>0</v>
      </c>
      <c r="P1035" s="11"/>
      <c r="Q1035" s="11"/>
      <c r="R1035" s="11"/>
      <c r="S1035" s="11">
        <f t="shared" si="243"/>
        <v>0</v>
      </c>
      <c r="T1035" s="11">
        <f t="shared" si="244"/>
        <v>1666.6666666666667</v>
      </c>
      <c r="U1035" s="11">
        <f t="shared" si="245"/>
        <v>0</v>
      </c>
      <c r="V1035" s="24">
        <f t="shared" si="246"/>
        <v>0</v>
      </c>
      <c r="W1035" s="11">
        <f>IF(V1035&lt;=40000,0,
IF(V1035&lt;=55000,(V1035-40000)*10%,
IF(V1035&lt;=70000,(V1035-55000)*15%+1500,
IF(V1035&lt;=200000,(V1035-70000)*20%+1500+2250,
IF(V1035&lt;=400000,(V1035-200000)*22.5%+1500+2250+26000,
IF(V1035&lt;=600000,(V1035-400000)*25%+1500+2250+26000+45000,
IF(AND(V1035&gt;600000,V1035&lt;=1200000),(V1035-400000)*25%+1500+2250+26000+45000
+IFERROR(LOOKUP(V1035,{600001;700001;800001;900001},{4000;6750;10250;15250}),0),IF(V1035&gt;1200000,((V1035-1200000)*27.5%)+300000,0)
)))))))</f>
        <v>0</v>
      </c>
      <c r="X1035" s="12">
        <f t="shared" si="247"/>
        <v>0</v>
      </c>
      <c r="Y1035" s="12">
        <f t="shared" si="248"/>
        <v>0</v>
      </c>
      <c r="Z1035" s="11"/>
      <c r="AA1035" s="13">
        <f t="shared" si="249"/>
        <v>0</v>
      </c>
      <c r="AB1035" s="12">
        <f t="shared" si="250"/>
        <v>0</v>
      </c>
      <c r="AC1035" s="14">
        <f t="shared" si="253"/>
        <v>0</v>
      </c>
      <c r="AE1035" s="19">
        <f t="shared" si="251"/>
        <v>0</v>
      </c>
      <c r="AF1035" s="19"/>
      <c r="AG1035" s="17"/>
      <c r="AK1035" s="7"/>
      <c r="AL1035" s="108">
        <f t="shared" si="254"/>
        <v>0</v>
      </c>
      <c r="AM1035" s="108">
        <f t="shared" si="255"/>
        <v>0</v>
      </c>
      <c r="AN1035" s="113"/>
    </row>
    <row r="1036" spans="2:40" x14ac:dyDescent="0.2">
      <c r="B1036" s="7"/>
      <c r="C1036" s="8"/>
      <c r="D1036" s="8"/>
      <c r="E1036" s="9"/>
      <c r="F1036" s="6"/>
      <c r="G1036" s="8"/>
      <c r="H1036" s="32"/>
      <c r="I1036" s="10" t="str">
        <f t="shared" si="252"/>
        <v>21</v>
      </c>
      <c r="J1036" s="11">
        <v>1</v>
      </c>
      <c r="K1036" s="11"/>
      <c r="L1036" s="11"/>
      <c r="M1036" s="11">
        <f t="shared" si="241"/>
        <v>0</v>
      </c>
      <c r="N1036" s="11"/>
      <c r="O1036" s="11">
        <f t="shared" si="242"/>
        <v>0</v>
      </c>
      <c r="P1036" s="11"/>
      <c r="Q1036" s="11"/>
      <c r="R1036" s="11"/>
      <c r="S1036" s="11">
        <f t="shared" si="243"/>
        <v>0</v>
      </c>
      <c r="T1036" s="11">
        <f t="shared" si="244"/>
        <v>1666.6666666666667</v>
      </c>
      <c r="U1036" s="11">
        <f t="shared" si="245"/>
        <v>0</v>
      </c>
      <c r="V1036" s="24">
        <f t="shared" si="246"/>
        <v>0</v>
      </c>
      <c r="W1036" s="11">
        <f>IF(V1036&lt;=40000,0,
IF(V1036&lt;=55000,(V1036-40000)*10%,
IF(V1036&lt;=70000,(V1036-55000)*15%+1500,
IF(V1036&lt;=200000,(V1036-70000)*20%+1500+2250,
IF(V1036&lt;=400000,(V1036-200000)*22.5%+1500+2250+26000,
IF(V1036&lt;=600000,(V1036-400000)*25%+1500+2250+26000+45000,
IF(AND(V1036&gt;600000,V1036&lt;=1200000),(V1036-400000)*25%+1500+2250+26000+45000
+IFERROR(LOOKUP(V1036,{600001;700001;800001;900001},{4000;6750;10250;15250}),0),IF(V1036&gt;1200000,((V1036-1200000)*27.5%)+300000,0)
)))))))</f>
        <v>0</v>
      </c>
      <c r="X1036" s="12">
        <f t="shared" si="247"/>
        <v>0</v>
      </c>
      <c r="Y1036" s="12">
        <f t="shared" si="248"/>
        <v>0</v>
      </c>
      <c r="Z1036" s="11"/>
      <c r="AA1036" s="13">
        <f t="shared" si="249"/>
        <v>0</v>
      </c>
      <c r="AB1036" s="12">
        <f t="shared" si="250"/>
        <v>0</v>
      </c>
      <c r="AC1036" s="14">
        <f t="shared" si="253"/>
        <v>0</v>
      </c>
      <c r="AE1036" s="19">
        <f t="shared" si="251"/>
        <v>0</v>
      </c>
      <c r="AF1036" s="19"/>
      <c r="AG1036" s="17"/>
      <c r="AK1036" s="7"/>
      <c r="AL1036" s="108">
        <f t="shared" si="254"/>
        <v>0</v>
      </c>
      <c r="AM1036" s="108">
        <f t="shared" si="255"/>
        <v>0</v>
      </c>
      <c r="AN1036" s="113"/>
    </row>
    <row r="1037" spans="2:40" x14ac:dyDescent="0.2">
      <c r="B1037" s="7"/>
      <c r="C1037" s="8"/>
      <c r="D1037" s="8"/>
      <c r="E1037" s="9"/>
      <c r="F1037" s="6"/>
      <c r="G1037" s="8"/>
      <c r="H1037" s="32"/>
      <c r="I1037" s="10" t="str">
        <f t="shared" si="252"/>
        <v>21</v>
      </c>
      <c r="J1037" s="11">
        <v>1</v>
      </c>
      <c r="K1037" s="11"/>
      <c r="L1037" s="11"/>
      <c r="M1037" s="11">
        <f t="shared" si="241"/>
        <v>0</v>
      </c>
      <c r="N1037" s="11"/>
      <c r="O1037" s="11">
        <f t="shared" si="242"/>
        <v>0</v>
      </c>
      <c r="P1037" s="11"/>
      <c r="Q1037" s="11"/>
      <c r="R1037" s="11"/>
      <c r="S1037" s="11">
        <f t="shared" si="243"/>
        <v>0</v>
      </c>
      <c r="T1037" s="11">
        <f t="shared" si="244"/>
        <v>1666.6666666666667</v>
      </c>
      <c r="U1037" s="11">
        <f t="shared" si="245"/>
        <v>0</v>
      </c>
      <c r="V1037" s="24">
        <f t="shared" si="246"/>
        <v>0</v>
      </c>
      <c r="W1037" s="11">
        <f>IF(V1037&lt;=40000,0,
IF(V1037&lt;=55000,(V1037-40000)*10%,
IF(V1037&lt;=70000,(V1037-55000)*15%+1500,
IF(V1037&lt;=200000,(V1037-70000)*20%+1500+2250,
IF(V1037&lt;=400000,(V1037-200000)*22.5%+1500+2250+26000,
IF(V1037&lt;=600000,(V1037-400000)*25%+1500+2250+26000+45000,
IF(AND(V1037&gt;600000,V1037&lt;=1200000),(V1037-400000)*25%+1500+2250+26000+45000
+IFERROR(LOOKUP(V1037,{600001;700001;800001;900001},{4000;6750;10250;15250}),0),IF(V1037&gt;1200000,((V1037-1200000)*27.5%)+300000,0)
)))))))</f>
        <v>0</v>
      </c>
      <c r="X1037" s="12">
        <f t="shared" si="247"/>
        <v>0</v>
      </c>
      <c r="Y1037" s="12">
        <f t="shared" si="248"/>
        <v>0</v>
      </c>
      <c r="Z1037" s="11"/>
      <c r="AA1037" s="13">
        <f t="shared" si="249"/>
        <v>0</v>
      </c>
      <c r="AB1037" s="12">
        <f t="shared" si="250"/>
        <v>0</v>
      </c>
      <c r="AC1037" s="14">
        <f t="shared" si="253"/>
        <v>0</v>
      </c>
      <c r="AE1037" s="19">
        <f t="shared" si="251"/>
        <v>0</v>
      </c>
      <c r="AF1037" s="19"/>
      <c r="AG1037" s="17"/>
      <c r="AK1037" s="7"/>
      <c r="AL1037" s="108">
        <f t="shared" si="254"/>
        <v>0</v>
      </c>
      <c r="AM1037" s="108">
        <f t="shared" si="255"/>
        <v>0</v>
      </c>
      <c r="AN1037" s="113"/>
    </row>
    <row r="1038" spans="2:40" x14ac:dyDescent="0.2">
      <c r="B1038" s="7"/>
      <c r="C1038" s="8"/>
      <c r="D1038" s="8"/>
      <c r="E1038" s="9"/>
      <c r="F1038" s="6"/>
      <c r="G1038" s="8"/>
      <c r="H1038" s="32"/>
      <c r="I1038" s="10" t="str">
        <f t="shared" si="252"/>
        <v>21</v>
      </c>
      <c r="J1038" s="11">
        <v>1</v>
      </c>
      <c r="K1038" s="11"/>
      <c r="L1038" s="11"/>
      <c r="M1038" s="11">
        <f t="shared" si="241"/>
        <v>0</v>
      </c>
      <c r="N1038" s="11"/>
      <c r="O1038" s="11">
        <f t="shared" si="242"/>
        <v>0</v>
      </c>
      <c r="P1038" s="11"/>
      <c r="Q1038" s="11"/>
      <c r="R1038" s="11"/>
      <c r="S1038" s="11">
        <f t="shared" si="243"/>
        <v>0</v>
      </c>
      <c r="T1038" s="11">
        <f t="shared" si="244"/>
        <v>1666.6666666666667</v>
      </c>
      <c r="U1038" s="11">
        <f t="shared" si="245"/>
        <v>0</v>
      </c>
      <c r="V1038" s="24">
        <f t="shared" si="246"/>
        <v>0</v>
      </c>
      <c r="W1038" s="11">
        <f>IF(V1038&lt;=40000,0,
IF(V1038&lt;=55000,(V1038-40000)*10%,
IF(V1038&lt;=70000,(V1038-55000)*15%+1500,
IF(V1038&lt;=200000,(V1038-70000)*20%+1500+2250,
IF(V1038&lt;=400000,(V1038-200000)*22.5%+1500+2250+26000,
IF(V1038&lt;=600000,(V1038-400000)*25%+1500+2250+26000+45000,
IF(AND(V1038&gt;600000,V1038&lt;=1200000),(V1038-400000)*25%+1500+2250+26000+45000
+IFERROR(LOOKUP(V1038,{600001;700001;800001;900001},{4000;6750;10250;15250}),0),IF(V1038&gt;1200000,((V1038-1200000)*27.5%)+300000,0)
)))))))</f>
        <v>0</v>
      </c>
      <c r="X1038" s="12">
        <f t="shared" si="247"/>
        <v>0</v>
      </c>
      <c r="Y1038" s="12">
        <f t="shared" si="248"/>
        <v>0</v>
      </c>
      <c r="Z1038" s="11"/>
      <c r="AA1038" s="13">
        <f t="shared" si="249"/>
        <v>0</v>
      </c>
      <c r="AB1038" s="12">
        <f t="shared" si="250"/>
        <v>0</v>
      </c>
      <c r="AC1038" s="14">
        <f t="shared" si="253"/>
        <v>0</v>
      </c>
      <c r="AE1038" s="19">
        <f t="shared" si="251"/>
        <v>0</v>
      </c>
      <c r="AF1038" s="19"/>
      <c r="AG1038" s="17"/>
      <c r="AK1038" s="7"/>
      <c r="AL1038" s="108">
        <f t="shared" si="254"/>
        <v>0</v>
      </c>
      <c r="AM1038" s="108">
        <f t="shared" si="255"/>
        <v>0</v>
      </c>
      <c r="AN1038" s="113"/>
    </row>
    <row r="1039" spans="2:40" x14ac:dyDescent="0.2">
      <c r="B1039" s="7"/>
      <c r="C1039" s="8"/>
      <c r="D1039" s="8"/>
      <c r="E1039" s="9"/>
      <c r="F1039" s="6"/>
      <c r="G1039" s="8"/>
      <c r="H1039" s="32"/>
      <c r="I1039" s="10" t="str">
        <f t="shared" si="252"/>
        <v>21</v>
      </c>
      <c r="J1039" s="11">
        <v>1</v>
      </c>
      <c r="K1039" s="11"/>
      <c r="L1039" s="11"/>
      <c r="M1039" s="11">
        <f t="shared" si="241"/>
        <v>0</v>
      </c>
      <c r="N1039" s="11"/>
      <c r="O1039" s="11">
        <f t="shared" si="242"/>
        <v>0</v>
      </c>
      <c r="P1039" s="11"/>
      <c r="Q1039" s="11"/>
      <c r="R1039" s="11"/>
      <c r="S1039" s="11">
        <f t="shared" si="243"/>
        <v>0</v>
      </c>
      <c r="T1039" s="11">
        <f t="shared" si="244"/>
        <v>1666.6666666666667</v>
      </c>
      <c r="U1039" s="11">
        <f t="shared" si="245"/>
        <v>0</v>
      </c>
      <c r="V1039" s="24">
        <f t="shared" si="246"/>
        <v>0</v>
      </c>
      <c r="W1039" s="11">
        <f>IF(V1039&lt;=40000,0,
IF(V1039&lt;=55000,(V1039-40000)*10%,
IF(V1039&lt;=70000,(V1039-55000)*15%+1500,
IF(V1039&lt;=200000,(V1039-70000)*20%+1500+2250,
IF(V1039&lt;=400000,(V1039-200000)*22.5%+1500+2250+26000,
IF(V1039&lt;=600000,(V1039-400000)*25%+1500+2250+26000+45000,
IF(AND(V1039&gt;600000,V1039&lt;=1200000),(V1039-400000)*25%+1500+2250+26000+45000
+IFERROR(LOOKUP(V1039,{600001;700001;800001;900001},{4000;6750;10250;15250}),0),IF(V1039&gt;1200000,((V1039-1200000)*27.5%)+300000,0)
)))))))</f>
        <v>0</v>
      </c>
      <c r="X1039" s="12">
        <f t="shared" si="247"/>
        <v>0</v>
      </c>
      <c r="Y1039" s="12">
        <f t="shared" si="248"/>
        <v>0</v>
      </c>
      <c r="Z1039" s="11"/>
      <c r="AA1039" s="13">
        <f t="shared" si="249"/>
        <v>0</v>
      </c>
      <c r="AB1039" s="12">
        <f t="shared" si="250"/>
        <v>0</v>
      </c>
      <c r="AC1039" s="14">
        <f t="shared" si="253"/>
        <v>0</v>
      </c>
      <c r="AE1039" s="19">
        <f t="shared" si="251"/>
        <v>0</v>
      </c>
      <c r="AF1039" s="19"/>
      <c r="AG1039" s="17"/>
      <c r="AK1039" s="7"/>
      <c r="AL1039" s="108">
        <f t="shared" si="254"/>
        <v>0</v>
      </c>
      <c r="AM1039" s="108">
        <f t="shared" si="255"/>
        <v>0</v>
      </c>
      <c r="AN1039" s="113"/>
    </row>
    <row r="1040" spans="2:40" x14ac:dyDescent="0.2">
      <c r="B1040" s="7"/>
      <c r="C1040" s="8"/>
      <c r="D1040" s="8"/>
      <c r="E1040" s="9"/>
      <c r="F1040" s="6"/>
      <c r="G1040" s="8"/>
      <c r="H1040" s="32"/>
      <c r="I1040" s="10" t="str">
        <f t="shared" si="252"/>
        <v>21</v>
      </c>
      <c r="J1040" s="11">
        <v>1</v>
      </c>
      <c r="K1040" s="11"/>
      <c r="L1040" s="11"/>
      <c r="M1040" s="11">
        <f t="shared" si="241"/>
        <v>0</v>
      </c>
      <c r="N1040" s="11"/>
      <c r="O1040" s="11">
        <f t="shared" si="242"/>
        <v>0</v>
      </c>
      <c r="P1040" s="11"/>
      <c r="Q1040" s="11"/>
      <c r="R1040" s="11"/>
      <c r="S1040" s="11">
        <f t="shared" si="243"/>
        <v>0</v>
      </c>
      <c r="T1040" s="11">
        <f t="shared" si="244"/>
        <v>1666.6666666666667</v>
      </c>
      <c r="U1040" s="11">
        <f t="shared" si="245"/>
        <v>0</v>
      </c>
      <c r="V1040" s="24">
        <f t="shared" si="246"/>
        <v>0</v>
      </c>
      <c r="W1040" s="11">
        <f>IF(V1040&lt;=40000,0,
IF(V1040&lt;=55000,(V1040-40000)*10%,
IF(V1040&lt;=70000,(V1040-55000)*15%+1500,
IF(V1040&lt;=200000,(V1040-70000)*20%+1500+2250,
IF(V1040&lt;=400000,(V1040-200000)*22.5%+1500+2250+26000,
IF(V1040&lt;=600000,(V1040-400000)*25%+1500+2250+26000+45000,
IF(AND(V1040&gt;600000,V1040&lt;=1200000),(V1040-400000)*25%+1500+2250+26000+45000
+IFERROR(LOOKUP(V1040,{600001;700001;800001;900001},{4000;6750;10250;15250}),0),IF(V1040&gt;1200000,((V1040-1200000)*27.5%)+300000,0)
)))))))</f>
        <v>0</v>
      </c>
      <c r="X1040" s="12">
        <f t="shared" si="247"/>
        <v>0</v>
      </c>
      <c r="Y1040" s="12">
        <f t="shared" si="248"/>
        <v>0</v>
      </c>
      <c r="Z1040" s="11"/>
      <c r="AA1040" s="13">
        <f t="shared" si="249"/>
        <v>0</v>
      </c>
      <c r="AB1040" s="12">
        <f t="shared" si="250"/>
        <v>0</v>
      </c>
      <c r="AC1040" s="14">
        <f t="shared" si="253"/>
        <v>0</v>
      </c>
      <c r="AE1040" s="19">
        <f t="shared" si="251"/>
        <v>0</v>
      </c>
      <c r="AF1040" s="19"/>
      <c r="AG1040" s="17"/>
      <c r="AK1040" s="7"/>
      <c r="AL1040" s="108">
        <f t="shared" si="254"/>
        <v>0</v>
      </c>
      <c r="AM1040" s="108">
        <f t="shared" si="255"/>
        <v>0</v>
      </c>
      <c r="AN1040" s="113"/>
    </row>
    <row r="1041" spans="2:40" x14ac:dyDescent="0.2">
      <c r="B1041" s="7"/>
      <c r="C1041" s="8"/>
      <c r="D1041" s="8"/>
      <c r="E1041" s="9"/>
      <c r="F1041" s="6"/>
      <c r="G1041" s="8"/>
      <c r="H1041" s="32"/>
      <c r="I1041" s="10" t="str">
        <f t="shared" si="252"/>
        <v>21</v>
      </c>
      <c r="J1041" s="11">
        <v>1</v>
      </c>
      <c r="K1041" s="11"/>
      <c r="L1041" s="11"/>
      <c r="M1041" s="11">
        <f t="shared" si="241"/>
        <v>0</v>
      </c>
      <c r="N1041" s="11"/>
      <c r="O1041" s="11">
        <f t="shared" si="242"/>
        <v>0</v>
      </c>
      <c r="P1041" s="11"/>
      <c r="Q1041" s="11"/>
      <c r="R1041" s="11"/>
      <c r="S1041" s="11">
        <f t="shared" si="243"/>
        <v>0</v>
      </c>
      <c r="T1041" s="11">
        <f t="shared" si="244"/>
        <v>1666.6666666666667</v>
      </c>
      <c r="U1041" s="11">
        <f t="shared" si="245"/>
        <v>0</v>
      </c>
      <c r="V1041" s="24">
        <f t="shared" si="246"/>
        <v>0</v>
      </c>
      <c r="W1041" s="11">
        <f>IF(V1041&lt;=40000,0,
IF(V1041&lt;=55000,(V1041-40000)*10%,
IF(V1041&lt;=70000,(V1041-55000)*15%+1500,
IF(V1041&lt;=200000,(V1041-70000)*20%+1500+2250,
IF(V1041&lt;=400000,(V1041-200000)*22.5%+1500+2250+26000,
IF(V1041&lt;=600000,(V1041-400000)*25%+1500+2250+26000+45000,
IF(AND(V1041&gt;600000,V1041&lt;=1200000),(V1041-400000)*25%+1500+2250+26000+45000
+IFERROR(LOOKUP(V1041,{600001;700001;800001;900001},{4000;6750;10250;15250}),0),IF(V1041&gt;1200000,((V1041-1200000)*27.5%)+300000,0)
)))))))</f>
        <v>0</v>
      </c>
      <c r="X1041" s="12">
        <f t="shared" si="247"/>
        <v>0</v>
      </c>
      <c r="Y1041" s="12">
        <f t="shared" si="248"/>
        <v>0</v>
      </c>
      <c r="Z1041" s="11"/>
      <c r="AA1041" s="13">
        <f t="shared" si="249"/>
        <v>0</v>
      </c>
      <c r="AB1041" s="12">
        <f t="shared" si="250"/>
        <v>0</v>
      </c>
      <c r="AC1041" s="14">
        <f t="shared" si="253"/>
        <v>0</v>
      </c>
      <c r="AE1041" s="19">
        <f t="shared" si="251"/>
        <v>0</v>
      </c>
      <c r="AF1041" s="19"/>
      <c r="AG1041" s="17"/>
      <c r="AK1041" s="7"/>
      <c r="AL1041" s="108">
        <f t="shared" si="254"/>
        <v>0</v>
      </c>
      <c r="AM1041" s="108">
        <f t="shared" si="255"/>
        <v>0</v>
      </c>
      <c r="AN1041" s="113"/>
    </row>
    <row r="1042" spans="2:40" x14ac:dyDescent="0.2">
      <c r="B1042" s="7"/>
      <c r="C1042" s="8"/>
      <c r="D1042" s="8"/>
      <c r="E1042" s="9"/>
      <c r="F1042" s="6"/>
      <c r="G1042" s="8"/>
      <c r="H1042" s="32"/>
      <c r="I1042" s="10" t="str">
        <f t="shared" si="252"/>
        <v>21</v>
      </c>
      <c r="J1042" s="11">
        <v>1</v>
      </c>
      <c r="K1042" s="11"/>
      <c r="L1042" s="11"/>
      <c r="M1042" s="11">
        <f t="shared" si="241"/>
        <v>0</v>
      </c>
      <c r="N1042" s="11"/>
      <c r="O1042" s="11">
        <f t="shared" si="242"/>
        <v>0</v>
      </c>
      <c r="P1042" s="11"/>
      <c r="Q1042" s="11"/>
      <c r="R1042" s="11"/>
      <c r="S1042" s="11">
        <f t="shared" si="243"/>
        <v>0</v>
      </c>
      <c r="T1042" s="11">
        <f t="shared" si="244"/>
        <v>1666.6666666666667</v>
      </c>
      <c r="U1042" s="11">
        <f t="shared" si="245"/>
        <v>0</v>
      </c>
      <c r="V1042" s="24">
        <f t="shared" si="246"/>
        <v>0</v>
      </c>
      <c r="W1042" s="11">
        <f>IF(V1042&lt;=40000,0,
IF(V1042&lt;=55000,(V1042-40000)*10%,
IF(V1042&lt;=70000,(V1042-55000)*15%+1500,
IF(V1042&lt;=200000,(V1042-70000)*20%+1500+2250,
IF(V1042&lt;=400000,(V1042-200000)*22.5%+1500+2250+26000,
IF(V1042&lt;=600000,(V1042-400000)*25%+1500+2250+26000+45000,
IF(AND(V1042&gt;600000,V1042&lt;=1200000),(V1042-400000)*25%+1500+2250+26000+45000
+IFERROR(LOOKUP(V1042,{600001;700001;800001;900001},{4000;6750;10250;15250}),0),IF(V1042&gt;1200000,((V1042-1200000)*27.5%)+300000,0)
)))))))</f>
        <v>0</v>
      </c>
      <c r="X1042" s="12">
        <f t="shared" si="247"/>
        <v>0</v>
      </c>
      <c r="Y1042" s="12">
        <f t="shared" si="248"/>
        <v>0</v>
      </c>
      <c r="Z1042" s="11"/>
      <c r="AA1042" s="13">
        <f t="shared" si="249"/>
        <v>0</v>
      </c>
      <c r="AB1042" s="12">
        <f t="shared" si="250"/>
        <v>0</v>
      </c>
      <c r="AC1042" s="14">
        <f t="shared" si="253"/>
        <v>0</v>
      </c>
      <c r="AE1042" s="19">
        <f t="shared" si="251"/>
        <v>0</v>
      </c>
      <c r="AF1042" s="19"/>
      <c r="AG1042" s="17"/>
      <c r="AK1042" s="7"/>
      <c r="AL1042" s="108">
        <f t="shared" si="254"/>
        <v>0</v>
      </c>
      <c r="AM1042" s="108">
        <f t="shared" si="255"/>
        <v>0</v>
      </c>
      <c r="AN1042" s="113"/>
    </row>
    <row r="1043" spans="2:40" x14ac:dyDescent="0.2">
      <c r="B1043" s="7"/>
      <c r="C1043" s="8"/>
      <c r="D1043" s="8"/>
      <c r="E1043" s="9"/>
      <c r="F1043" s="6"/>
      <c r="G1043" s="8"/>
      <c r="H1043" s="32"/>
      <c r="I1043" s="10" t="str">
        <f t="shared" si="252"/>
        <v>21</v>
      </c>
      <c r="J1043" s="11">
        <v>1</v>
      </c>
      <c r="K1043" s="11"/>
      <c r="L1043" s="11"/>
      <c r="M1043" s="11">
        <f t="shared" si="241"/>
        <v>0</v>
      </c>
      <c r="N1043" s="11"/>
      <c r="O1043" s="11">
        <f t="shared" si="242"/>
        <v>0</v>
      </c>
      <c r="P1043" s="11"/>
      <c r="Q1043" s="11"/>
      <c r="R1043" s="11"/>
      <c r="S1043" s="11">
        <f t="shared" si="243"/>
        <v>0</v>
      </c>
      <c r="T1043" s="11">
        <f t="shared" si="244"/>
        <v>1666.6666666666667</v>
      </c>
      <c r="U1043" s="11">
        <f t="shared" si="245"/>
        <v>0</v>
      </c>
      <c r="V1043" s="24">
        <f t="shared" si="246"/>
        <v>0</v>
      </c>
      <c r="W1043" s="11">
        <f>IF(V1043&lt;=40000,0,
IF(V1043&lt;=55000,(V1043-40000)*10%,
IF(V1043&lt;=70000,(V1043-55000)*15%+1500,
IF(V1043&lt;=200000,(V1043-70000)*20%+1500+2250,
IF(V1043&lt;=400000,(V1043-200000)*22.5%+1500+2250+26000,
IF(V1043&lt;=600000,(V1043-400000)*25%+1500+2250+26000+45000,
IF(AND(V1043&gt;600000,V1043&lt;=1200000),(V1043-400000)*25%+1500+2250+26000+45000
+IFERROR(LOOKUP(V1043,{600001;700001;800001;900001},{4000;6750;10250;15250}),0),IF(V1043&gt;1200000,((V1043-1200000)*27.5%)+300000,0)
)))))))</f>
        <v>0</v>
      </c>
      <c r="X1043" s="12">
        <f t="shared" si="247"/>
        <v>0</v>
      </c>
      <c r="Y1043" s="12">
        <f t="shared" si="248"/>
        <v>0</v>
      </c>
      <c r="Z1043" s="11"/>
      <c r="AA1043" s="13">
        <f t="shared" si="249"/>
        <v>0</v>
      </c>
      <c r="AB1043" s="12">
        <f t="shared" si="250"/>
        <v>0</v>
      </c>
      <c r="AC1043" s="14">
        <f t="shared" si="253"/>
        <v>0</v>
      </c>
      <c r="AE1043" s="19">
        <f t="shared" si="251"/>
        <v>0</v>
      </c>
      <c r="AF1043" s="19"/>
      <c r="AG1043" s="17"/>
      <c r="AK1043" s="7"/>
      <c r="AL1043" s="108">
        <f t="shared" si="254"/>
        <v>0</v>
      </c>
      <c r="AM1043" s="108">
        <f t="shared" si="255"/>
        <v>0</v>
      </c>
      <c r="AN1043" s="113"/>
    </row>
    <row r="1044" spans="2:40" x14ac:dyDescent="0.2">
      <c r="B1044" s="7"/>
      <c r="C1044" s="8"/>
      <c r="D1044" s="8"/>
      <c r="E1044" s="9"/>
      <c r="F1044" s="6"/>
      <c r="G1044" s="8"/>
      <c r="H1044" s="32"/>
      <c r="I1044" s="10" t="str">
        <f t="shared" si="252"/>
        <v>21</v>
      </c>
      <c r="J1044" s="11">
        <v>1</v>
      </c>
      <c r="K1044" s="11"/>
      <c r="L1044" s="11"/>
      <c r="M1044" s="11">
        <f t="shared" si="241"/>
        <v>0</v>
      </c>
      <c r="N1044" s="11"/>
      <c r="O1044" s="11">
        <f t="shared" si="242"/>
        <v>0</v>
      </c>
      <c r="P1044" s="11"/>
      <c r="Q1044" s="11"/>
      <c r="R1044" s="11"/>
      <c r="S1044" s="11">
        <f t="shared" si="243"/>
        <v>0</v>
      </c>
      <c r="T1044" s="11">
        <f t="shared" si="244"/>
        <v>1666.6666666666667</v>
      </c>
      <c r="U1044" s="11">
        <f t="shared" si="245"/>
        <v>0</v>
      </c>
      <c r="V1044" s="24">
        <f t="shared" si="246"/>
        <v>0</v>
      </c>
      <c r="W1044" s="11">
        <f>IF(V1044&lt;=40000,0,
IF(V1044&lt;=55000,(V1044-40000)*10%,
IF(V1044&lt;=70000,(V1044-55000)*15%+1500,
IF(V1044&lt;=200000,(V1044-70000)*20%+1500+2250,
IF(V1044&lt;=400000,(V1044-200000)*22.5%+1500+2250+26000,
IF(V1044&lt;=600000,(V1044-400000)*25%+1500+2250+26000+45000,
IF(AND(V1044&gt;600000,V1044&lt;=1200000),(V1044-400000)*25%+1500+2250+26000+45000
+IFERROR(LOOKUP(V1044,{600001;700001;800001;900001},{4000;6750;10250;15250}),0),IF(V1044&gt;1200000,((V1044-1200000)*27.5%)+300000,0)
)))))))</f>
        <v>0</v>
      </c>
      <c r="X1044" s="12">
        <f t="shared" si="247"/>
        <v>0</v>
      </c>
      <c r="Y1044" s="12">
        <f t="shared" si="248"/>
        <v>0</v>
      </c>
      <c r="Z1044" s="11"/>
      <c r="AA1044" s="13">
        <f t="shared" si="249"/>
        <v>0</v>
      </c>
      <c r="AB1044" s="12">
        <f t="shared" si="250"/>
        <v>0</v>
      </c>
      <c r="AC1044" s="14">
        <f t="shared" si="253"/>
        <v>0</v>
      </c>
      <c r="AE1044" s="19">
        <f t="shared" si="251"/>
        <v>0</v>
      </c>
      <c r="AF1044" s="19"/>
      <c r="AG1044" s="17"/>
      <c r="AK1044" s="7"/>
      <c r="AL1044" s="108">
        <f t="shared" si="254"/>
        <v>0</v>
      </c>
      <c r="AM1044" s="108">
        <f t="shared" si="255"/>
        <v>0</v>
      </c>
      <c r="AN1044" s="113"/>
    </row>
    <row r="1045" spans="2:40" x14ac:dyDescent="0.2">
      <c r="B1045" s="7"/>
      <c r="C1045" s="8"/>
      <c r="D1045" s="8"/>
      <c r="E1045" s="9"/>
      <c r="F1045" s="6"/>
      <c r="G1045" s="8"/>
      <c r="H1045" s="32"/>
      <c r="I1045" s="10" t="str">
        <f t="shared" si="252"/>
        <v>21</v>
      </c>
      <c r="J1045" s="11">
        <v>1</v>
      </c>
      <c r="K1045" s="11"/>
      <c r="L1045" s="11"/>
      <c r="M1045" s="11">
        <f t="shared" si="241"/>
        <v>0</v>
      </c>
      <c r="N1045" s="11"/>
      <c r="O1045" s="11">
        <f t="shared" si="242"/>
        <v>0</v>
      </c>
      <c r="P1045" s="11"/>
      <c r="Q1045" s="11"/>
      <c r="R1045" s="11"/>
      <c r="S1045" s="11">
        <f t="shared" si="243"/>
        <v>0</v>
      </c>
      <c r="T1045" s="11">
        <f t="shared" si="244"/>
        <v>1666.6666666666667</v>
      </c>
      <c r="U1045" s="11">
        <f t="shared" si="245"/>
        <v>0</v>
      </c>
      <c r="V1045" s="24">
        <f t="shared" si="246"/>
        <v>0</v>
      </c>
      <c r="W1045" s="11">
        <f>IF(V1045&lt;=40000,0,
IF(V1045&lt;=55000,(V1045-40000)*10%,
IF(V1045&lt;=70000,(V1045-55000)*15%+1500,
IF(V1045&lt;=200000,(V1045-70000)*20%+1500+2250,
IF(V1045&lt;=400000,(V1045-200000)*22.5%+1500+2250+26000,
IF(V1045&lt;=600000,(V1045-400000)*25%+1500+2250+26000+45000,
IF(AND(V1045&gt;600000,V1045&lt;=1200000),(V1045-400000)*25%+1500+2250+26000+45000
+IFERROR(LOOKUP(V1045,{600001;700001;800001;900001},{4000;6750;10250;15250}),0),IF(V1045&gt;1200000,((V1045-1200000)*27.5%)+300000,0)
)))))))</f>
        <v>0</v>
      </c>
      <c r="X1045" s="12">
        <f t="shared" si="247"/>
        <v>0</v>
      </c>
      <c r="Y1045" s="12">
        <f t="shared" si="248"/>
        <v>0</v>
      </c>
      <c r="Z1045" s="11"/>
      <c r="AA1045" s="13">
        <f t="shared" si="249"/>
        <v>0</v>
      </c>
      <c r="AB1045" s="12">
        <f t="shared" si="250"/>
        <v>0</v>
      </c>
      <c r="AC1045" s="14">
        <f t="shared" si="253"/>
        <v>0</v>
      </c>
      <c r="AE1045" s="19">
        <f t="shared" si="251"/>
        <v>0</v>
      </c>
      <c r="AF1045" s="19"/>
      <c r="AG1045" s="17"/>
      <c r="AK1045" s="7"/>
      <c r="AL1045" s="108">
        <f t="shared" si="254"/>
        <v>0</v>
      </c>
      <c r="AM1045" s="108">
        <f t="shared" si="255"/>
        <v>0</v>
      </c>
      <c r="AN1045" s="113"/>
    </row>
    <row r="1046" spans="2:40" x14ac:dyDescent="0.2">
      <c r="B1046" s="7"/>
      <c r="C1046" s="8"/>
      <c r="D1046" s="8"/>
      <c r="E1046" s="9"/>
      <c r="F1046" s="6"/>
      <c r="G1046" s="8"/>
      <c r="H1046" s="32"/>
      <c r="I1046" s="10" t="str">
        <f t="shared" si="252"/>
        <v>21</v>
      </c>
      <c r="J1046" s="11">
        <v>1</v>
      </c>
      <c r="K1046" s="11"/>
      <c r="L1046" s="11"/>
      <c r="M1046" s="11">
        <f t="shared" si="241"/>
        <v>0</v>
      </c>
      <c r="N1046" s="11"/>
      <c r="O1046" s="11">
        <f t="shared" si="242"/>
        <v>0</v>
      </c>
      <c r="P1046" s="11"/>
      <c r="Q1046" s="11"/>
      <c r="R1046" s="11"/>
      <c r="S1046" s="11">
        <f t="shared" si="243"/>
        <v>0</v>
      </c>
      <c r="T1046" s="11">
        <f t="shared" si="244"/>
        <v>1666.6666666666667</v>
      </c>
      <c r="U1046" s="11">
        <f t="shared" si="245"/>
        <v>0</v>
      </c>
      <c r="V1046" s="24">
        <f t="shared" si="246"/>
        <v>0</v>
      </c>
      <c r="W1046" s="11">
        <f>IF(V1046&lt;=40000,0,
IF(V1046&lt;=55000,(V1046-40000)*10%,
IF(V1046&lt;=70000,(V1046-55000)*15%+1500,
IF(V1046&lt;=200000,(V1046-70000)*20%+1500+2250,
IF(V1046&lt;=400000,(V1046-200000)*22.5%+1500+2250+26000,
IF(V1046&lt;=600000,(V1046-400000)*25%+1500+2250+26000+45000,
IF(AND(V1046&gt;600000,V1046&lt;=1200000),(V1046-400000)*25%+1500+2250+26000+45000
+IFERROR(LOOKUP(V1046,{600001;700001;800001;900001},{4000;6750;10250;15250}),0),IF(V1046&gt;1200000,((V1046-1200000)*27.5%)+300000,0)
)))))))</f>
        <v>0</v>
      </c>
      <c r="X1046" s="12">
        <f t="shared" si="247"/>
        <v>0</v>
      </c>
      <c r="Y1046" s="12">
        <f t="shared" si="248"/>
        <v>0</v>
      </c>
      <c r="Z1046" s="11"/>
      <c r="AA1046" s="13">
        <f t="shared" si="249"/>
        <v>0</v>
      </c>
      <c r="AB1046" s="12">
        <f t="shared" si="250"/>
        <v>0</v>
      </c>
      <c r="AC1046" s="14">
        <f t="shared" si="253"/>
        <v>0</v>
      </c>
      <c r="AE1046" s="19">
        <f t="shared" si="251"/>
        <v>0</v>
      </c>
      <c r="AF1046" s="19"/>
      <c r="AG1046" s="17"/>
      <c r="AK1046" s="7"/>
      <c r="AL1046" s="108">
        <f t="shared" si="254"/>
        <v>0</v>
      </c>
      <c r="AM1046" s="108">
        <f t="shared" si="255"/>
        <v>0</v>
      </c>
      <c r="AN1046" s="113"/>
    </row>
    <row r="1047" spans="2:40" x14ac:dyDescent="0.2">
      <c r="B1047" s="7"/>
      <c r="C1047" s="8"/>
      <c r="D1047" s="8"/>
      <c r="E1047" s="9"/>
      <c r="F1047" s="6"/>
      <c r="G1047" s="8"/>
      <c r="H1047" s="32"/>
      <c r="I1047" s="10" t="str">
        <f t="shared" si="252"/>
        <v>21</v>
      </c>
      <c r="J1047" s="11">
        <v>1</v>
      </c>
      <c r="K1047" s="11"/>
      <c r="L1047" s="11"/>
      <c r="M1047" s="11">
        <f t="shared" si="241"/>
        <v>0</v>
      </c>
      <c r="N1047" s="11"/>
      <c r="O1047" s="11">
        <f t="shared" si="242"/>
        <v>0</v>
      </c>
      <c r="P1047" s="11"/>
      <c r="Q1047" s="11"/>
      <c r="R1047" s="11"/>
      <c r="S1047" s="11">
        <f t="shared" si="243"/>
        <v>0</v>
      </c>
      <c r="T1047" s="11">
        <f t="shared" si="244"/>
        <v>1666.6666666666667</v>
      </c>
      <c r="U1047" s="11">
        <f t="shared" si="245"/>
        <v>0</v>
      </c>
      <c r="V1047" s="24">
        <f t="shared" si="246"/>
        <v>0</v>
      </c>
      <c r="W1047" s="11">
        <f>IF(V1047&lt;=40000,0,
IF(V1047&lt;=55000,(V1047-40000)*10%,
IF(V1047&lt;=70000,(V1047-55000)*15%+1500,
IF(V1047&lt;=200000,(V1047-70000)*20%+1500+2250,
IF(V1047&lt;=400000,(V1047-200000)*22.5%+1500+2250+26000,
IF(V1047&lt;=600000,(V1047-400000)*25%+1500+2250+26000+45000,
IF(AND(V1047&gt;600000,V1047&lt;=1200000),(V1047-400000)*25%+1500+2250+26000+45000
+IFERROR(LOOKUP(V1047,{600001;700001;800001;900001},{4000;6750;10250;15250}),0),IF(V1047&gt;1200000,((V1047-1200000)*27.5%)+300000,0)
)))))))</f>
        <v>0</v>
      </c>
      <c r="X1047" s="12">
        <f t="shared" si="247"/>
        <v>0</v>
      </c>
      <c r="Y1047" s="12">
        <f t="shared" si="248"/>
        <v>0</v>
      </c>
      <c r="Z1047" s="11"/>
      <c r="AA1047" s="13">
        <f t="shared" si="249"/>
        <v>0</v>
      </c>
      <c r="AB1047" s="12">
        <f t="shared" si="250"/>
        <v>0</v>
      </c>
      <c r="AC1047" s="14">
        <f t="shared" si="253"/>
        <v>0</v>
      </c>
      <c r="AE1047" s="19">
        <f t="shared" si="251"/>
        <v>0</v>
      </c>
      <c r="AF1047" s="19"/>
      <c r="AG1047" s="17"/>
      <c r="AK1047" s="7"/>
      <c r="AL1047" s="108">
        <f t="shared" si="254"/>
        <v>0</v>
      </c>
      <c r="AM1047" s="108">
        <f t="shared" si="255"/>
        <v>0</v>
      </c>
      <c r="AN1047" s="113"/>
    </row>
    <row r="1048" spans="2:40" x14ac:dyDescent="0.2">
      <c r="B1048" s="7"/>
      <c r="C1048" s="8"/>
      <c r="D1048" s="8"/>
      <c r="E1048" s="9"/>
      <c r="F1048" s="6"/>
      <c r="G1048" s="8"/>
      <c r="H1048" s="32"/>
      <c r="I1048" s="10" t="str">
        <f t="shared" si="252"/>
        <v>21</v>
      </c>
      <c r="J1048" s="11">
        <v>1</v>
      </c>
      <c r="K1048" s="11"/>
      <c r="L1048" s="11"/>
      <c r="M1048" s="11">
        <f t="shared" si="241"/>
        <v>0</v>
      </c>
      <c r="N1048" s="11"/>
      <c r="O1048" s="11">
        <f t="shared" si="242"/>
        <v>0</v>
      </c>
      <c r="P1048" s="11"/>
      <c r="Q1048" s="11"/>
      <c r="R1048" s="11"/>
      <c r="S1048" s="11">
        <f t="shared" si="243"/>
        <v>0</v>
      </c>
      <c r="T1048" s="11">
        <f t="shared" si="244"/>
        <v>1666.6666666666667</v>
      </c>
      <c r="U1048" s="11">
        <f t="shared" si="245"/>
        <v>0</v>
      </c>
      <c r="V1048" s="24">
        <f t="shared" si="246"/>
        <v>0</v>
      </c>
      <c r="W1048" s="11">
        <f>IF(V1048&lt;=40000,0,
IF(V1048&lt;=55000,(V1048-40000)*10%,
IF(V1048&lt;=70000,(V1048-55000)*15%+1500,
IF(V1048&lt;=200000,(V1048-70000)*20%+1500+2250,
IF(V1048&lt;=400000,(V1048-200000)*22.5%+1500+2250+26000,
IF(V1048&lt;=600000,(V1048-400000)*25%+1500+2250+26000+45000,
IF(AND(V1048&gt;600000,V1048&lt;=1200000),(V1048-400000)*25%+1500+2250+26000+45000
+IFERROR(LOOKUP(V1048,{600001;700001;800001;900001},{4000;6750;10250;15250}),0),IF(V1048&gt;1200000,((V1048-1200000)*27.5%)+300000,0)
)))))))</f>
        <v>0</v>
      </c>
      <c r="X1048" s="12">
        <f t="shared" si="247"/>
        <v>0</v>
      </c>
      <c r="Y1048" s="12">
        <f t="shared" si="248"/>
        <v>0</v>
      </c>
      <c r="Z1048" s="11"/>
      <c r="AA1048" s="13">
        <f t="shared" si="249"/>
        <v>0</v>
      </c>
      <c r="AB1048" s="12">
        <f t="shared" si="250"/>
        <v>0</v>
      </c>
      <c r="AC1048" s="14">
        <f t="shared" si="253"/>
        <v>0</v>
      </c>
      <c r="AE1048" s="19">
        <f t="shared" si="251"/>
        <v>0</v>
      </c>
      <c r="AF1048" s="19"/>
      <c r="AG1048" s="17"/>
      <c r="AK1048" s="7"/>
      <c r="AL1048" s="108">
        <f t="shared" si="254"/>
        <v>0</v>
      </c>
      <c r="AM1048" s="108">
        <f t="shared" si="255"/>
        <v>0</v>
      </c>
      <c r="AN1048" s="113"/>
    </row>
    <row r="1049" spans="2:40" x14ac:dyDescent="0.2">
      <c r="B1049" s="7"/>
      <c r="C1049" s="8"/>
      <c r="D1049" s="8"/>
      <c r="E1049" s="9"/>
      <c r="F1049" s="6"/>
      <c r="G1049" s="8"/>
      <c r="H1049" s="32"/>
      <c r="I1049" s="10" t="str">
        <f t="shared" si="252"/>
        <v>21</v>
      </c>
      <c r="J1049" s="11">
        <v>1</v>
      </c>
      <c r="K1049" s="11"/>
      <c r="L1049" s="11"/>
      <c r="M1049" s="11">
        <f t="shared" si="241"/>
        <v>0</v>
      </c>
      <c r="N1049" s="11"/>
      <c r="O1049" s="11">
        <f t="shared" si="242"/>
        <v>0</v>
      </c>
      <c r="P1049" s="11"/>
      <c r="Q1049" s="11"/>
      <c r="R1049" s="11"/>
      <c r="S1049" s="11">
        <f t="shared" si="243"/>
        <v>0</v>
      </c>
      <c r="T1049" s="11">
        <f t="shared" si="244"/>
        <v>1666.6666666666667</v>
      </c>
      <c r="U1049" s="11">
        <f t="shared" si="245"/>
        <v>0</v>
      </c>
      <c r="V1049" s="24">
        <f t="shared" si="246"/>
        <v>0</v>
      </c>
      <c r="W1049" s="11">
        <f>IF(V1049&lt;=40000,0,
IF(V1049&lt;=55000,(V1049-40000)*10%,
IF(V1049&lt;=70000,(V1049-55000)*15%+1500,
IF(V1049&lt;=200000,(V1049-70000)*20%+1500+2250,
IF(V1049&lt;=400000,(V1049-200000)*22.5%+1500+2250+26000,
IF(V1049&lt;=600000,(V1049-400000)*25%+1500+2250+26000+45000,
IF(AND(V1049&gt;600000,V1049&lt;=1200000),(V1049-400000)*25%+1500+2250+26000+45000
+IFERROR(LOOKUP(V1049,{600001;700001;800001;900001},{4000;6750;10250;15250}),0),IF(V1049&gt;1200000,((V1049-1200000)*27.5%)+300000,0)
)))))))</f>
        <v>0</v>
      </c>
      <c r="X1049" s="12">
        <f t="shared" si="247"/>
        <v>0</v>
      </c>
      <c r="Y1049" s="12">
        <f t="shared" si="248"/>
        <v>0</v>
      </c>
      <c r="Z1049" s="11"/>
      <c r="AA1049" s="13">
        <f t="shared" si="249"/>
        <v>0</v>
      </c>
      <c r="AB1049" s="12">
        <f t="shared" si="250"/>
        <v>0</v>
      </c>
      <c r="AC1049" s="14">
        <f t="shared" si="253"/>
        <v>0</v>
      </c>
      <c r="AE1049" s="19">
        <f t="shared" si="251"/>
        <v>0</v>
      </c>
      <c r="AF1049" s="19"/>
      <c r="AG1049" s="17"/>
      <c r="AK1049" s="7"/>
      <c r="AL1049" s="108">
        <f t="shared" si="254"/>
        <v>0</v>
      </c>
      <c r="AM1049" s="108">
        <f t="shared" si="255"/>
        <v>0</v>
      </c>
      <c r="AN1049" s="113"/>
    </row>
    <row r="1050" spans="2:40" x14ac:dyDescent="0.2">
      <c r="B1050" s="7"/>
      <c r="C1050" s="8"/>
      <c r="D1050" s="8"/>
      <c r="E1050" s="9"/>
      <c r="F1050" s="6"/>
      <c r="G1050" s="8"/>
      <c r="H1050" s="32"/>
      <c r="I1050" s="10" t="str">
        <f t="shared" si="252"/>
        <v>21</v>
      </c>
      <c r="J1050" s="11">
        <v>1</v>
      </c>
      <c r="K1050" s="11"/>
      <c r="L1050" s="11"/>
      <c r="M1050" s="11">
        <f t="shared" si="241"/>
        <v>0</v>
      </c>
      <c r="N1050" s="11"/>
      <c r="O1050" s="11">
        <f t="shared" si="242"/>
        <v>0</v>
      </c>
      <c r="P1050" s="11"/>
      <c r="Q1050" s="11"/>
      <c r="R1050" s="11"/>
      <c r="S1050" s="11">
        <f t="shared" si="243"/>
        <v>0</v>
      </c>
      <c r="T1050" s="11">
        <f t="shared" si="244"/>
        <v>1666.6666666666667</v>
      </c>
      <c r="U1050" s="11">
        <f t="shared" si="245"/>
        <v>0</v>
      </c>
      <c r="V1050" s="24">
        <f t="shared" si="246"/>
        <v>0</v>
      </c>
      <c r="W1050" s="11">
        <f>IF(V1050&lt;=40000,0,
IF(V1050&lt;=55000,(V1050-40000)*10%,
IF(V1050&lt;=70000,(V1050-55000)*15%+1500,
IF(V1050&lt;=200000,(V1050-70000)*20%+1500+2250,
IF(V1050&lt;=400000,(V1050-200000)*22.5%+1500+2250+26000,
IF(V1050&lt;=600000,(V1050-400000)*25%+1500+2250+26000+45000,
IF(AND(V1050&gt;600000,V1050&lt;=1200000),(V1050-400000)*25%+1500+2250+26000+45000
+IFERROR(LOOKUP(V1050,{600001;700001;800001;900001},{4000;6750;10250;15250}),0),IF(V1050&gt;1200000,((V1050-1200000)*27.5%)+300000,0)
)))))))</f>
        <v>0</v>
      </c>
      <c r="X1050" s="12">
        <f t="shared" si="247"/>
        <v>0</v>
      </c>
      <c r="Y1050" s="12">
        <f t="shared" si="248"/>
        <v>0</v>
      </c>
      <c r="Z1050" s="11"/>
      <c r="AA1050" s="13">
        <f t="shared" si="249"/>
        <v>0</v>
      </c>
      <c r="AB1050" s="12">
        <f t="shared" si="250"/>
        <v>0</v>
      </c>
      <c r="AC1050" s="14">
        <f t="shared" si="253"/>
        <v>0</v>
      </c>
      <c r="AE1050" s="19">
        <f t="shared" si="251"/>
        <v>0</v>
      </c>
      <c r="AF1050" s="19"/>
      <c r="AG1050" s="17"/>
      <c r="AK1050" s="7"/>
      <c r="AL1050" s="108">
        <f t="shared" si="254"/>
        <v>0</v>
      </c>
      <c r="AM1050" s="108">
        <f t="shared" si="255"/>
        <v>0</v>
      </c>
      <c r="AN1050" s="113"/>
    </row>
    <row r="1051" spans="2:40" x14ac:dyDescent="0.2">
      <c r="B1051" s="7"/>
      <c r="C1051" s="8"/>
      <c r="D1051" s="8"/>
      <c r="E1051" s="9"/>
      <c r="F1051" s="6"/>
      <c r="G1051" s="8"/>
      <c r="H1051" s="32"/>
      <c r="I1051" s="10" t="str">
        <f t="shared" si="252"/>
        <v>21</v>
      </c>
      <c r="J1051" s="11">
        <v>1</v>
      </c>
      <c r="K1051" s="11"/>
      <c r="L1051" s="11"/>
      <c r="M1051" s="11">
        <f t="shared" si="241"/>
        <v>0</v>
      </c>
      <c r="N1051" s="11"/>
      <c r="O1051" s="11">
        <f t="shared" si="242"/>
        <v>0</v>
      </c>
      <c r="P1051" s="11"/>
      <c r="Q1051" s="11"/>
      <c r="R1051" s="11"/>
      <c r="S1051" s="11">
        <f t="shared" si="243"/>
        <v>0</v>
      </c>
      <c r="T1051" s="11">
        <f t="shared" si="244"/>
        <v>1666.6666666666667</v>
      </c>
      <c r="U1051" s="11">
        <f t="shared" si="245"/>
        <v>0</v>
      </c>
      <c r="V1051" s="24">
        <f t="shared" si="246"/>
        <v>0</v>
      </c>
      <c r="W1051" s="11">
        <f>IF(V1051&lt;=40000,0,
IF(V1051&lt;=55000,(V1051-40000)*10%,
IF(V1051&lt;=70000,(V1051-55000)*15%+1500,
IF(V1051&lt;=200000,(V1051-70000)*20%+1500+2250,
IF(V1051&lt;=400000,(V1051-200000)*22.5%+1500+2250+26000,
IF(V1051&lt;=600000,(V1051-400000)*25%+1500+2250+26000+45000,
IF(AND(V1051&gt;600000,V1051&lt;=1200000),(V1051-400000)*25%+1500+2250+26000+45000
+IFERROR(LOOKUP(V1051,{600001;700001;800001;900001},{4000;6750;10250;15250}),0),IF(V1051&gt;1200000,((V1051-1200000)*27.5%)+300000,0)
)))))))</f>
        <v>0</v>
      </c>
      <c r="X1051" s="12">
        <f t="shared" si="247"/>
        <v>0</v>
      </c>
      <c r="Y1051" s="12">
        <f t="shared" si="248"/>
        <v>0</v>
      </c>
      <c r="Z1051" s="11"/>
      <c r="AA1051" s="13">
        <f t="shared" si="249"/>
        <v>0</v>
      </c>
      <c r="AB1051" s="12">
        <f t="shared" si="250"/>
        <v>0</v>
      </c>
      <c r="AC1051" s="14">
        <f t="shared" si="253"/>
        <v>0</v>
      </c>
      <c r="AE1051" s="19">
        <f t="shared" si="251"/>
        <v>0</v>
      </c>
      <c r="AF1051" s="19"/>
      <c r="AG1051" s="17"/>
      <c r="AK1051" s="7"/>
      <c r="AL1051" s="108">
        <f t="shared" si="254"/>
        <v>0</v>
      </c>
      <c r="AM1051" s="108">
        <f t="shared" si="255"/>
        <v>0</v>
      </c>
      <c r="AN1051" s="113"/>
    </row>
    <row r="1052" spans="2:40" x14ac:dyDescent="0.2">
      <c r="B1052" s="7"/>
      <c r="C1052" s="8"/>
      <c r="D1052" s="8"/>
      <c r="E1052" s="9"/>
      <c r="F1052" s="6"/>
      <c r="G1052" s="8"/>
      <c r="H1052" s="32"/>
      <c r="I1052" s="10" t="str">
        <f t="shared" si="252"/>
        <v>21</v>
      </c>
      <c r="J1052" s="11">
        <v>1</v>
      </c>
      <c r="K1052" s="11"/>
      <c r="L1052" s="11"/>
      <c r="M1052" s="11">
        <f t="shared" si="241"/>
        <v>0</v>
      </c>
      <c r="N1052" s="11"/>
      <c r="O1052" s="11">
        <f t="shared" si="242"/>
        <v>0</v>
      </c>
      <c r="P1052" s="11"/>
      <c r="Q1052" s="11"/>
      <c r="R1052" s="11"/>
      <c r="S1052" s="11">
        <f t="shared" si="243"/>
        <v>0</v>
      </c>
      <c r="T1052" s="11">
        <f t="shared" si="244"/>
        <v>1666.6666666666667</v>
      </c>
      <c r="U1052" s="11">
        <f t="shared" si="245"/>
        <v>0</v>
      </c>
      <c r="V1052" s="24">
        <f t="shared" si="246"/>
        <v>0</v>
      </c>
      <c r="W1052" s="11">
        <f>IF(V1052&lt;=40000,0,
IF(V1052&lt;=55000,(V1052-40000)*10%,
IF(V1052&lt;=70000,(V1052-55000)*15%+1500,
IF(V1052&lt;=200000,(V1052-70000)*20%+1500+2250,
IF(V1052&lt;=400000,(V1052-200000)*22.5%+1500+2250+26000,
IF(V1052&lt;=600000,(V1052-400000)*25%+1500+2250+26000+45000,
IF(AND(V1052&gt;600000,V1052&lt;=1200000),(V1052-400000)*25%+1500+2250+26000+45000
+IFERROR(LOOKUP(V1052,{600001;700001;800001;900001},{4000;6750;10250;15250}),0),IF(V1052&gt;1200000,((V1052-1200000)*27.5%)+300000,0)
)))))))</f>
        <v>0</v>
      </c>
      <c r="X1052" s="12">
        <f t="shared" si="247"/>
        <v>0</v>
      </c>
      <c r="Y1052" s="12">
        <f t="shared" si="248"/>
        <v>0</v>
      </c>
      <c r="Z1052" s="11"/>
      <c r="AA1052" s="13">
        <f t="shared" si="249"/>
        <v>0</v>
      </c>
      <c r="AB1052" s="12">
        <f t="shared" si="250"/>
        <v>0</v>
      </c>
      <c r="AC1052" s="14">
        <f t="shared" si="253"/>
        <v>0</v>
      </c>
      <c r="AE1052" s="19">
        <f t="shared" si="251"/>
        <v>0</v>
      </c>
      <c r="AF1052" s="19"/>
      <c r="AG1052" s="17"/>
      <c r="AK1052" s="7"/>
      <c r="AL1052" s="108">
        <f t="shared" si="254"/>
        <v>0</v>
      </c>
      <c r="AM1052" s="108">
        <f t="shared" si="255"/>
        <v>0</v>
      </c>
      <c r="AN1052" s="113"/>
    </row>
    <row r="1053" spans="2:40" x14ac:dyDescent="0.2">
      <c r="B1053" s="7"/>
      <c r="C1053" s="8"/>
      <c r="D1053" s="8"/>
      <c r="E1053" s="9"/>
      <c r="F1053" s="6"/>
      <c r="G1053" s="8"/>
      <c r="H1053" s="32"/>
      <c r="I1053" s="10" t="str">
        <f t="shared" si="252"/>
        <v>21</v>
      </c>
      <c r="J1053" s="11">
        <v>1</v>
      </c>
      <c r="K1053" s="11"/>
      <c r="L1053" s="11"/>
      <c r="M1053" s="11">
        <f t="shared" ref="M1053:M1116" si="256">SUM(K1053:L1053)</f>
        <v>0</v>
      </c>
      <c r="N1053" s="11"/>
      <c r="O1053" s="11">
        <f t="shared" ref="O1053:O1116" si="257">+N1053+M1053</f>
        <v>0</v>
      </c>
      <c r="P1053" s="11"/>
      <c r="Q1053" s="11"/>
      <c r="R1053" s="11"/>
      <c r="S1053" s="11">
        <f t="shared" ref="S1053:S1116" si="258">O1053-P1053-Q1053-R1053</f>
        <v>0</v>
      </c>
      <c r="T1053" s="11">
        <f t="shared" ref="T1053:T1116" si="259">IF(J1053&gt;0,(20000/12*J1053),0)</f>
        <v>1666.6666666666667</v>
      </c>
      <c r="U1053" s="11">
        <f t="shared" ref="U1053:U1116" si="260">IF(AND(J1053&gt;0,S1053-T1053&gt;0),S1053-T1053,0)</f>
        <v>0</v>
      </c>
      <c r="V1053" s="24">
        <f t="shared" ref="V1053:V1116" si="261">IF(J1053=0,0,(U1053/J1053*12))</f>
        <v>0</v>
      </c>
      <c r="W1053" s="11">
        <f>IF(V1053&lt;=40000,0,
IF(V1053&lt;=55000,(V1053-40000)*10%,
IF(V1053&lt;=70000,(V1053-55000)*15%+1500,
IF(V1053&lt;=200000,(V1053-70000)*20%+1500+2250,
IF(V1053&lt;=400000,(V1053-200000)*22.5%+1500+2250+26000,
IF(V1053&lt;=600000,(V1053-400000)*25%+1500+2250+26000+45000,
IF(AND(V1053&gt;600000,V1053&lt;=1200000),(V1053-400000)*25%+1500+2250+26000+45000
+IFERROR(LOOKUP(V1053,{600001;700001;800001;900001},{4000;6750;10250;15250}),0),IF(V1053&gt;1200000,((V1053-1200000)*27.5%)+300000,0)
)))))))</f>
        <v>0</v>
      </c>
      <c r="X1053" s="12">
        <f t="shared" ref="X1053:X1116" si="262">N1053*0.1</f>
        <v>0</v>
      </c>
      <c r="Y1053" s="12">
        <f t="shared" ref="Y1053:Y1116" si="263">(W1053/12*J1053)-X1053</f>
        <v>0</v>
      </c>
      <c r="Z1053" s="11"/>
      <c r="AA1053" s="13">
        <f t="shared" ref="AA1053:AA1116" si="264">+O1053-P1053-Y1053-Z1053</f>
        <v>0</v>
      </c>
      <c r="AB1053" s="12">
        <f t="shared" ref="AB1053:AB1116" si="265">(P1053/0.11)*18.75%</f>
        <v>0</v>
      </c>
      <c r="AC1053" s="14">
        <f t="shared" si="253"/>
        <v>0</v>
      </c>
      <c r="AE1053" s="19">
        <f t="shared" ref="AE1053:AE1116" si="266">+AD1053-AC1053</f>
        <v>0</v>
      </c>
      <c r="AF1053" s="19"/>
      <c r="AG1053" s="17"/>
      <c r="AK1053" s="7"/>
      <c r="AL1053" s="108">
        <f t="shared" si="254"/>
        <v>0</v>
      </c>
      <c r="AM1053" s="108">
        <f t="shared" si="255"/>
        <v>0</v>
      </c>
      <c r="AN1053" s="113"/>
    </row>
    <row r="1054" spans="2:40" x14ac:dyDescent="0.2">
      <c r="B1054" s="7"/>
      <c r="C1054" s="8"/>
      <c r="D1054" s="8"/>
      <c r="E1054" s="9"/>
      <c r="F1054" s="6"/>
      <c r="G1054" s="8"/>
      <c r="H1054" s="32"/>
      <c r="I1054" s="10" t="str">
        <f t="shared" si="252"/>
        <v>21</v>
      </c>
      <c r="J1054" s="11">
        <v>1</v>
      </c>
      <c r="K1054" s="11"/>
      <c r="L1054" s="11"/>
      <c r="M1054" s="11">
        <f t="shared" si="256"/>
        <v>0</v>
      </c>
      <c r="N1054" s="11"/>
      <c r="O1054" s="11">
        <f t="shared" si="257"/>
        <v>0</v>
      </c>
      <c r="P1054" s="11"/>
      <c r="Q1054" s="11"/>
      <c r="R1054" s="11"/>
      <c r="S1054" s="11">
        <f t="shared" si="258"/>
        <v>0</v>
      </c>
      <c r="T1054" s="11">
        <f t="shared" si="259"/>
        <v>1666.6666666666667</v>
      </c>
      <c r="U1054" s="11">
        <f t="shared" si="260"/>
        <v>0</v>
      </c>
      <c r="V1054" s="24">
        <f t="shared" si="261"/>
        <v>0</v>
      </c>
      <c r="W1054" s="11">
        <f>IF(V1054&lt;=40000,0,
IF(V1054&lt;=55000,(V1054-40000)*10%,
IF(V1054&lt;=70000,(V1054-55000)*15%+1500,
IF(V1054&lt;=200000,(V1054-70000)*20%+1500+2250,
IF(V1054&lt;=400000,(V1054-200000)*22.5%+1500+2250+26000,
IF(V1054&lt;=600000,(V1054-400000)*25%+1500+2250+26000+45000,
IF(AND(V1054&gt;600000,V1054&lt;=1200000),(V1054-400000)*25%+1500+2250+26000+45000
+IFERROR(LOOKUP(V1054,{600001;700001;800001;900001},{4000;6750;10250;15250}),0),IF(V1054&gt;1200000,((V1054-1200000)*27.5%)+300000,0)
)))))))</f>
        <v>0</v>
      </c>
      <c r="X1054" s="12">
        <f t="shared" si="262"/>
        <v>0</v>
      </c>
      <c r="Y1054" s="12">
        <f t="shared" si="263"/>
        <v>0</v>
      </c>
      <c r="Z1054" s="11"/>
      <c r="AA1054" s="13">
        <f t="shared" si="264"/>
        <v>0</v>
      </c>
      <c r="AB1054" s="12">
        <f t="shared" si="265"/>
        <v>0</v>
      </c>
      <c r="AC1054" s="14">
        <f t="shared" si="253"/>
        <v>0</v>
      </c>
      <c r="AE1054" s="19">
        <f t="shared" si="266"/>
        <v>0</v>
      </c>
      <c r="AF1054" s="19"/>
      <c r="AG1054" s="17"/>
      <c r="AK1054" s="7"/>
      <c r="AL1054" s="108">
        <f t="shared" si="254"/>
        <v>0</v>
      </c>
      <c r="AM1054" s="108">
        <f t="shared" si="255"/>
        <v>0</v>
      </c>
      <c r="AN1054" s="113"/>
    </row>
    <row r="1055" spans="2:40" x14ac:dyDescent="0.2">
      <c r="B1055" s="7"/>
      <c r="C1055" s="8"/>
      <c r="D1055" s="8"/>
      <c r="E1055" s="9"/>
      <c r="F1055" s="6"/>
      <c r="G1055" s="8"/>
      <c r="H1055" s="32"/>
      <c r="I1055" s="10" t="str">
        <f t="shared" si="252"/>
        <v>21</v>
      </c>
      <c r="J1055" s="11">
        <v>1</v>
      </c>
      <c r="K1055" s="11"/>
      <c r="L1055" s="11"/>
      <c r="M1055" s="11">
        <f t="shared" si="256"/>
        <v>0</v>
      </c>
      <c r="N1055" s="11"/>
      <c r="O1055" s="11">
        <f t="shared" si="257"/>
        <v>0</v>
      </c>
      <c r="P1055" s="11"/>
      <c r="Q1055" s="11"/>
      <c r="R1055" s="11"/>
      <c r="S1055" s="11">
        <f t="shared" si="258"/>
        <v>0</v>
      </c>
      <c r="T1055" s="11">
        <f t="shared" si="259"/>
        <v>1666.6666666666667</v>
      </c>
      <c r="U1055" s="11">
        <f t="shared" si="260"/>
        <v>0</v>
      </c>
      <c r="V1055" s="24">
        <f t="shared" si="261"/>
        <v>0</v>
      </c>
      <c r="W1055" s="11">
        <f>IF(V1055&lt;=40000,0,
IF(V1055&lt;=55000,(V1055-40000)*10%,
IF(V1055&lt;=70000,(V1055-55000)*15%+1500,
IF(V1055&lt;=200000,(V1055-70000)*20%+1500+2250,
IF(V1055&lt;=400000,(V1055-200000)*22.5%+1500+2250+26000,
IF(V1055&lt;=600000,(V1055-400000)*25%+1500+2250+26000+45000,
IF(AND(V1055&gt;600000,V1055&lt;=1200000),(V1055-400000)*25%+1500+2250+26000+45000
+IFERROR(LOOKUP(V1055,{600001;700001;800001;900001},{4000;6750;10250;15250}),0),IF(V1055&gt;1200000,((V1055-1200000)*27.5%)+300000,0)
)))))))</f>
        <v>0</v>
      </c>
      <c r="X1055" s="12">
        <f t="shared" si="262"/>
        <v>0</v>
      </c>
      <c r="Y1055" s="12">
        <f t="shared" si="263"/>
        <v>0</v>
      </c>
      <c r="Z1055" s="11"/>
      <c r="AA1055" s="13">
        <f t="shared" si="264"/>
        <v>0</v>
      </c>
      <c r="AB1055" s="12">
        <f t="shared" si="265"/>
        <v>0</v>
      </c>
      <c r="AC1055" s="14">
        <f t="shared" si="253"/>
        <v>0</v>
      </c>
      <c r="AE1055" s="19">
        <f t="shared" si="266"/>
        <v>0</v>
      </c>
      <c r="AF1055" s="19"/>
      <c r="AG1055" s="17"/>
      <c r="AK1055" s="7"/>
      <c r="AL1055" s="108">
        <f t="shared" si="254"/>
        <v>0</v>
      </c>
      <c r="AM1055" s="108">
        <f t="shared" si="255"/>
        <v>0</v>
      </c>
      <c r="AN1055" s="113"/>
    </row>
    <row r="1056" spans="2:40" x14ac:dyDescent="0.2">
      <c r="B1056" s="7"/>
      <c r="C1056" s="8"/>
      <c r="D1056" s="8"/>
      <c r="E1056" s="9"/>
      <c r="F1056" s="6"/>
      <c r="G1056" s="8"/>
      <c r="H1056" s="32"/>
      <c r="I1056" s="10" t="str">
        <f t="shared" si="252"/>
        <v>21</v>
      </c>
      <c r="J1056" s="11">
        <v>1</v>
      </c>
      <c r="K1056" s="11"/>
      <c r="L1056" s="11"/>
      <c r="M1056" s="11">
        <f t="shared" si="256"/>
        <v>0</v>
      </c>
      <c r="N1056" s="11"/>
      <c r="O1056" s="11">
        <f t="shared" si="257"/>
        <v>0</v>
      </c>
      <c r="P1056" s="11"/>
      <c r="Q1056" s="11"/>
      <c r="R1056" s="11"/>
      <c r="S1056" s="11">
        <f t="shared" si="258"/>
        <v>0</v>
      </c>
      <c r="T1056" s="11">
        <f t="shared" si="259"/>
        <v>1666.6666666666667</v>
      </c>
      <c r="U1056" s="11">
        <f t="shared" si="260"/>
        <v>0</v>
      </c>
      <c r="V1056" s="24">
        <f t="shared" si="261"/>
        <v>0</v>
      </c>
      <c r="W1056" s="11">
        <f>IF(V1056&lt;=40000,0,
IF(V1056&lt;=55000,(V1056-40000)*10%,
IF(V1056&lt;=70000,(V1056-55000)*15%+1500,
IF(V1056&lt;=200000,(V1056-70000)*20%+1500+2250,
IF(V1056&lt;=400000,(V1056-200000)*22.5%+1500+2250+26000,
IF(V1056&lt;=600000,(V1056-400000)*25%+1500+2250+26000+45000,
IF(AND(V1056&gt;600000,V1056&lt;=1200000),(V1056-400000)*25%+1500+2250+26000+45000
+IFERROR(LOOKUP(V1056,{600001;700001;800001;900001},{4000;6750;10250;15250}),0),IF(V1056&gt;1200000,((V1056-1200000)*27.5%)+300000,0)
)))))))</f>
        <v>0</v>
      </c>
      <c r="X1056" s="12">
        <f t="shared" si="262"/>
        <v>0</v>
      </c>
      <c r="Y1056" s="12">
        <f t="shared" si="263"/>
        <v>0</v>
      </c>
      <c r="Z1056" s="11"/>
      <c r="AA1056" s="13">
        <f t="shared" si="264"/>
        <v>0</v>
      </c>
      <c r="AB1056" s="12">
        <f t="shared" si="265"/>
        <v>0</v>
      </c>
      <c r="AC1056" s="14">
        <f t="shared" si="253"/>
        <v>0</v>
      </c>
      <c r="AE1056" s="19">
        <f t="shared" si="266"/>
        <v>0</v>
      </c>
      <c r="AF1056" s="19"/>
      <c r="AG1056" s="17"/>
      <c r="AK1056" s="7"/>
      <c r="AL1056" s="108">
        <f t="shared" si="254"/>
        <v>0</v>
      </c>
      <c r="AM1056" s="108">
        <f t="shared" si="255"/>
        <v>0</v>
      </c>
      <c r="AN1056" s="113"/>
    </row>
    <row r="1057" spans="2:40" x14ac:dyDescent="0.2">
      <c r="B1057" s="7"/>
      <c r="C1057" s="8"/>
      <c r="D1057" s="8"/>
      <c r="E1057" s="9"/>
      <c r="F1057" s="6"/>
      <c r="G1057" s="8"/>
      <c r="H1057" s="32"/>
      <c r="I1057" s="10" t="str">
        <f t="shared" si="252"/>
        <v>21</v>
      </c>
      <c r="J1057" s="11">
        <v>1</v>
      </c>
      <c r="K1057" s="11"/>
      <c r="L1057" s="11"/>
      <c r="M1057" s="11">
        <f t="shared" si="256"/>
        <v>0</v>
      </c>
      <c r="N1057" s="11"/>
      <c r="O1057" s="11">
        <f t="shared" si="257"/>
        <v>0</v>
      </c>
      <c r="P1057" s="11"/>
      <c r="Q1057" s="11"/>
      <c r="R1057" s="11"/>
      <c r="S1057" s="11">
        <f t="shared" si="258"/>
        <v>0</v>
      </c>
      <c r="T1057" s="11">
        <f t="shared" si="259"/>
        <v>1666.6666666666667</v>
      </c>
      <c r="U1057" s="11">
        <f t="shared" si="260"/>
        <v>0</v>
      </c>
      <c r="V1057" s="24">
        <f t="shared" si="261"/>
        <v>0</v>
      </c>
      <c r="W1057" s="11">
        <f>IF(V1057&lt;=40000,0,
IF(V1057&lt;=55000,(V1057-40000)*10%,
IF(V1057&lt;=70000,(V1057-55000)*15%+1500,
IF(V1057&lt;=200000,(V1057-70000)*20%+1500+2250,
IF(V1057&lt;=400000,(V1057-200000)*22.5%+1500+2250+26000,
IF(V1057&lt;=600000,(V1057-400000)*25%+1500+2250+26000+45000,
IF(AND(V1057&gt;600000,V1057&lt;=1200000),(V1057-400000)*25%+1500+2250+26000+45000
+IFERROR(LOOKUP(V1057,{600001;700001;800001;900001},{4000;6750;10250;15250}),0),IF(V1057&gt;1200000,((V1057-1200000)*27.5%)+300000,0)
)))))))</f>
        <v>0</v>
      </c>
      <c r="X1057" s="12">
        <f t="shared" si="262"/>
        <v>0</v>
      </c>
      <c r="Y1057" s="12">
        <f t="shared" si="263"/>
        <v>0</v>
      </c>
      <c r="Z1057" s="11"/>
      <c r="AA1057" s="13">
        <f t="shared" si="264"/>
        <v>0</v>
      </c>
      <c r="AB1057" s="12">
        <f t="shared" si="265"/>
        <v>0</v>
      </c>
      <c r="AC1057" s="14">
        <f t="shared" si="253"/>
        <v>0</v>
      </c>
      <c r="AE1057" s="19">
        <f t="shared" si="266"/>
        <v>0</v>
      </c>
      <c r="AF1057" s="19"/>
      <c r="AG1057" s="17"/>
      <c r="AK1057" s="7"/>
      <c r="AL1057" s="108">
        <f t="shared" si="254"/>
        <v>0</v>
      </c>
      <c r="AM1057" s="108">
        <f t="shared" si="255"/>
        <v>0</v>
      </c>
      <c r="AN1057" s="113"/>
    </row>
    <row r="1058" spans="2:40" x14ac:dyDescent="0.2">
      <c r="B1058" s="7"/>
      <c r="C1058" s="8"/>
      <c r="D1058" s="8"/>
      <c r="E1058" s="9"/>
      <c r="F1058" s="6"/>
      <c r="G1058" s="8"/>
      <c r="H1058" s="32"/>
      <c r="I1058" s="10" t="str">
        <f t="shared" si="252"/>
        <v>21</v>
      </c>
      <c r="J1058" s="11">
        <v>1</v>
      </c>
      <c r="K1058" s="11"/>
      <c r="L1058" s="11"/>
      <c r="M1058" s="11">
        <f t="shared" si="256"/>
        <v>0</v>
      </c>
      <c r="N1058" s="11"/>
      <c r="O1058" s="11">
        <f t="shared" si="257"/>
        <v>0</v>
      </c>
      <c r="P1058" s="11"/>
      <c r="Q1058" s="11"/>
      <c r="R1058" s="11"/>
      <c r="S1058" s="11">
        <f t="shared" si="258"/>
        <v>0</v>
      </c>
      <c r="T1058" s="11">
        <f t="shared" si="259"/>
        <v>1666.6666666666667</v>
      </c>
      <c r="U1058" s="11">
        <f t="shared" si="260"/>
        <v>0</v>
      </c>
      <c r="V1058" s="24">
        <f t="shared" si="261"/>
        <v>0</v>
      </c>
      <c r="W1058" s="11">
        <f>IF(V1058&lt;=40000,0,
IF(V1058&lt;=55000,(V1058-40000)*10%,
IF(V1058&lt;=70000,(V1058-55000)*15%+1500,
IF(V1058&lt;=200000,(V1058-70000)*20%+1500+2250,
IF(V1058&lt;=400000,(V1058-200000)*22.5%+1500+2250+26000,
IF(V1058&lt;=600000,(V1058-400000)*25%+1500+2250+26000+45000,
IF(AND(V1058&gt;600000,V1058&lt;=1200000),(V1058-400000)*25%+1500+2250+26000+45000
+IFERROR(LOOKUP(V1058,{600001;700001;800001;900001},{4000;6750;10250;15250}),0),IF(V1058&gt;1200000,((V1058-1200000)*27.5%)+300000,0)
)))))))</f>
        <v>0</v>
      </c>
      <c r="X1058" s="12">
        <f t="shared" si="262"/>
        <v>0</v>
      </c>
      <c r="Y1058" s="12">
        <f t="shared" si="263"/>
        <v>0</v>
      </c>
      <c r="Z1058" s="11"/>
      <c r="AA1058" s="13">
        <f t="shared" si="264"/>
        <v>0</v>
      </c>
      <c r="AB1058" s="12">
        <f t="shared" si="265"/>
        <v>0</v>
      </c>
      <c r="AC1058" s="14">
        <f t="shared" si="253"/>
        <v>0</v>
      </c>
      <c r="AE1058" s="19">
        <f t="shared" si="266"/>
        <v>0</v>
      </c>
      <c r="AF1058" s="19"/>
      <c r="AG1058" s="17"/>
      <c r="AK1058" s="7"/>
      <c r="AL1058" s="108">
        <f t="shared" si="254"/>
        <v>0</v>
      </c>
      <c r="AM1058" s="108">
        <f t="shared" si="255"/>
        <v>0</v>
      </c>
      <c r="AN1058" s="113"/>
    </row>
    <row r="1059" spans="2:40" x14ac:dyDescent="0.2">
      <c r="B1059" s="7"/>
      <c r="C1059" s="8"/>
      <c r="D1059" s="8"/>
      <c r="E1059" s="9"/>
      <c r="F1059" s="6"/>
      <c r="G1059" s="8"/>
      <c r="H1059" s="32"/>
      <c r="I1059" s="10" t="str">
        <f t="shared" si="252"/>
        <v>21</v>
      </c>
      <c r="J1059" s="11">
        <v>1</v>
      </c>
      <c r="K1059" s="11"/>
      <c r="L1059" s="11"/>
      <c r="M1059" s="11">
        <f t="shared" si="256"/>
        <v>0</v>
      </c>
      <c r="N1059" s="11"/>
      <c r="O1059" s="11">
        <f t="shared" si="257"/>
        <v>0</v>
      </c>
      <c r="P1059" s="11"/>
      <c r="Q1059" s="11"/>
      <c r="R1059" s="11"/>
      <c r="S1059" s="11">
        <f t="shared" si="258"/>
        <v>0</v>
      </c>
      <c r="T1059" s="11">
        <f t="shared" si="259"/>
        <v>1666.6666666666667</v>
      </c>
      <c r="U1059" s="11">
        <f t="shared" si="260"/>
        <v>0</v>
      </c>
      <c r="V1059" s="24">
        <f t="shared" si="261"/>
        <v>0</v>
      </c>
      <c r="W1059" s="11">
        <f>IF(V1059&lt;=40000,0,
IF(V1059&lt;=55000,(V1059-40000)*10%,
IF(V1059&lt;=70000,(V1059-55000)*15%+1500,
IF(V1059&lt;=200000,(V1059-70000)*20%+1500+2250,
IF(V1059&lt;=400000,(V1059-200000)*22.5%+1500+2250+26000,
IF(V1059&lt;=600000,(V1059-400000)*25%+1500+2250+26000+45000,
IF(AND(V1059&gt;600000,V1059&lt;=1200000),(V1059-400000)*25%+1500+2250+26000+45000
+IFERROR(LOOKUP(V1059,{600001;700001;800001;900001},{4000;6750;10250;15250}),0),IF(V1059&gt;1200000,((V1059-1200000)*27.5%)+300000,0)
)))))))</f>
        <v>0</v>
      </c>
      <c r="X1059" s="12">
        <f t="shared" si="262"/>
        <v>0</v>
      </c>
      <c r="Y1059" s="12">
        <f t="shared" si="263"/>
        <v>0</v>
      </c>
      <c r="Z1059" s="11"/>
      <c r="AA1059" s="13">
        <f t="shared" si="264"/>
        <v>0</v>
      </c>
      <c r="AB1059" s="12">
        <f t="shared" si="265"/>
        <v>0</v>
      </c>
      <c r="AC1059" s="14">
        <f t="shared" si="253"/>
        <v>0</v>
      </c>
      <c r="AE1059" s="19">
        <f t="shared" si="266"/>
        <v>0</v>
      </c>
      <c r="AF1059" s="19"/>
      <c r="AG1059" s="17"/>
      <c r="AK1059" s="7"/>
      <c r="AL1059" s="108">
        <f t="shared" si="254"/>
        <v>0</v>
      </c>
      <c r="AM1059" s="108">
        <f t="shared" si="255"/>
        <v>0</v>
      </c>
      <c r="AN1059" s="113"/>
    </row>
    <row r="1060" spans="2:40" x14ac:dyDescent="0.2">
      <c r="B1060" s="7"/>
      <c r="C1060" s="8"/>
      <c r="D1060" s="8"/>
      <c r="E1060" s="9"/>
      <c r="F1060" s="6"/>
      <c r="G1060" s="8"/>
      <c r="H1060" s="32"/>
      <c r="I1060" s="10" t="str">
        <f t="shared" si="252"/>
        <v>21</v>
      </c>
      <c r="J1060" s="11">
        <v>1</v>
      </c>
      <c r="K1060" s="11"/>
      <c r="L1060" s="11"/>
      <c r="M1060" s="11">
        <f t="shared" si="256"/>
        <v>0</v>
      </c>
      <c r="N1060" s="11"/>
      <c r="O1060" s="11">
        <f t="shared" si="257"/>
        <v>0</v>
      </c>
      <c r="P1060" s="11"/>
      <c r="Q1060" s="11"/>
      <c r="R1060" s="11"/>
      <c r="S1060" s="11">
        <f t="shared" si="258"/>
        <v>0</v>
      </c>
      <c r="T1060" s="11">
        <f t="shared" si="259"/>
        <v>1666.6666666666667</v>
      </c>
      <c r="U1060" s="11">
        <f t="shared" si="260"/>
        <v>0</v>
      </c>
      <c r="V1060" s="24">
        <f t="shared" si="261"/>
        <v>0</v>
      </c>
      <c r="W1060" s="11">
        <f>IF(V1060&lt;=40000,0,
IF(V1060&lt;=55000,(V1060-40000)*10%,
IF(V1060&lt;=70000,(V1060-55000)*15%+1500,
IF(V1060&lt;=200000,(V1060-70000)*20%+1500+2250,
IF(V1060&lt;=400000,(V1060-200000)*22.5%+1500+2250+26000,
IF(V1060&lt;=600000,(V1060-400000)*25%+1500+2250+26000+45000,
IF(AND(V1060&gt;600000,V1060&lt;=1200000),(V1060-400000)*25%+1500+2250+26000+45000
+IFERROR(LOOKUP(V1060,{600001;700001;800001;900001},{4000;6750;10250;15250}),0),IF(V1060&gt;1200000,((V1060-1200000)*27.5%)+300000,0)
)))))))</f>
        <v>0</v>
      </c>
      <c r="X1060" s="12">
        <f t="shared" si="262"/>
        <v>0</v>
      </c>
      <c r="Y1060" s="12">
        <f t="shared" si="263"/>
        <v>0</v>
      </c>
      <c r="Z1060" s="11"/>
      <c r="AA1060" s="13">
        <f t="shared" si="264"/>
        <v>0</v>
      </c>
      <c r="AB1060" s="12">
        <f t="shared" si="265"/>
        <v>0</v>
      </c>
      <c r="AC1060" s="14">
        <f t="shared" si="253"/>
        <v>0</v>
      </c>
      <c r="AE1060" s="19">
        <f t="shared" si="266"/>
        <v>0</v>
      </c>
      <c r="AF1060" s="19"/>
      <c r="AG1060" s="17"/>
      <c r="AK1060" s="7"/>
      <c r="AL1060" s="108">
        <f t="shared" si="254"/>
        <v>0</v>
      </c>
      <c r="AM1060" s="108">
        <f t="shared" si="255"/>
        <v>0</v>
      </c>
      <c r="AN1060" s="113"/>
    </row>
    <row r="1061" spans="2:40" x14ac:dyDescent="0.2">
      <c r="B1061" s="7"/>
      <c r="C1061" s="8"/>
      <c r="D1061" s="8"/>
      <c r="E1061" s="9"/>
      <c r="F1061" s="6"/>
      <c r="G1061" s="8"/>
      <c r="H1061" s="32"/>
      <c r="I1061" s="10" t="str">
        <f t="shared" si="252"/>
        <v>21</v>
      </c>
      <c r="J1061" s="11">
        <v>1</v>
      </c>
      <c r="K1061" s="11"/>
      <c r="L1061" s="11"/>
      <c r="M1061" s="11">
        <f t="shared" si="256"/>
        <v>0</v>
      </c>
      <c r="N1061" s="11"/>
      <c r="O1061" s="11">
        <f t="shared" si="257"/>
        <v>0</v>
      </c>
      <c r="P1061" s="11"/>
      <c r="Q1061" s="11"/>
      <c r="R1061" s="11"/>
      <c r="S1061" s="11">
        <f t="shared" si="258"/>
        <v>0</v>
      </c>
      <c r="T1061" s="11">
        <f t="shared" si="259"/>
        <v>1666.6666666666667</v>
      </c>
      <c r="U1061" s="11">
        <f t="shared" si="260"/>
        <v>0</v>
      </c>
      <c r="V1061" s="24">
        <f t="shared" si="261"/>
        <v>0</v>
      </c>
      <c r="W1061" s="11">
        <f>IF(V1061&lt;=40000,0,
IF(V1061&lt;=55000,(V1061-40000)*10%,
IF(V1061&lt;=70000,(V1061-55000)*15%+1500,
IF(V1061&lt;=200000,(V1061-70000)*20%+1500+2250,
IF(V1061&lt;=400000,(V1061-200000)*22.5%+1500+2250+26000,
IF(V1061&lt;=600000,(V1061-400000)*25%+1500+2250+26000+45000,
IF(AND(V1061&gt;600000,V1061&lt;=1200000),(V1061-400000)*25%+1500+2250+26000+45000
+IFERROR(LOOKUP(V1061,{600001;700001;800001;900001},{4000;6750;10250;15250}),0),IF(V1061&gt;1200000,((V1061-1200000)*27.5%)+300000,0)
)))))))</f>
        <v>0</v>
      </c>
      <c r="X1061" s="12">
        <f t="shared" si="262"/>
        <v>0</v>
      </c>
      <c r="Y1061" s="12">
        <f t="shared" si="263"/>
        <v>0</v>
      </c>
      <c r="Z1061" s="11"/>
      <c r="AA1061" s="13">
        <f t="shared" si="264"/>
        <v>0</v>
      </c>
      <c r="AB1061" s="12">
        <f t="shared" si="265"/>
        <v>0</v>
      </c>
      <c r="AC1061" s="14">
        <f t="shared" si="253"/>
        <v>0</v>
      </c>
      <c r="AE1061" s="19">
        <f t="shared" si="266"/>
        <v>0</v>
      </c>
      <c r="AF1061" s="19"/>
      <c r="AG1061" s="17"/>
      <c r="AK1061" s="7"/>
      <c r="AL1061" s="108">
        <f t="shared" si="254"/>
        <v>0</v>
      </c>
      <c r="AM1061" s="108">
        <f t="shared" si="255"/>
        <v>0</v>
      </c>
      <c r="AN1061" s="113"/>
    </row>
    <row r="1062" spans="2:40" x14ac:dyDescent="0.2">
      <c r="B1062" s="7"/>
      <c r="C1062" s="8"/>
      <c r="D1062" s="8"/>
      <c r="E1062" s="9"/>
      <c r="F1062" s="6"/>
      <c r="G1062" s="8"/>
      <c r="H1062" s="32"/>
      <c r="I1062" s="10" t="str">
        <f t="shared" si="252"/>
        <v>21</v>
      </c>
      <c r="J1062" s="11">
        <v>1</v>
      </c>
      <c r="K1062" s="11"/>
      <c r="L1062" s="11"/>
      <c r="M1062" s="11">
        <f t="shared" si="256"/>
        <v>0</v>
      </c>
      <c r="N1062" s="11"/>
      <c r="O1062" s="11">
        <f t="shared" si="257"/>
        <v>0</v>
      </c>
      <c r="P1062" s="11"/>
      <c r="Q1062" s="11"/>
      <c r="R1062" s="11"/>
      <c r="S1062" s="11">
        <f t="shared" si="258"/>
        <v>0</v>
      </c>
      <c r="T1062" s="11">
        <f t="shared" si="259"/>
        <v>1666.6666666666667</v>
      </c>
      <c r="U1062" s="11">
        <f t="shared" si="260"/>
        <v>0</v>
      </c>
      <c r="V1062" s="24">
        <f t="shared" si="261"/>
        <v>0</v>
      </c>
      <c r="W1062" s="11">
        <f>IF(V1062&lt;=40000,0,
IF(V1062&lt;=55000,(V1062-40000)*10%,
IF(V1062&lt;=70000,(V1062-55000)*15%+1500,
IF(V1062&lt;=200000,(V1062-70000)*20%+1500+2250,
IF(V1062&lt;=400000,(V1062-200000)*22.5%+1500+2250+26000,
IF(V1062&lt;=600000,(V1062-400000)*25%+1500+2250+26000+45000,
IF(AND(V1062&gt;600000,V1062&lt;=1200000),(V1062-400000)*25%+1500+2250+26000+45000
+IFERROR(LOOKUP(V1062,{600001;700001;800001;900001},{4000;6750;10250;15250}),0),IF(V1062&gt;1200000,((V1062-1200000)*27.5%)+300000,0)
)))))))</f>
        <v>0</v>
      </c>
      <c r="X1062" s="12">
        <f t="shared" si="262"/>
        <v>0</v>
      </c>
      <c r="Y1062" s="12">
        <f t="shared" si="263"/>
        <v>0</v>
      </c>
      <c r="Z1062" s="11"/>
      <c r="AA1062" s="13">
        <f t="shared" si="264"/>
        <v>0</v>
      </c>
      <c r="AB1062" s="12">
        <f t="shared" si="265"/>
        <v>0</v>
      </c>
      <c r="AC1062" s="14">
        <f t="shared" si="253"/>
        <v>0</v>
      </c>
      <c r="AE1062" s="19">
        <f t="shared" si="266"/>
        <v>0</v>
      </c>
      <c r="AF1062" s="19"/>
      <c r="AG1062" s="17"/>
      <c r="AK1062" s="7"/>
      <c r="AL1062" s="108">
        <f t="shared" si="254"/>
        <v>0</v>
      </c>
      <c r="AM1062" s="108">
        <f t="shared" si="255"/>
        <v>0</v>
      </c>
      <c r="AN1062" s="113"/>
    </row>
    <row r="1063" spans="2:40" x14ac:dyDescent="0.2">
      <c r="B1063" s="7"/>
      <c r="C1063" s="8"/>
      <c r="D1063" s="8"/>
      <c r="E1063" s="9"/>
      <c r="F1063" s="6"/>
      <c r="G1063" s="8"/>
      <c r="H1063" s="32"/>
      <c r="I1063" s="10" t="str">
        <f t="shared" si="252"/>
        <v>21</v>
      </c>
      <c r="J1063" s="11">
        <v>1</v>
      </c>
      <c r="K1063" s="11"/>
      <c r="L1063" s="11"/>
      <c r="M1063" s="11">
        <f t="shared" si="256"/>
        <v>0</v>
      </c>
      <c r="N1063" s="11"/>
      <c r="O1063" s="11">
        <f t="shared" si="257"/>
        <v>0</v>
      </c>
      <c r="P1063" s="11"/>
      <c r="Q1063" s="11"/>
      <c r="R1063" s="11"/>
      <c r="S1063" s="11">
        <f t="shared" si="258"/>
        <v>0</v>
      </c>
      <c r="T1063" s="11">
        <f t="shared" si="259"/>
        <v>1666.6666666666667</v>
      </c>
      <c r="U1063" s="11">
        <f t="shared" si="260"/>
        <v>0</v>
      </c>
      <c r="V1063" s="24">
        <f t="shared" si="261"/>
        <v>0</v>
      </c>
      <c r="W1063" s="11">
        <f>IF(V1063&lt;=40000,0,
IF(V1063&lt;=55000,(V1063-40000)*10%,
IF(V1063&lt;=70000,(V1063-55000)*15%+1500,
IF(V1063&lt;=200000,(V1063-70000)*20%+1500+2250,
IF(V1063&lt;=400000,(V1063-200000)*22.5%+1500+2250+26000,
IF(V1063&lt;=600000,(V1063-400000)*25%+1500+2250+26000+45000,
IF(AND(V1063&gt;600000,V1063&lt;=1200000),(V1063-400000)*25%+1500+2250+26000+45000
+IFERROR(LOOKUP(V1063,{600001;700001;800001;900001},{4000;6750;10250;15250}),0),IF(V1063&gt;1200000,((V1063-1200000)*27.5%)+300000,0)
)))))))</f>
        <v>0</v>
      </c>
      <c r="X1063" s="12">
        <f t="shared" si="262"/>
        <v>0</v>
      </c>
      <c r="Y1063" s="12">
        <f t="shared" si="263"/>
        <v>0</v>
      </c>
      <c r="Z1063" s="11"/>
      <c r="AA1063" s="13">
        <f t="shared" si="264"/>
        <v>0</v>
      </c>
      <c r="AB1063" s="12">
        <f t="shared" si="265"/>
        <v>0</v>
      </c>
      <c r="AC1063" s="14">
        <f t="shared" si="253"/>
        <v>0</v>
      </c>
      <c r="AE1063" s="19">
        <f t="shared" si="266"/>
        <v>0</v>
      </c>
      <c r="AF1063" s="19"/>
      <c r="AG1063" s="17"/>
      <c r="AK1063" s="7"/>
      <c r="AL1063" s="108">
        <f t="shared" si="254"/>
        <v>0</v>
      </c>
      <c r="AM1063" s="108">
        <f t="shared" si="255"/>
        <v>0</v>
      </c>
      <c r="AN1063" s="113"/>
    </row>
    <row r="1064" spans="2:40" x14ac:dyDescent="0.2">
      <c r="B1064" s="7"/>
      <c r="C1064" s="8"/>
      <c r="D1064" s="8"/>
      <c r="E1064" s="9"/>
      <c r="F1064" s="6"/>
      <c r="G1064" s="8"/>
      <c r="H1064" s="32"/>
      <c r="I1064" s="10" t="str">
        <f t="shared" si="252"/>
        <v>21</v>
      </c>
      <c r="J1064" s="11">
        <v>1</v>
      </c>
      <c r="K1064" s="11"/>
      <c r="L1064" s="11"/>
      <c r="M1064" s="11">
        <f t="shared" si="256"/>
        <v>0</v>
      </c>
      <c r="N1064" s="11"/>
      <c r="O1064" s="11">
        <f t="shared" si="257"/>
        <v>0</v>
      </c>
      <c r="P1064" s="11"/>
      <c r="Q1064" s="11"/>
      <c r="R1064" s="11"/>
      <c r="S1064" s="11">
        <f t="shared" si="258"/>
        <v>0</v>
      </c>
      <c r="T1064" s="11">
        <f t="shared" si="259"/>
        <v>1666.6666666666667</v>
      </c>
      <c r="U1064" s="11">
        <f t="shared" si="260"/>
        <v>0</v>
      </c>
      <c r="V1064" s="24">
        <f t="shared" si="261"/>
        <v>0</v>
      </c>
      <c r="W1064" s="11">
        <f>IF(V1064&lt;=40000,0,
IF(V1064&lt;=55000,(V1064-40000)*10%,
IF(V1064&lt;=70000,(V1064-55000)*15%+1500,
IF(V1064&lt;=200000,(V1064-70000)*20%+1500+2250,
IF(V1064&lt;=400000,(V1064-200000)*22.5%+1500+2250+26000,
IF(V1064&lt;=600000,(V1064-400000)*25%+1500+2250+26000+45000,
IF(AND(V1064&gt;600000,V1064&lt;=1200000),(V1064-400000)*25%+1500+2250+26000+45000
+IFERROR(LOOKUP(V1064,{600001;700001;800001;900001},{4000;6750;10250;15250}),0),IF(V1064&gt;1200000,((V1064-1200000)*27.5%)+300000,0)
)))))))</f>
        <v>0</v>
      </c>
      <c r="X1064" s="12">
        <f t="shared" si="262"/>
        <v>0</v>
      </c>
      <c r="Y1064" s="12">
        <f t="shared" si="263"/>
        <v>0</v>
      </c>
      <c r="Z1064" s="11"/>
      <c r="AA1064" s="13">
        <f t="shared" si="264"/>
        <v>0</v>
      </c>
      <c r="AB1064" s="12">
        <f t="shared" si="265"/>
        <v>0</v>
      </c>
      <c r="AC1064" s="14">
        <f t="shared" si="253"/>
        <v>0</v>
      </c>
      <c r="AE1064" s="19">
        <f t="shared" si="266"/>
        <v>0</v>
      </c>
      <c r="AF1064" s="19"/>
      <c r="AG1064" s="17"/>
      <c r="AK1064" s="7"/>
      <c r="AL1064" s="108">
        <f t="shared" si="254"/>
        <v>0</v>
      </c>
      <c r="AM1064" s="108">
        <f t="shared" si="255"/>
        <v>0</v>
      </c>
      <c r="AN1064" s="113"/>
    </row>
    <row r="1065" spans="2:40" x14ac:dyDescent="0.2">
      <c r="B1065" s="7"/>
      <c r="C1065" s="8"/>
      <c r="D1065" s="8"/>
      <c r="E1065" s="9"/>
      <c r="F1065" s="6"/>
      <c r="G1065" s="8"/>
      <c r="H1065" s="32"/>
      <c r="I1065" s="10" t="str">
        <f t="shared" si="252"/>
        <v>21</v>
      </c>
      <c r="J1065" s="11">
        <v>1</v>
      </c>
      <c r="K1065" s="11"/>
      <c r="L1065" s="11"/>
      <c r="M1065" s="11">
        <f t="shared" si="256"/>
        <v>0</v>
      </c>
      <c r="N1065" s="11"/>
      <c r="O1065" s="11">
        <f t="shared" si="257"/>
        <v>0</v>
      </c>
      <c r="P1065" s="11"/>
      <c r="Q1065" s="11"/>
      <c r="R1065" s="11"/>
      <c r="S1065" s="11">
        <f t="shared" si="258"/>
        <v>0</v>
      </c>
      <c r="T1065" s="11">
        <f t="shared" si="259"/>
        <v>1666.6666666666667</v>
      </c>
      <c r="U1065" s="11">
        <f t="shared" si="260"/>
        <v>0</v>
      </c>
      <c r="V1065" s="24">
        <f t="shared" si="261"/>
        <v>0</v>
      </c>
      <c r="W1065" s="11">
        <f>IF(V1065&lt;=40000,0,
IF(V1065&lt;=55000,(V1065-40000)*10%,
IF(V1065&lt;=70000,(V1065-55000)*15%+1500,
IF(V1065&lt;=200000,(V1065-70000)*20%+1500+2250,
IF(V1065&lt;=400000,(V1065-200000)*22.5%+1500+2250+26000,
IF(V1065&lt;=600000,(V1065-400000)*25%+1500+2250+26000+45000,
IF(AND(V1065&gt;600000,V1065&lt;=1200000),(V1065-400000)*25%+1500+2250+26000+45000
+IFERROR(LOOKUP(V1065,{600001;700001;800001;900001},{4000;6750;10250;15250}),0),IF(V1065&gt;1200000,((V1065-1200000)*27.5%)+300000,0)
)))))))</f>
        <v>0</v>
      </c>
      <c r="X1065" s="12">
        <f t="shared" si="262"/>
        <v>0</v>
      </c>
      <c r="Y1065" s="12">
        <f t="shared" si="263"/>
        <v>0</v>
      </c>
      <c r="Z1065" s="11"/>
      <c r="AA1065" s="13">
        <f t="shared" si="264"/>
        <v>0</v>
      </c>
      <c r="AB1065" s="12">
        <f t="shared" si="265"/>
        <v>0</v>
      </c>
      <c r="AC1065" s="14">
        <f t="shared" si="253"/>
        <v>0</v>
      </c>
      <c r="AE1065" s="19">
        <f t="shared" si="266"/>
        <v>0</v>
      </c>
      <c r="AF1065" s="19"/>
      <c r="AG1065" s="17"/>
      <c r="AK1065" s="7"/>
      <c r="AL1065" s="108">
        <f t="shared" si="254"/>
        <v>0</v>
      </c>
      <c r="AM1065" s="108">
        <f t="shared" si="255"/>
        <v>0</v>
      </c>
      <c r="AN1065" s="113"/>
    </row>
    <row r="1066" spans="2:40" x14ac:dyDescent="0.2">
      <c r="B1066" s="7"/>
      <c r="C1066" s="8"/>
      <c r="D1066" s="8"/>
      <c r="E1066" s="9"/>
      <c r="F1066" s="6"/>
      <c r="G1066" s="8"/>
      <c r="H1066" s="32"/>
      <c r="I1066" s="10" t="str">
        <f t="shared" si="252"/>
        <v>21</v>
      </c>
      <c r="J1066" s="11">
        <v>1</v>
      </c>
      <c r="K1066" s="11"/>
      <c r="L1066" s="11"/>
      <c r="M1066" s="11">
        <f t="shared" si="256"/>
        <v>0</v>
      </c>
      <c r="N1066" s="11"/>
      <c r="O1066" s="11">
        <f t="shared" si="257"/>
        <v>0</v>
      </c>
      <c r="P1066" s="11"/>
      <c r="Q1066" s="11"/>
      <c r="R1066" s="11"/>
      <c r="S1066" s="11">
        <f t="shared" si="258"/>
        <v>0</v>
      </c>
      <c r="T1066" s="11">
        <f t="shared" si="259"/>
        <v>1666.6666666666667</v>
      </c>
      <c r="U1066" s="11">
        <f t="shared" si="260"/>
        <v>0</v>
      </c>
      <c r="V1066" s="24">
        <f t="shared" si="261"/>
        <v>0</v>
      </c>
      <c r="W1066" s="11">
        <f>IF(V1066&lt;=40000,0,
IF(V1066&lt;=55000,(V1066-40000)*10%,
IF(V1066&lt;=70000,(V1066-55000)*15%+1500,
IF(V1066&lt;=200000,(V1066-70000)*20%+1500+2250,
IF(V1066&lt;=400000,(V1066-200000)*22.5%+1500+2250+26000,
IF(V1066&lt;=600000,(V1066-400000)*25%+1500+2250+26000+45000,
IF(AND(V1066&gt;600000,V1066&lt;=1200000),(V1066-400000)*25%+1500+2250+26000+45000
+IFERROR(LOOKUP(V1066,{600001;700001;800001;900001},{4000;6750;10250;15250}),0),IF(V1066&gt;1200000,((V1066-1200000)*27.5%)+300000,0)
)))))))</f>
        <v>0</v>
      </c>
      <c r="X1066" s="12">
        <f t="shared" si="262"/>
        <v>0</v>
      </c>
      <c r="Y1066" s="12">
        <f t="shared" si="263"/>
        <v>0</v>
      </c>
      <c r="Z1066" s="11"/>
      <c r="AA1066" s="13">
        <f t="shared" si="264"/>
        <v>0</v>
      </c>
      <c r="AB1066" s="12">
        <f t="shared" si="265"/>
        <v>0</v>
      </c>
      <c r="AC1066" s="14">
        <f t="shared" si="253"/>
        <v>0</v>
      </c>
      <c r="AE1066" s="19">
        <f t="shared" si="266"/>
        <v>0</v>
      </c>
      <c r="AF1066" s="19"/>
      <c r="AG1066" s="17"/>
      <c r="AK1066" s="7"/>
      <c r="AL1066" s="108">
        <f t="shared" si="254"/>
        <v>0</v>
      </c>
      <c r="AM1066" s="108">
        <f t="shared" si="255"/>
        <v>0</v>
      </c>
      <c r="AN1066" s="113"/>
    </row>
    <row r="1067" spans="2:40" x14ac:dyDescent="0.2">
      <c r="B1067" s="7"/>
      <c r="C1067" s="8"/>
      <c r="D1067" s="8"/>
      <c r="E1067" s="9"/>
      <c r="F1067" s="6"/>
      <c r="G1067" s="8"/>
      <c r="H1067" s="32"/>
      <c r="I1067" s="10" t="str">
        <f t="shared" si="252"/>
        <v>21</v>
      </c>
      <c r="J1067" s="11">
        <v>1</v>
      </c>
      <c r="K1067" s="11"/>
      <c r="L1067" s="11"/>
      <c r="M1067" s="11">
        <f t="shared" si="256"/>
        <v>0</v>
      </c>
      <c r="N1067" s="11"/>
      <c r="O1067" s="11">
        <f t="shared" si="257"/>
        <v>0</v>
      </c>
      <c r="P1067" s="11"/>
      <c r="Q1067" s="11"/>
      <c r="R1067" s="11"/>
      <c r="S1067" s="11">
        <f t="shared" si="258"/>
        <v>0</v>
      </c>
      <c r="T1067" s="11">
        <f t="shared" si="259"/>
        <v>1666.6666666666667</v>
      </c>
      <c r="U1067" s="11">
        <f t="shared" si="260"/>
        <v>0</v>
      </c>
      <c r="V1067" s="24">
        <f t="shared" si="261"/>
        <v>0</v>
      </c>
      <c r="W1067" s="11">
        <f>IF(V1067&lt;=40000,0,
IF(V1067&lt;=55000,(V1067-40000)*10%,
IF(V1067&lt;=70000,(V1067-55000)*15%+1500,
IF(V1067&lt;=200000,(V1067-70000)*20%+1500+2250,
IF(V1067&lt;=400000,(V1067-200000)*22.5%+1500+2250+26000,
IF(V1067&lt;=600000,(V1067-400000)*25%+1500+2250+26000+45000,
IF(AND(V1067&gt;600000,V1067&lt;=1200000),(V1067-400000)*25%+1500+2250+26000+45000
+IFERROR(LOOKUP(V1067,{600001;700001;800001;900001},{4000;6750;10250;15250}),0),IF(V1067&gt;1200000,((V1067-1200000)*27.5%)+300000,0)
)))))))</f>
        <v>0</v>
      </c>
      <c r="X1067" s="12">
        <f t="shared" si="262"/>
        <v>0</v>
      </c>
      <c r="Y1067" s="12">
        <f t="shared" si="263"/>
        <v>0</v>
      </c>
      <c r="Z1067" s="11"/>
      <c r="AA1067" s="13">
        <f t="shared" si="264"/>
        <v>0</v>
      </c>
      <c r="AB1067" s="12">
        <f t="shared" si="265"/>
        <v>0</v>
      </c>
      <c r="AC1067" s="14">
        <f t="shared" si="253"/>
        <v>0</v>
      </c>
      <c r="AE1067" s="19">
        <f t="shared" si="266"/>
        <v>0</v>
      </c>
      <c r="AF1067" s="19"/>
      <c r="AG1067" s="17"/>
      <c r="AK1067" s="7"/>
      <c r="AL1067" s="108">
        <f t="shared" si="254"/>
        <v>0</v>
      </c>
      <c r="AM1067" s="108">
        <f t="shared" si="255"/>
        <v>0</v>
      </c>
      <c r="AN1067" s="113"/>
    </row>
    <row r="1068" spans="2:40" x14ac:dyDescent="0.2">
      <c r="B1068" s="7"/>
      <c r="C1068" s="8"/>
      <c r="D1068" s="8"/>
      <c r="E1068" s="9"/>
      <c r="F1068" s="6"/>
      <c r="G1068" s="8"/>
      <c r="H1068" s="32"/>
      <c r="I1068" s="10" t="str">
        <f t="shared" si="252"/>
        <v>21</v>
      </c>
      <c r="J1068" s="11">
        <v>1</v>
      </c>
      <c r="K1068" s="11"/>
      <c r="L1068" s="11"/>
      <c r="M1068" s="11">
        <f t="shared" si="256"/>
        <v>0</v>
      </c>
      <c r="N1068" s="11"/>
      <c r="O1068" s="11">
        <f t="shared" si="257"/>
        <v>0</v>
      </c>
      <c r="P1068" s="11"/>
      <c r="Q1068" s="11"/>
      <c r="R1068" s="11"/>
      <c r="S1068" s="11">
        <f t="shared" si="258"/>
        <v>0</v>
      </c>
      <c r="T1068" s="11">
        <f t="shared" si="259"/>
        <v>1666.6666666666667</v>
      </c>
      <c r="U1068" s="11">
        <f t="shared" si="260"/>
        <v>0</v>
      </c>
      <c r="V1068" s="24">
        <f t="shared" si="261"/>
        <v>0</v>
      </c>
      <c r="W1068" s="11">
        <f>IF(V1068&lt;=40000,0,
IF(V1068&lt;=55000,(V1068-40000)*10%,
IF(V1068&lt;=70000,(V1068-55000)*15%+1500,
IF(V1068&lt;=200000,(V1068-70000)*20%+1500+2250,
IF(V1068&lt;=400000,(V1068-200000)*22.5%+1500+2250+26000,
IF(V1068&lt;=600000,(V1068-400000)*25%+1500+2250+26000+45000,
IF(AND(V1068&gt;600000,V1068&lt;=1200000),(V1068-400000)*25%+1500+2250+26000+45000
+IFERROR(LOOKUP(V1068,{600001;700001;800001;900001},{4000;6750;10250;15250}),0),IF(V1068&gt;1200000,((V1068-1200000)*27.5%)+300000,0)
)))))))</f>
        <v>0</v>
      </c>
      <c r="X1068" s="12">
        <f t="shared" si="262"/>
        <v>0</v>
      </c>
      <c r="Y1068" s="12">
        <f t="shared" si="263"/>
        <v>0</v>
      </c>
      <c r="Z1068" s="11"/>
      <c r="AA1068" s="13">
        <f t="shared" si="264"/>
        <v>0</v>
      </c>
      <c r="AB1068" s="12">
        <f t="shared" si="265"/>
        <v>0</v>
      </c>
      <c r="AC1068" s="14">
        <f t="shared" si="253"/>
        <v>0</v>
      </c>
      <c r="AE1068" s="19">
        <f t="shared" si="266"/>
        <v>0</v>
      </c>
      <c r="AF1068" s="19"/>
      <c r="AG1068" s="17"/>
      <c r="AK1068" s="7"/>
      <c r="AL1068" s="108">
        <f t="shared" si="254"/>
        <v>0</v>
      </c>
      <c r="AM1068" s="108">
        <f t="shared" si="255"/>
        <v>0</v>
      </c>
      <c r="AN1068" s="113"/>
    </row>
    <row r="1069" spans="2:40" x14ac:dyDescent="0.2">
      <c r="B1069" s="7"/>
      <c r="C1069" s="8"/>
      <c r="D1069" s="8"/>
      <c r="E1069" s="9"/>
      <c r="F1069" s="6"/>
      <c r="G1069" s="8"/>
      <c r="H1069" s="32"/>
      <c r="I1069" s="10" t="str">
        <f t="shared" si="252"/>
        <v>21</v>
      </c>
      <c r="J1069" s="11">
        <v>1</v>
      </c>
      <c r="K1069" s="11"/>
      <c r="L1069" s="11"/>
      <c r="M1069" s="11">
        <f t="shared" si="256"/>
        <v>0</v>
      </c>
      <c r="N1069" s="11"/>
      <c r="O1069" s="11">
        <f t="shared" si="257"/>
        <v>0</v>
      </c>
      <c r="P1069" s="11"/>
      <c r="Q1069" s="11"/>
      <c r="R1069" s="11"/>
      <c r="S1069" s="11">
        <f t="shared" si="258"/>
        <v>0</v>
      </c>
      <c r="T1069" s="11">
        <f t="shared" si="259"/>
        <v>1666.6666666666667</v>
      </c>
      <c r="U1069" s="11">
        <f t="shared" si="260"/>
        <v>0</v>
      </c>
      <c r="V1069" s="24">
        <f t="shared" si="261"/>
        <v>0</v>
      </c>
      <c r="W1069" s="11">
        <f>IF(V1069&lt;=40000,0,
IF(V1069&lt;=55000,(V1069-40000)*10%,
IF(V1069&lt;=70000,(V1069-55000)*15%+1500,
IF(V1069&lt;=200000,(V1069-70000)*20%+1500+2250,
IF(V1069&lt;=400000,(V1069-200000)*22.5%+1500+2250+26000,
IF(V1069&lt;=600000,(V1069-400000)*25%+1500+2250+26000+45000,
IF(AND(V1069&gt;600000,V1069&lt;=1200000),(V1069-400000)*25%+1500+2250+26000+45000
+IFERROR(LOOKUP(V1069,{600001;700001;800001;900001},{4000;6750;10250;15250}),0),IF(V1069&gt;1200000,((V1069-1200000)*27.5%)+300000,0)
)))))))</f>
        <v>0</v>
      </c>
      <c r="X1069" s="12">
        <f t="shared" si="262"/>
        <v>0</v>
      </c>
      <c r="Y1069" s="12">
        <f t="shared" si="263"/>
        <v>0</v>
      </c>
      <c r="Z1069" s="11"/>
      <c r="AA1069" s="13">
        <f t="shared" si="264"/>
        <v>0</v>
      </c>
      <c r="AB1069" s="12">
        <f t="shared" si="265"/>
        <v>0</v>
      </c>
      <c r="AC1069" s="14">
        <f t="shared" si="253"/>
        <v>0</v>
      </c>
      <c r="AE1069" s="19">
        <f t="shared" si="266"/>
        <v>0</v>
      </c>
      <c r="AF1069" s="19"/>
      <c r="AG1069" s="17"/>
      <c r="AK1069" s="7"/>
      <c r="AL1069" s="108">
        <f t="shared" si="254"/>
        <v>0</v>
      </c>
      <c r="AM1069" s="108">
        <f t="shared" si="255"/>
        <v>0</v>
      </c>
      <c r="AN1069" s="113"/>
    </row>
    <row r="1070" spans="2:40" x14ac:dyDescent="0.2">
      <c r="B1070" s="7"/>
      <c r="C1070" s="8"/>
      <c r="D1070" s="8"/>
      <c r="E1070" s="9"/>
      <c r="F1070" s="6"/>
      <c r="G1070" s="8"/>
      <c r="H1070" s="32"/>
      <c r="I1070" s="10" t="str">
        <f t="shared" si="252"/>
        <v>21</v>
      </c>
      <c r="J1070" s="11">
        <v>1</v>
      </c>
      <c r="K1070" s="11"/>
      <c r="L1070" s="11"/>
      <c r="M1070" s="11">
        <f t="shared" si="256"/>
        <v>0</v>
      </c>
      <c r="N1070" s="11"/>
      <c r="O1070" s="11">
        <f t="shared" si="257"/>
        <v>0</v>
      </c>
      <c r="P1070" s="11"/>
      <c r="Q1070" s="11"/>
      <c r="R1070" s="11"/>
      <c r="S1070" s="11">
        <f t="shared" si="258"/>
        <v>0</v>
      </c>
      <c r="T1070" s="11">
        <f t="shared" si="259"/>
        <v>1666.6666666666667</v>
      </c>
      <c r="U1070" s="11">
        <f t="shared" si="260"/>
        <v>0</v>
      </c>
      <c r="V1070" s="24">
        <f t="shared" si="261"/>
        <v>0</v>
      </c>
      <c r="W1070" s="11">
        <f>IF(V1070&lt;=40000,0,
IF(V1070&lt;=55000,(V1070-40000)*10%,
IF(V1070&lt;=70000,(V1070-55000)*15%+1500,
IF(V1070&lt;=200000,(V1070-70000)*20%+1500+2250,
IF(V1070&lt;=400000,(V1070-200000)*22.5%+1500+2250+26000,
IF(V1070&lt;=600000,(V1070-400000)*25%+1500+2250+26000+45000,
IF(AND(V1070&gt;600000,V1070&lt;=1200000),(V1070-400000)*25%+1500+2250+26000+45000
+IFERROR(LOOKUP(V1070,{600001;700001;800001;900001},{4000;6750;10250;15250}),0),IF(V1070&gt;1200000,((V1070-1200000)*27.5%)+300000,0)
)))))))</f>
        <v>0</v>
      </c>
      <c r="X1070" s="12">
        <f t="shared" si="262"/>
        <v>0</v>
      </c>
      <c r="Y1070" s="12">
        <f t="shared" si="263"/>
        <v>0</v>
      </c>
      <c r="Z1070" s="11"/>
      <c r="AA1070" s="13">
        <f t="shared" si="264"/>
        <v>0</v>
      </c>
      <c r="AB1070" s="12">
        <f t="shared" si="265"/>
        <v>0</v>
      </c>
      <c r="AC1070" s="14">
        <f t="shared" si="253"/>
        <v>0</v>
      </c>
      <c r="AE1070" s="19">
        <f t="shared" si="266"/>
        <v>0</v>
      </c>
      <c r="AF1070" s="19"/>
      <c r="AG1070" s="17"/>
      <c r="AK1070" s="7"/>
      <c r="AL1070" s="108">
        <f t="shared" si="254"/>
        <v>0</v>
      </c>
      <c r="AM1070" s="108">
        <f t="shared" si="255"/>
        <v>0</v>
      </c>
      <c r="AN1070" s="113"/>
    </row>
    <row r="1071" spans="2:40" x14ac:dyDescent="0.2">
      <c r="B1071" s="7"/>
      <c r="C1071" s="8"/>
      <c r="D1071" s="8"/>
      <c r="E1071" s="9"/>
      <c r="F1071" s="6"/>
      <c r="G1071" s="8"/>
      <c r="H1071" s="32"/>
      <c r="I1071" s="10" t="str">
        <f t="shared" si="252"/>
        <v>21</v>
      </c>
      <c r="J1071" s="11">
        <v>1</v>
      </c>
      <c r="K1071" s="11"/>
      <c r="L1071" s="11"/>
      <c r="M1071" s="11">
        <f t="shared" si="256"/>
        <v>0</v>
      </c>
      <c r="N1071" s="11"/>
      <c r="O1071" s="11">
        <f t="shared" si="257"/>
        <v>0</v>
      </c>
      <c r="P1071" s="11"/>
      <c r="Q1071" s="11"/>
      <c r="R1071" s="11"/>
      <c r="S1071" s="11">
        <f t="shared" si="258"/>
        <v>0</v>
      </c>
      <c r="T1071" s="11">
        <f t="shared" si="259"/>
        <v>1666.6666666666667</v>
      </c>
      <c r="U1071" s="11">
        <f t="shared" si="260"/>
        <v>0</v>
      </c>
      <c r="V1071" s="24">
        <f t="shared" si="261"/>
        <v>0</v>
      </c>
      <c r="W1071" s="11">
        <f>IF(V1071&lt;=40000,0,
IF(V1071&lt;=55000,(V1071-40000)*10%,
IF(V1071&lt;=70000,(V1071-55000)*15%+1500,
IF(V1071&lt;=200000,(V1071-70000)*20%+1500+2250,
IF(V1071&lt;=400000,(V1071-200000)*22.5%+1500+2250+26000,
IF(V1071&lt;=600000,(V1071-400000)*25%+1500+2250+26000+45000,
IF(AND(V1071&gt;600000,V1071&lt;=1200000),(V1071-400000)*25%+1500+2250+26000+45000
+IFERROR(LOOKUP(V1071,{600001;700001;800001;900001},{4000;6750;10250;15250}),0),IF(V1071&gt;1200000,((V1071-1200000)*27.5%)+300000,0)
)))))))</f>
        <v>0</v>
      </c>
      <c r="X1071" s="12">
        <f t="shared" si="262"/>
        <v>0</v>
      </c>
      <c r="Y1071" s="12">
        <f t="shared" si="263"/>
        <v>0</v>
      </c>
      <c r="Z1071" s="11"/>
      <c r="AA1071" s="13">
        <f t="shared" si="264"/>
        <v>0</v>
      </c>
      <c r="AB1071" s="12">
        <f t="shared" si="265"/>
        <v>0</v>
      </c>
      <c r="AC1071" s="14">
        <f t="shared" si="253"/>
        <v>0</v>
      </c>
      <c r="AE1071" s="19">
        <f t="shared" si="266"/>
        <v>0</v>
      </c>
      <c r="AF1071" s="19"/>
      <c r="AG1071" s="17"/>
      <c r="AK1071" s="7"/>
      <c r="AL1071" s="108">
        <f t="shared" si="254"/>
        <v>0</v>
      </c>
      <c r="AM1071" s="108">
        <f t="shared" si="255"/>
        <v>0</v>
      </c>
      <c r="AN1071" s="113"/>
    </row>
    <row r="1072" spans="2:40" x14ac:dyDescent="0.2">
      <c r="B1072" s="7"/>
      <c r="C1072" s="8"/>
      <c r="D1072" s="8"/>
      <c r="E1072" s="9"/>
      <c r="F1072" s="6"/>
      <c r="G1072" s="8"/>
      <c r="H1072" s="32"/>
      <c r="I1072" s="10" t="str">
        <f t="shared" si="252"/>
        <v>21</v>
      </c>
      <c r="J1072" s="11">
        <v>1</v>
      </c>
      <c r="K1072" s="11"/>
      <c r="L1072" s="11"/>
      <c r="M1072" s="11">
        <f t="shared" si="256"/>
        <v>0</v>
      </c>
      <c r="N1072" s="11"/>
      <c r="O1072" s="11">
        <f t="shared" si="257"/>
        <v>0</v>
      </c>
      <c r="P1072" s="11"/>
      <c r="Q1072" s="11"/>
      <c r="R1072" s="11"/>
      <c r="S1072" s="11">
        <f t="shared" si="258"/>
        <v>0</v>
      </c>
      <c r="T1072" s="11">
        <f t="shared" si="259"/>
        <v>1666.6666666666667</v>
      </c>
      <c r="U1072" s="11">
        <f t="shared" si="260"/>
        <v>0</v>
      </c>
      <c r="V1072" s="24">
        <f t="shared" si="261"/>
        <v>0</v>
      </c>
      <c r="W1072" s="11">
        <f>IF(V1072&lt;=40000,0,
IF(V1072&lt;=55000,(V1072-40000)*10%,
IF(V1072&lt;=70000,(V1072-55000)*15%+1500,
IF(V1072&lt;=200000,(V1072-70000)*20%+1500+2250,
IF(V1072&lt;=400000,(V1072-200000)*22.5%+1500+2250+26000,
IF(V1072&lt;=600000,(V1072-400000)*25%+1500+2250+26000+45000,
IF(AND(V1072&gt;600000,V1072&lt;=1200000),(V1072-400000)*25%+1500+2250+26000+45000
+IFERROR(LOOKUP(V1072,{600001;700001;800001;900001},{4000;6750;10250;15250}),0),IF(V1072&gt;1200000,((V1072-1200000)*27.5%)+300000,0)
)))))))</f>
        <v>0</v>
      </c>
      <c r="X1072" s="12">
        <f t="shared" si="262"/>
        <v>0</v>
      </c>
      <c r="Y1072" s="12">
        <f t="shared" si="263"/>
        <v>0</v>
      </c>
      <c r="Z1072" s="11"/>
      <c r="AA1072" s="13">
        <f t="shared" si="264"/>
        <v>0</v>
      </c>
      <c r="AB1072" s="12">
        <f t="shared" si="265"/>
        <v>0</v>
      </c>
      <c r="AC1072" s="14">
        <f t="shared" si="253"/>
        <v>0</v>
      </c>
      <c r="AE1072" s="19">
        <f t="shared" si="266"/>
        <v>0</v>
      </c>
      <c r="AF1072" s="19"/>
      <c r="AG1072" s="17"/>
      <c r="AK1072" s="7"/>
      <c r="AL1072" s="108">
        <f t="shared" si="254"/>
        <v>0</v>
      </c>
      <c r="AM1072" s="108">
        <f t="shared" si="255"/>
        <v>0</v>
      </c>
      <c r="AN1072" s="113"/>
    </row>
    <row r="1073" spans="2:40" x14ac:dyDescent="0.2">
      <c r="B1073" s="7"/>
      <c r="C1073" s="8"/>
      <c r="D1073" s="8"/>
      <c r="E1073" s="9"/>
      <c r="F1073" s="6"/>
      <c r="G1073" s="8"/>
      <c r="H1073" s="32"/>
      <c r="I1073" s="10" t="str">
        <f t="shared" si="252"/>
        <v>21</v>
      </c>
      <c r="J1073" s="11">
        <v>1</v>
      </c>
      <c r="K1073" s="11"/>
      <c r="L1073" s="11"/>
      <c r="M1073" s="11">
        <f t="shared" si="256"/>
        <v>0</v>
      </c>
      <c r="N1073" s="11"/>
      <c r="O1073" s="11">
        <f t="shared" si="257"/>
        <v>0</v>
      </c>
      <c r="P1073" s="11"/>
      <c r="Q1073" s="11"/>
      <c r="R1073" s="11"/>
      <c r="S1073" s="11">
        <f t="shared" si="258"/>
        <v>0</v>
      </c>
      <c r="T1073" s="11">
        <f t="shared" si="259"/>
        <v>1666.6666666666667</v>
      </c>
      <c r="U1073" s="11">
        <f t="shared" si="260"/>
        <v>0</v>
      </c>
      <c r="V1073" s="24">
        <f t="shared" si="261"/>
        <v>0</v>
      </c>
      <c r="W1073" s="11">
        <f>IF(V1073&lt;=40000,0,
IF(V1073&lt;=55000,(V1073-40000)*10%,
IF(V1073&lt;=70000,(V1073-55000)*15%+1500,
IF(V1073&lt;=200000,(V1073-70000)*20%+1500+2250,
IF(V1073&lt;=400000,(V1073-200000)*22.5%+1500+2250+26000,
IF(V1073&lt;=600000,(V1073-400000)*25%+1500+2250+26000+45000,
IF(AND(V1073&gt;600000,V1073&lt;=1200000),(V1073-400000)*25%+1500+2250+26000+45000
+IFERROR(LOOKUP(V1073,{600001;700001;800001;900001},{4000;6750;10250;15250}),0),IF(V1073&gt;1200000,((V1073-1200000)*27.5%)+300000,0)
)))))))</f>
        <v>0</v>
      </c>
      <c r="X1073" s="12">
        <f t="shared" si="262"/>
        <v>0</v>
      </c>
      <c r="Y1073" s="12">
        <f t="shared" si="263"/>
        <v>0</v>
      </c>
      <c r="Z1073" s="11"/>
      <c r="AA1073" s="13">
        <f t="shared" si="264"/>
        <v>0</v>
      </c>
      <c r="AB1073" s="12">
        <f t="shared" si="265"/>
        <v>0</v>
      </c>
      <c r="AC1073" s="14">
        <f t="shared" si="253"/>
        <v>0</v>
      </c>
      <c r="AE1073" s="19">
        <f t="shared" si="266"/>
        <v>0</v>
      </c>
      <c r="AF1073" s="19"/>
      <c r="AG1073" s="17"/>
      <c r="AK1073" s="7"/>
      <c r="AL1073" s="108">
        <f t="shared" si="254"/>
        <v>0</v>
      </c>
      <c r="AM1073" s="108">
        <f t="shared" si="255"/>
        <v>0</v>
      </c>
      <c r="AN1073" s="113"/>
    </row>
    <row r="1074" spans="2:40" x14ac:dyDescent="0.2">
      <c r="B1074" s="7"/>
      <c r="C1074" s="8"/>
      <c r="D1074" s="8"/>
      <c r="E1074" s="9"/>
      <c r="F1074" s="6"/>
      <c r="G1074" s="8"/>
      <c r="H1074" s="32"/>
      <c r="I1074" s="10" t="str">
        <f t="shared" si="252"/>
        <v>21</v>
      </c>
      <c r="J1074" s="11">
        <v>1</v>
      </c>
      <c r="K1074" s="11"/>
      <c r="L1074" s="11"/>
      <c r="M1074" s="11">
        <f t="shared" si="256"/>
        <v>0</v>
      </c>
      <c r="N1074" s="11"/>
      <c r="O1074" s="11">
        <f t="shared" si="257"/>
        <v>0</v>
      </c>
      <c r="P1074" s="11"/>
      <c r="Q1074" s="11"/>
      <c r="R1074" s="11"/>
      <c r="S1074" s="11">
        <f t="shared" si="258"/>
        <v>0</v>
      </c>
      <c r="T1074" s="11">
        <f t="shared" si="259"/>
        <v>1666.6666666666667</v>
      </c>
      <c r="U1074" s="11">
        <f t="shared" si="260"/>
        <v>0</v>
      </c>
      <c r="V1074" s="24">
        <f t="shared" si="261"/>
        <v>0</v>
      </c>
      <c r="W1074" s="11">
        <f>IF(V1074&lt;=40000,0,
IF(V1074&lt;=55000,(V1074-40000)*10%,
IF(V1074&lt;=70000,(V1074-55000)*15%+1500,
IF(V1074&lt;=200000,(V1074-70000)*20%+1500+2250,
IF(V1074&lt;=400000,(V1074-200000)*22.5%+1500+2250+26000,
IF(V1074&lt;=600000,(V1074-400000)*25%+1500+2250+26000+45000,
IF(AND(V1074&gt;600000,V1074&lt;=1200000),(V1074-400000)*25%+1500+2250+26000+45000
+IFERROR(LOOKUP(V1074,{600001;700001;800001;900001},{4000;6750;10250;15250}),0),IF(V1074&gt;1200000,((V1074-1200000)*27.5%)+300000,0)
)))))))</f>
        <v>0</v>
      </c>
      <c r="X1074" s="12">
        <f t="shared" si="262"/>
        <v>0</v>
      </c>
      <c r="Y1074" s="12">
        <f t="shared" si="263"/>
        <v>0</v>
      </c>
      <c r="Z1074" s="11"/>
      <c r="AA1074" s="13">
        <f t="shared" si="264"/>
        <v>0</v>
      </c>
      <c r="AB1074" s="12">
        <f t="shared" si="265"/>
        <v>0</v>
      </c>
      <c r="AC1074" s="14">
        <f t="shared" si="253"/>
        <v>0</v>
      </c>
      <c r="AE1074" s="19">
        <f t="shared" si="266"/>
        <v>0</v>
      </c>
      <c r="AF1074" s="19"/>
      <c r="AG1074" s="17"/>
      <c r="AK1074" s="7"/>
      <c r="AL1074" s="108">
        <f t="shared" si="254"/>
        <v>0</v>
      </c>
      <c r="AM1074" s="108">
        <f t="shared" si="255"/>
        <v>0</v>
      </c>
      <c r="AN1074" s="113"/>
    </row>
    <row r="1075" spans="2:40" x14ac:dyDescent="0.2">
      <c r="B1075" s="7"/>
      <c r="C1075" s="8"/>
      <c r="D1075" s="8"/>
      <c r="E1075" s="9"/>
      <c r="F1075" s="6"/>
      <c r="G1075" s="8"/>
      <c r="H1075" s="32"/>
      <c r="I1075" s="10" t="str">
        <f t="shared" si="252"/>
        <v>21</v>
      </c>
      <c r="J1075" s="11">
        <v>1</v>
      </c>
      <c r="K1075" s="11"/>
      <c r="L1075" s="11"/>
      <c r="M1075" s="11">
        <f t="shared" si="256"/>
        <v>0</v>
      </c>
      <c r="N1075" s="11"/>
      <c r="O1075" s="11">
        <f t="shared" si="257"/>
        <v>0</v>
      </c>
      <c r="P1075" s="11"/>
      <c r="Q1075" s="11"/>
      <c r="R1075" s="11"/>
      <c r="S1075" s="11">
        <f t="shared" si="258"/>
        <v>0</v>
      </c>
      <c r="T1075" s="11">
        <f t="shared" si="259"/>
        <v>1666.6666666666667</v>
      </c>
      <c r="U1075" s="11">
        <f t="shared" si="260"/>
        <v>0</v>
      </c>
      <c r="V1075" s="24">
        <f t="shared" si="261"/>
        <v>0</v>
      </c>
      <c r="W1075" s="11">
        <f>IF(V1075&lt;=40000,0,
IF(V1075&lt;=55000,(V1075-40000)*10%,
IF(V1075&lt;=70000,(V1075-55000)*15%+1500,
IF(V1075&lt;=200000,(V1075-70000)*20%+1500+2250,
IF(V1075&lt;=400000,(V1075-200000)*22.5%+1500+2250+26000,
IF(V1075&lt;=600000,(V1075-400000)*25%+1500+2250+26000+45000,
IF(AND(V1075&gt;600000,V1075&lt;=1200000),(V1075-400000)*25%+1500+2250+26000+45000
+IFERROR(LOOKUP(V1075,{600001;700001;800001;900001},{4000;6750;10250;15250}),0),IF(V1075&gt;1200000,((V1075-1200000)*27.5%)+300000,0)
)))))))</f>
        <v>0</v>
      </c>
      <c r="X1075" s="12">
        <f t="shared" si="262"/>
        <v>0</v>
      </c>
      <c r="Y1075" s="12">
        <f t="shared" si="263"/>
        <v>0</v>
      </c>
      <c r="Z1075" s="11"/>
      <c r="AA1075" s="13">
        <f t="shared" si="264"/>
        <v>0</v>
      </c>
      <c r="AB1075" s="12">
        <f t="shared" si="265"/>
        <v>0</v>
      </c>
      <c r="AC1075" s="14">
        <f t="shared" si="253"/>
        <v>0</v>
      </c>
      <c r="AE1075" s="19">
        <f t="shared" si="266"/>
        <v>0</v>
      </c>
      <c r="AF1075" s="19"/>
      <c r="AG1075" s="17"/>
      <c r="AK1075" s="7"/>
      <c r="AL1075" s="108">
        <f t="shared" si="254"/>
        <v>0</v>
      </c>
      <c r="AM1075" s="108">
        <f t="shared" si="255"/>
        <v>0</v>
      </c>
      <c r="AN1075" s="113"/>
    </row>
    <row r="1076" spans="2:40" x14ac:dyDescent="0.2">
      <c r="B1076" s="7"/>
      <c r="C1076" s="8"/>
      <c r="D1076" s="8"/>
      <c r="E1076" s="9"/>
      <c r="F1076" s="6"/>
      <c r="G1076" s="8"/>
      <c r="H1076" s="32"/>
      <c r="I1076" s="10" t="str">
        <f t="shared" si="252"/>
        <v>21</v>
      </c>
      <c r="J1076" s="11">
        <v>1</v>
      </c>
      <c r="K1076" s="11"/>
      <c r="L1076" s="11"/>
      <c r="M1076" s="11">
        <f t="shared" si="256"/>
        <v>0</v>
      </c>
      <c r="N1076" s="11"/>
      <c r="O1076" s="11">
        <f t="shared" si="257"/>
        <v>0</v>
      </c>
      <c r="P1076" s="11"/>
      <c r="Q1076" s="11"/>
      <c r="R1076" s="11"/>
      <c r="S1076" s="11">
        <f t="shared" si="258"/>
        <v>0</v>
      </c>
      <c r="T1076" s="11">
        <f t="shared" si="259"/>
        <v>1666.6666666666667</v>
      </c>
      <c r="U1076" s="11">
        <f t="shared" si="260"/>
        <v>0</v>
      </c>
      <c r="V1076" s="24">
        <f t="shared" si="261"/>
        <v>0</v>
      </c>
      <c r="W1076" s="11">
        <f>IF(V1076&lt;=40000,0,
IF(V1076&lt;=55000,(V1076-40000)*10%,
IF(V1076&lt;=70000,(V1076-55000)*15%+1500,
IF(V1076&lt;=200000,(V1076-70000)*20%+1500+2250,
IF(V1076&lt;=400000,(V1076-200000)*22.5%+1500+2250+26000,
IF(V1076&lt;=600000,(V1076-400000)*25%+1500+2250+26000+45000,
IF(AND(V1076&gt;600000,V1076&lt;=1200000),(V1076-400000)*25%+1500+2250+26000+45000
+IFERROR(LOOKUP(V1076,{600001;700001;800001;900001},{4000;6750;10250;15250}),0),IF(V1076&gt;1200000,((V1076-1200000)*27.5%)+300000,0)
)))))))</f>
        <v>0</v>
      </c>
      <c r="X1076" s="12">
        <f t="shared" si="262"/>
        <v>0</v>
      </c>
      <c r="Y1076" s="12">
        <f t="shared" si="263"/>
        <v>0</v>
      </c>
      <c r="Z1076" s="11"/>
      <c r="AA1076" s="13">
        <f t="shared" si="264"/>
        <v>0</v>
      </c>
      <c r="AB1076" s="12">
        <f t="shared" si="265"/>
        <v>0</v>
      </c>
      <c r="AC1076" s="14">
        <f t="shared" si="253"/>
        <v>0</v>
      </c>
      <c r="AE1076" s="19">
        <f t="shared" si="266"/>
        <v>0</v>
      </c>
      <c r="AF1076" s="19"/>
      <c r="AG1076" s="17"/>
      <c r="AK1076" s="7"/>
      <c r="AL1076" s="108">
        <f t="shared" si="254"/>
        <v>0</v>
      </c>
      <c r="AM1076" s="108">
        <f t="shared" si="255"/>
        <v>0</v>
      </c>
      <c r="AN1076" s="113"/>
    </row>
    <row r="1077" spans="2:40" x14ac:dyDescent="0.2">
      <c r="B1077" s="7"/>
      <c r="C1077" s="8"/>
      <c r="D1077" s="8"/>
      <c r="E1077" s="9"/>
      <c r="F1077" s="6"/>
      <c r="G1077" s="8"/>
      <c r="H1077" s="32"/>
      <c r="I1077" s="10" t="str">
        <f t="shared" si="252"/>
        <v>21</v>
      </c>
      <c r="J1077" s="11">
        <v>1</v>
      </c>
      <c r="K1077" s="11"/>
      <c r="L1077" s="11"/>
      <c r="M1077" s="11">
        <f t="shared" si="256"/>
        <v>0</v>
      </c>
      <c r="N1077" s="11"/>
      <c r="O1077" s="11">
        <f t="shared" si="257"/>
        <v>0</v>
      </c>
      <c r="P1077" s="11"/>
      <c r="Q1077" s="11"/>
      <c r="R1077" s="11"/>
      <c r="S1077" s="11">
        <f t="shared" si="258"/>
        <v>0</v>
      </c>
      <c r="T1077" s="11">
        <f t="shared" si="259"/>
        <v>1666.6666666666667</v>
      </c>
      <c r="U1077" s="11">
        <f t="shared" si="260"/>
        <v>0</v>
      </c>
      <c r="V1077" s="24">
        <f t="shared" si="261"/>
        <v>0</v>
      </c>
      <c r="W1077" s="11">
        <f>IF(V1077&lt;=40000,0,
IF(V1077&lt;=55000,(V1077-40000)*10%,
IF(V1077&lt;=70000,(V1077-55000)*15%+1500,
IF(V1077&lt;=200000,(V1077-70000)*20%+1500+2250,
IF(V1077&lt;=400000,(V1077-200000)*22.5%+1500+2250+26000,
IF(V1077&lt;=600000,(V1077-400000)*25%+1500+2250+26000+45000,
IF(AND(V1077&gt;600000,V1077&lt;=1200000),(V1077-400000)*25%+1500+2250+26000+45000
+IFERROR(LOOKUP(V1077,{600001;700001;800001;900001},{4000;6750;10250;15250}),0),IF(V1077&gt;1200000,((V1077-1200000)*27.5%)+300000,0)
)))))))</f>
        <v>0</v>
      </c>
      <c r="X1077" s="12">
        <f t="shared" si="262"/>
        <v>0</v>
      </c>
      <c r="Y1077" s="12">
        <f t="shared" si="263"/>
        <v>0</v>
      </c>
      <c r="Z1077" s="11"/>
      <c r="AA1077" s="13">
        <f t="shared" si="264"/>
        <v>0</v>
      </c>
      <c r="AB1077" s="12">
        <f t="shared" si="265"/>
        <v>0</v>
      </c>
      <c r="AC1077" s="14">
        <f t="shared" si="253"/>
        <v>0</v>
      </c>
      <c r="AE1077" s="19">
        <f t="shared" si="266"/>
        <v>0</v>
      </c>
      <c r="AF1077" s="19"/>
      <c r="AG1077" s="17"/>
      <c r="AK1077" s="7"/>
      <c r="AL1077" s="108">
        <f t="shared" si="254"/>
        <v>0</v>
      </c>
      <c r="AM1077" s="108">
        <f t="shared" si="255"/>
        <v>0</v>
      </c>
      <c r="AN1077" s="113"/>
    </row>
    <row r="1078" spans="2:40" x14ac:dyDescent="0.2">
      <c r="B1078" s="7"/>
      <c r="C1078" s="8"/>
      <c r="D1078" s="8"/>
      <c r="E1078" s="9"/>
      <c r="F1078" s="6"/>
      <c r="G1078" s="8"/>
      <c r="H1078" s="32"/>
      <c r="I1078" s="10" t="str">
        <f t="shared" si="252"/>
        <v>21</v>
      </c>
      <c r="J1078" s="11">
        <v>1</v>
      </c>
      <c r="K1078" s="11"/>
      <c r="L1078" s="11"/>
      <c r="M1078" s="11">
        <f t="shared" si="256"/>
        <v>0</v>
      </c>
      <c r="N1078" s="11"/>
      <c r="O1078" s="11">
        <f t="shared" si="257"/>
        <v>0</v>
      </c>
      <c r="P1078" s="11"/>
      <c r="Q1078" s="11"/>
      <c r="R1078" s="11"/>
      <c r="S1078" s="11">
        <f t="shared" si="258"/>
        <v>0</v>
      </c>
      <c r="T1078" s="11">
        <f t="shared" si="259"/>
        <v>1666.6666666666667</v>
      </c>
      <c r="U1078" s="11">
        <f t="shared" si="260"/>
        <v>0</v>
      </c>
      <c r="V1078" s="24">
        <f t="shared" si="261"/>
        <v>0</v>
      </c>
      <c r="W1078" s="11">
        <f>IF(V1078&lt;=40000,0,
IF(V1078&lt;=55000,(V1078-40000)*10%,
IF(V1078&lt;=70000,(V1078-55000)*15%+1500,
IF(V1078&lt;=200000,(V1078-70000)*20%+1500+2250,
IF(V1078&lt;=400000,(V1078-200000)*22.5%+1500+2250+26000,
IF(V1078&lt;=600000,(V1078-400000)*25%+1500+2250+26000+45000,
IF(AND(V1078&gt;600000,V1078&lt;=1200000),(V1078-400000)*25%+1500+2250+26000+45000
+IFERROR(LOOKUP(V1078,{600001;700001;800001;900001},{4000;6750;10250;15250}),0),IF(V1078&gt;1200000,((V1078-1200000)*27.5%)+300000,0)
)))))))</f>
        <v>0</v>
      </c>
      <c r="X1078" s="12">
        <f t="shared" si="262"/>
        <v>0</v>
      </c>
      <c r="Y1078" s="12">
        <f t="shared" si="263"/>
        <v>0</v>
      </c>
      <c r="Z1078" s="11"/>
      <c r="AA1078" s="13">
        <f t="shared" si="264"/>
        <v>0</v>
      </c>
      <c r="AB1078" s="12">
        <f t="shared" si="265"/>
        <v>0</v>
      </c>
      <c r="AC1078" s="14">
        <f t="shared" si="253"/>
        <v>0</v>
      </c>
      <c r="AE1078" s="19">
        <f t="shared" si="266"/>
        <v>0</v>
      </c>
      <c r="AF1078" s="19"/>
      <c r="AG1078" s="17"/>
      <c r="AK1078" s="7"/>
      <c r="AL1078" s="108">
        <f t="shared" si="254"/>
        <v>0</v>
      </c>
      <c r="AM1078" s="108">
        <f t="shared" si="255"/>
        <v>0</v>
      </c>
      <c r="AN1078" s="113"/>
    </row>
    <row r="1079" spans="2:40" x14ac:dyDescent="0.2">
      <c r="B1079" s="7"/>
      <c r="C1079" s="8"/>
      <c r="D1079" s="8"/>
      <c r="E1079" s="9"/>
      <c r="F1079" s="6"/>
      <c r="G1079" s="8"/>
      <c r="H1079" s="32"/>
      <c r="I1079" s="10" t="str">
        <f t="shared" si="252"/>
        <v>21</v>
      </c>
      <c r="J1079" s="11">
        <v>1</v>
      </c>
      <c r="K1079" s="11"/>
      <c r="L1079" s="11"/>
      <c r="M1079" s="11">
        <f t="shared" si="256"/>
        <v>0</v>
      </c>
      <c r="N1079" s="11"/>
      <c r="O1079" s="11">
        <f t="shared" si="257"/>
        <v>0</v>
      </c>
      <c r="P1079" s="11"/>
      <c r="Q1079" s="11"/>
      <c r="R1079" s="11"/>
      <c r="S1079" s="11">
        <f t="shared" si="258"/>
        <v>0</v>
      </c>
      <c r="T1079" s="11">
        <f t="shared" si="259"/>
        <v>1666.6666666666667</v>
      </c>
      <c r="U1079" s="11">
        <f t="shared" si="260"/>
        <v>0</v>
      </c>
      <c r="V1079" s="24">
        <f t="shared" si="261"/>
        <v>0</v>
      </c>
      <c r="W1079" s="11">
        <f>IF(V1079&lt;=40000,0,
IF(V1079&lt;=55000,(V1079-40000)*10%,
IF(V1079&lt;=70000,(V1079-55000)*15%+1500,
IF(V1079&lt;=200000,(V1079-70000)*20%+1500+2250,
IF(V1079&lt;=400000,(V1079-200000)*22.5%+1500+2250+26000,
IF(V1079&lt;=600000,(V1079-400000)*25%+1500+2250+26000+45000,
IF(AND(V1079&gt;600000,V1079&lt;=1200000),(V1079-400000)*25%+1500+2250+26000+45000
+IFERROR(LOOKUP(V1079,{600001;700001;800001;900001},{4000;6750;10250;15250}),0),IF(V1079&gt;1200000,((V1079-1200000)*27.5%)+300000,0)
)))))))</f>
        <v>0</v>
      </c>
      <c r="X1079" s="12">
        <f t="shared" si="262"/>
        <v>0</v>
      </c>
      <c r="Y1079" s="12">
        <f t="shared" si="263"/>
        <v>0</v>
      </c>
      <c r="Z1079" s="11"/>
      <c r="AA1079" s="13">
        <f t="shared" si="264"/>
        <v>0</v>
      </c>
      <c r="AB1079" s="12">
        <f t="shared" si="265"/>
        <v>0</v>
      </c>
      <c r="AC1079" s="14">
        <f t="shared" si="253"/>
        <v>0</v>
      </c>
      <c r="AE1079" s="19">
        <f t="shared" si="266"/>
        <v>0</v>
      </c>
      <c r="AF1079" s="19"/>
      <c r="AG1079" s="17"/>
      <c r="AK1079" s="7"/>
      <c r="AL1079" s="108">
        <f t="shared" si="254"/>
        <v>0</v>
      </c>
      <c r="AM1079" s="108">
        <f t="shared" si="255"/>
        <v>0</v>
      </c>
      <c r="AN1079" s="113"/>
    </row>
    <row r="1080" spans="2:40" x14ac:dyDescent="0.2">
      <c r="B1080" s="7"/>
      <c r="C1080" s="8"/>
      <c r="D1080" s="8"/>
      <c r="E1080" s="9"/>
      <c r="F1080" s="6"/>
      <c r="G1080" s="8"/>
      <c r="H1080" s="32"/>
      <c r="I1080" s="10" t="str">
        <f t="shared" si="252"/>
        <v>21</v>
      </c>
      <c r="J1080" s="11">
        <v>1</v>
      </c>
      <c r="K1080" s="11"/>
      <c r="L1080" s="11"/>
      <c r="M1080" s="11">
        <f t="shared" si="256"/>
        <v>0</v>
      </c>
      <c r="N1080" s="11"/>
      <c r="O1080" s="11">
        <f t="shared" si="257"/>
        <v>0</v>
      </c>
      <c r="P1080" s="11"/>
      <c r="Q1080" s="11"/>
      <c r="R1080" s="11"/>
      <c r="S1080" s="11">
        <f t="shared" si="258"/>
        <v>0</v>
      </c>
      <c r="T1080" s="11">
        <f t="shared" si="259"/>
        <v>1666.6666666666667</v>
      </c>
      <c r="U1080" s="11">
        <f t="shared" si="260"/>
        <v>0</v>
      </c>
      <c r="V1080" s="24">
        <f t="shared" si="261"/>
        <v>0</v>
      </c>
      <c r="W1080" s="11">
        <f>IF(V1080&lt;=40000,0,
IF(V1080&lt;=55000,(V1080-40000)*10%,
IF(V1080&lt;=70000,(V1080-55000)*15%+1500,
IF(V1080&lt;=200000,(V1080-70000)*20%+1500+2250,
IF(V1080&lt;=400000,(V1080-200000)*22.5%+1500+2250+26000,
IF(V1080&lt;=600000,(V1080-400000)*25%+1500+2250+26000+45000,
IF(AND(V1080&gt;600000,V1080&lt;=1200000),(V1080-400000)*25%+1500+2250+26000+45000
+IFERROR(LOOKUP(V1080,{600001;700001;800001;900001},{4000;6750;10250;15250}),0),IF(V1080&gt;1200000,((V1080-1200000)*27.5%)+300000,0)
)))))))</f>
        <v>0</v>
      </c>
      <c r="X1080" s="12">
        <f t="shared" si="262"/>
        <v>0</v>
      </c>
      <c r="Y1080" s="12">
        <f t="shared" si="263"/>
        <v>0</v>
      </c>
      <c r="Z1080" s="11"/>
      <c r="AA1080" s="13">
        <f t="shared" si="264"/>
        <v>0</v>
      </c>
      <c r="AB1080" s="12">
        <f t="shared" si="265"/>
        <v>0</v>
      </c>
      <c r="AC1080" s="14">
        <f t="shared" si="253"/>
        <v>0</v>
      </c>
      <c r="AE1080" s="19">
        <f t="shared" si="266"/>
        <v>0</v>
      </c>
      <c r="AF1080" s="19"/>
      <c r="AG1080" s="17"/>
      <c r="AK1080" s="7"/>
      <c r="AL1080" s="108">
        <f t="shared" si="254"/>
        <v>0</v>
      </c>
      <c r="AM1080" s="108">
        <f t="shared" si="255"/>
        <v>0</v>
      </c>
      <c r="AN1080" s="113"/>
    </row>
    <row r="1081" spans="2:40" x14ac:dyDescent="0.2">
      <c r="B1081" s="7"/>
      <c r="C1081" s="8"/>
      <c r="D1081" s="8"/>
      <c r="E1081" s="9"/>
      <c r="F1081" s="6"/>
      <c r="G1081" s="8"/>
      <c r="H1081" s="32"/>
      <c r="I1081" s="10" t="str">
        <f t="shared" si="252"/>
        <v>21</v>
      </c>
      <c r="J1081" s="11">
        <v>1</v>
      </c>
      <c r="K1081" s="11"/>
      <c r="L1081" s="11"/>
      <c r="M1081" s="11">
        <f t="shared" si="256"/>
        <v>0</v>
      </c>
      <c r="N1081" s="11"/>
      <c r="O1081" s="11">
        <f t="shared" si="257"/>
        <v>0</v>
      </c>
      <c r="P1081" s="11"/>
      <c r="Q1081" s="11"/>
      <c r="R1081" s="11"/>
      <c r="S1081" s="11">
        <f t="shared" si="258"/>
        <v>0</v>
      </c>
      <c r="T1081" s="11">
        <f t="shared" si="259"/>
        <v>1666.6666666666667</v>
      </c>
      <c r="U1081" s="11">
        <f t="shared" si="260"/>
        <v>0</v>
      </c>
      <c r="V1081" s="24">
        <f t="shared" si="261"/>
        <v>0</v>
      </c>
      <c r="W1081" s="11">
        <f>IF(V1081&lt;=40000,0,
IF(V1081&lt;=55000,(V1081-40000)*10%,
IF(V1081&lt;=70000,(V1081-55000)*15%+1500,
IF(V1081&lt;=200000,(V1081-70000)*20%+1500+2250,
IF(V1081&lt;=400000,(V1081-200000)*22.5%+1500+2250+26000,
IF(V1081&lt;=600000,(V1081-400000)*25%+1500+2250+26000+45000,
IF(AND(V1081&gt;600000,V1081&lt;=1200000),(V1081-400000)*25%+1500+2250+26000+45000
+IFERROR(LOOKUP(V1081,{600001;700001;800001;900001},{4000;6750;10250;15250}),0),IF(V1081&gt;1200000,((V1081-1200000)*27.5%)+300000,0)
)))))))</f>
        <v>0</v>
      </c>
      <c r="X1081" s="12">
        <f t="shared" si="262"/>
        <v>0</v>
      </c>
      <c r="Y1081" s="12">
        <f t="shared" si="263"/>
        <v>0</v>
      </c>
      <c r="Z1081" s="11"/>
      <c r="AA1081" s="13">
        <f t="shared" si="264"/>
        <v>0</v>
      </c>
      <c r="AB1081" s="12">
        <f t="shared" si="265"/>
        <v>0</v>
      </c>
      <c r="AC1081" s="14">
        <f t="shared" si="253"/>
        <v>0</v>
      </c>
      <c r="AE1081" s="19">
        <f t="shared" si="266"/>
        <v>0</v>
      </c>
      <c r="AF1081" s="19"/>
      <c r="AG1081" s="17"/>
      <c r="AK1081" s="7"/>
      <c r="AL1081" s="108">
        <f t="shared" si="254"/>
        <v>0</v>
      </c>
      <c r="AM1081" s="108">
        <f t="shared" si="255"/>
        <v>0</v>
      </c>
      <c r="AN1081" s="113"/>
    </row>
    <row r="1082" spans="2:40" x14ac:dyDescent="0.2">
      <c r="B1082" s="7"/>
      <c r="C1082" s="8"/>
      <c r="D1082" s="8"/>
      <c r="E1082" s="9"/>
      <c r="F1082" s="6"/>
      <c r="G1082" s="8"/>
      <c r="H1082" s="32"/>
      <c r="I1082" s="10" t="str">
        <f t="shared" si="252"/>
        <v>21</v>
      </c>
      <c r="J1082" s="11">
        <v>1</v>
      </c>
      <c r="K1082" s="11"/>
      <c r="L1082" s="11"/>
      <c r="M1082" s="11">
        <f t="shared" si="256"/>
        <v>0</v>
      </c>
      <c r="N1082" s="11"/>
      <c r="O1082" s="11">
        <f t="shared" si="257"/>
        <v>0</v>
      </c>
      <c r="P1082" s="11"/>
      <c r="Q1082" s="11"/>
      <c r="R1082" s="11"/>
      <c r="S1082" s="11">
        <f t="shared" si="258"/>
        <v>0</v>
      </c>
      <c r="T1082" s="11">
        <f t="shared" si="259"/>
        <v>1666.6666666666667</v>
      </c>
      <c r="U1082" s="11">
        <f t="shared" si="260"/>
        <v>0</v>
      </c>
      <c r="V1082" s="24">
        <f t="shared" si="261"/>
        <v>0</v>
      </c>
      <c r="W1082" s="11">
        <f>IF(V1082&lt;=40000,0,
IF(V1082&lt;=55000,(V1082-40000)*10%,
IF(V1082&lt;=70000,(V1082-55000)*15%+1500,
IF(V1082&lt;=200000,(V1082-70000)*20%+1500+2250,
IF(V1082&lt;=400000,(V1082-200000)*22.5%+1500+2250+26000,
IF(V1082&lt;=600000,(V1082-400000)*25%+1500+2250+26000+45000,
IF(AND(V1082&gt;600000,V1082&lt;=1200000),(V1082-400000)*25%+1500+2250+26000+45000
+IFERROR(LOOKUP(V1082,{600001;700001;800001;900001},{4000;6750;10250;15250}),0),IF(V1082&gt;1200000,((V1082-1200000)*27.5%)+300000,0)
)))))))</f>
        <v>0</v>
      </c>
      <c r="X1082" s="12">
        <f t="shared" si="262"/>
        <v>0</v>
      </c>
      <c r="Y1082" s="12">
        <f t="shared" si="263"/>
        <v>0</v>
      </c>
      <c r="Z1082" s="11"/>
      <c r="AA1082" s="13">
        <f t="shared" si="264"/>
        <v>0</v>
      </c>
      <c r="AB1082" s="12">
        <f t="shared" si="265"/>
        <v>0</v>
      </c>
      <c r="AC1082" s="14">
        <f t="shared" si="253"/>
        <v>0</v>
      </c>
      <c r="AE1082" s="19">
        <f t="shared" si="266"/>
        <v>0</v>
      </c>
      <c r="AF1082" s="19"/>
      <c r="AG1082" s="17"/>
      <c r="AK1082" s="7"/>
      <c r="AL1082" s="108">
        <f t="shared" si="254"/>
        <v>0</v>
      </c>
      <c r="AM1082" s="108">
        <f t="shared" si="255"/>
        <v>0</v>
      </c>
      <c r="AN1082" s="113"/>
    </row>
    <row r="1083" spans="2:40" x14ac:dyDescent="0.2">
      <c r="B1083" s="7"/>
      <c r="C1083" s="8"/>
      <c r="D1083" s="8"/>
      <c r="E1083" s="9"/>
      <c r="F1083" s="6"/>
      <c r="G1083" s="8"/>
      <c r="H1083" s="32"/>
      <c r="I1083" s="10" t="str">
        <f t="shared" si="252"/>
        <v>21</v>
      </c>
      <c r="J1083" s="11">
        <v>1</v>
      </c>
      <c r="K1083" s="11"/>
      <c r="L1083" s="11"/>
      <c r="M1083" s="11">
        <f t="shared" si="256"/>
        <v>0</v>
      </c>
      <c r="N1083" s="11"/>
      <c r="O1083" s="11">
        <f t="shared" si="257"/>
        <v>0</v>
      </c>
      <c r="P1083" s="11"/>
      <c r="Q1083" s="11"/>
      <c r="R1083" s="11"/>
      <c r="S1083" s="11">
        <f t="shared" si="258"/>
        <v>0</v>
      </c>
      <c r="T1083" s="11">
        <f t="shared" si="259"/>
        <v>1666.6666666666667</v>
      </c>
      <c r="U1083" s="11">
        <f t="shared" si="260"/>
        <v>0</v>
      </c>
      <c r="V1083" s="24">
        <f t="shared" si="261"/>
        <v>0</v>
      </c>
      <c r="W1083" s="11">
        <f>IF(V1083&lt;=40000,0,
IF(V1083&lt;=55000,(V1083-40000)*10%,
IF(V1083&lt;=70000,(V1083-55000)*15%+1500,
IF(V1083&lt;=200000,(V1083-70000)*20%+1500+2250,
IF(V1083&lt;=400000,(V1083-200000)*22.5%+1500+2250+26000,
IF(V1083&lt;=600000,(V1083-400000)*25%+1500+2250+26000+45000,
IF(AND(V1083&gt;600000,V1083&lt;=1200000),(V1083-400000)*25%+1500+2250+26000+45000
+IFERROR(LOOKUP(V1083,{600001;700001;800001;900001},{4000;6750;10250;15250}),0),IF(V1083&gt;1200000,((V1083-1200000)*27.5%)+300000,0)
)))))))</f>
        <v>0</v>
      </c>
      <c r="X1083" s="12">
        <f t="shared" si="262"/>
        <v>0</v>
      </c>
      <c r="Y1083" s="12">
        <f t="shared" si="263"/>
        <v>0</v>
      </c>
      <c r="Z1083" s="11"/>
      <c r="AA1083" s="13">
        <f t="shared" si="264"/>
        <v>0</v>
      </c>
      <c r="AB1083" s="12">
        <f t="shared" si="265"/>
        <v>0</v>
      </c>
      <c r="AC1083" s="14">
        <f t="shared" si="253"/>
        <v>0</v>
      </c>
      <c r="AE1083" s="19">
        <f t="shared" si="266"/>
        <v>0</v>
      </c>
      <c r="AF1083" s="19"/>
      <c r="AG1083" s="17"/>
      <c r="AK1083" s="7"/>
      <c r="AL1083" s="108">
        <f t="shared" si="254"/>
        <v>0</v>
      </c>
      <c r="AM1083" s="108">
        <f t="shared" si="255"/>
        <v>0</v>
      </c>
      <c r="AN1083" s="113"/>
    </row>
    <row r="1084" spans="2:40" x14ac:dyDescent="0.2">
      <c r="B1084" s="7"/>
      <c r="C1084" s="8"/>
      <c r="D1084" s="8"/>
      <c r="E1084" s="9"/>
      <c r="F1084" s="6"/>
      <c r="G1084" s="8"/>
      <c r="H1084" s="32"/>
      <c r="I1084" s="10" t="str">
        <f t="shared" si="252"/>
        <v>21</v>
      </c>
      <c r="J1084" s="11">
        <v>1</v>
      </c>
      <c r="K1084" s="11"/>
      <c r="L1084" s="11"/>
      <c r="M1084" s="11">
        <f t="shared" si="256"/>
        <v>0</v>
      </c>
      <c r="N1084" s="11"/>
      <c r="O1084" s="11">
        <f t="shared" si="257"/>
        <v>0</v>
      </c>
      <c r="P1084" s="11"/>
      <c r="Q1084" s="11"/>
      <c r="R1084" s="11"/>
      <c r="S1084" s="11">
        <f t="shared" si="258"/>
        <v>0</v>
      </c>
      <c r="T1084" s="11">
        <f t="shared" si="259"/>
        <v>1666.6666666666667</v>
      </c>
      <c r="U1084" s="11">
        <f t="shared" si="260"/>
        <v>0</v>
      </c>
      <c r="V1084" s="24">
        <f t="shared" si="261"/>
        <v>0</v>
      </c>
      <c r="W1084" s="11">
        <f>IF(V1084&lt;=40000,0,
IF(V1084&lt;=55000,(V1084-40000)*10%,
IF(V1084&lt;=70000,(V1084-55000)*15%+1500,
IF(V1084&lt;=200000,(V1084-70000)*20%+1500+2250,
IF(V1084&lt;=400000,(V1084-200000)*22.5%+1500+2250+26000,
IF(V1084&lt;=600000,(V1084-400000)*25%+1500+2250+26000+45000,
IF(AND(V1084&gt;600000,V1084&lt;=1200000),(V1084-400000)*25%+1500+2250+26000+45000
+IFERROR(LOOKUP(V1084,{600001;700001;800001;900001},{4000;6750;10250;15250}),0),IF(V1084&gt;1200000,((V1084-1200000)*27.5%)+300000,0)
)))))))</f>
        <v>0</v>
      </c>
      <c r="X1084" s="12">
        <f t="shared" si="262"/>
        <v>0</v>
      </c>
      <c r="Y1084" s="12">
        <f t="shared" si="263"/>
        <v>0</v>
      </c>
      <c r="Z1084" s="11"/>
      <c r="AA1084" s="13">
        <f t="shared" si="264"/>
        <v>0</v>
      </c>
      <c r="AB1084" s="12">
        <f t="shared" si="265"/>
        <v>0</v>
      </c>
      <c r="AC1084" s="14">
        <f t="shared" si="253"/>
        <v>0</v>
      </c>
      <c r="AE1084" s="19">
        <f t="shared" si="266"/>
        <v>0</v>
      </c>
      <c r="AF1084" s="19"/>
      <c r="AG1084" s="17"/>
      <c r="AK1084" s="7"/>
      <c r="AL1084" s="108">
        <f t="shared" si="254"/>
        <v>0</v>
      </c>
      <c r="AM1084" s="108">
        <f t="shared" si="255"/>
        <v>0</v>
      </c>
      <c r="AN1084" s="113"/>
    </row>
    <row r="1085" spans="2:40" x14ac:dyDescent="0.2">
      <c r="B1085" s="7"/>
      <c r="C1085" s="8"/>
      <c r="D1085" s="8"/>
      <c r="E1085" s="9"/>
      <c r="F1085" s="6"/>
      <c r="G1085" s="8"/>
      <c r="H1085" s="32"/>
      <c r="I1085" s="10" t="str">
        <f t="shared" si="252"/>
        <v>21</v>
      </c>
      <c r="J1085" s="11">
        <v>1</v>
      </c>
      <c r="K1085" s="11"/>
      <c r="L1085" s="11"/>
      <c r="M1085" s="11">
        <f t="shared" si="256"/>
        <v>0</v>
      </c>
      <c r="N1085" s="11"/>
      <c r="O1085" s="11">
        <f t="shared" si="257"/>
        <v>0</v>
      </c>
      <c r="P1085" s="11"/>
      <c r="Q1085" s="11"/>
      <c r="R1085" s="11"/>
      <c r="S1085" s="11">
        <f t="shared" si="258"/>
        <v>0</v>
      </c>
      <c r="T1085" s="11">
        <f t="shared" si="259"/>
        <v>1666.6666666666667</v>
      </c>
      <c r="U1085" s="11">
        <f t="shared" si="260"/>
        <v>0</v>
      </c>
      <c r="V1085" s="24">
        <f t="shared" si="261"/>
        <v>0</v>
      </c>
      <c r="W1085" s="11">
        <f>IF(V1085&lt;=40000,0,
IF(V1085&lt;=55000,(V1085-40000)*10%,
IF(V1085&lt;=70000,(V1085-55000)*15%+1500,
IF(V1085&lt;=200000,(V1085-70000)*20%+1500+2250,
IF(V1085&lt;=400000,(V1085-200000)*22.5%+1500+2250+26000,
IF(V1085&lt;=600000,(V1085-400000)*25%+1500+2250+26000+45000,
IF(AND(V1085&gt;600000,V1085&lt;=1200000),(V1085-400000)*25%+1500+2250+26000+45000
+IFERROR(LOOKUP(V1085,{600001;700001;800001;900001},{4000;6750;10250;15250}),0),IF(V1085&gt;1200000,((V1085-1200000)*27.5%)+300000,0)
)))))))</f>
        <v>0</v>
      </c>
      <c r="X1085" s="12">
        <f t="shared" si="262"/>
        <v>0</v>
      </c>
      <c r="Y1085" s="12">
        <f t="shared" si="263"/>
        <v>0</v>
      </c>
      <c r="Z1085" s="11"/>
      <c r="AA1085" s="13">
        <f t="shared" si="264"/>
        <v>0</v>
      </c>
      <c r="AB1085" s="12">
        <f t="shared" si="265"/>
        <v>0</v>
      </c>
      <c r="AC1085" s="14">
        <f t="shared" si="253"/>
        <v>0</v>
      </c>
      <c r="AE1085" s="19">
        <f t="shared" si="266"/>
        <v>0</v>
      </c>
      <c r="AF1085" s="19"/>
      <c r="AG1085" s="17"/>
      <c r="AK1085" s="7"/>
      <c r="AL1085" s="108">
        <f t="shared" si="254"/>
        <v>0</v>
      </c>
      <c r="AM1085" s="108">
        <f t="shared" si="255"/>
        <v>0</v>
      </c>
      <c r="AN1085" s="113"/>
    </row>
    <row r="1086" spans="2:40" x14ac:dyDescent="0.2">
      <c r="B1086" s="7"/>
      <c r="C1086" s="8"/>
      <c r="D1086" s="8"/>
      <c r="E1086" s="9"/>
      <c r="F1086" s="6"/>
      <c r="G1086" s="8"/>
      <c r="H1086" s="32"/>
      <c r="I1086" s="10" t="str">
        <f t="shared" si="252"/>
        <v>21</v>
      </c>
      <c r="J1086" s="11">
        <v>1</v>
      </c>
      <c r="K1086" s="11"/>
      <c r="L1086" s="11"/>
      <c r="M1086" s="11">
        <f t="shared" si="256"/>
        <v>0</v>
      </c>
      <c r="N1086" s="11"/>
      <c r="O1086" s="11">
        <f t="shared" si="257"/>
        <v>0</v>
      </c>
      <c r="P1086" s="11"/>
      <c r="Q1086" s="11"/>
      <c r="R1086" s="11"/>
      <c r="S1086" s="11">
        <f t="shared" si="258"/>
        <v>0</v>
      </c>
      <c r="T1086" s="11">
        <f t="shared" si="259"/>
        <v>1666.6666666666667</v>
      </c>
      <c r="U1086" s="11">
        <f t="shared" si="260"/>
        <v>0</v>
      </c>
      <c r="V1086" s="24">
        <f t="shared" si="261"/>
        <v>0</v>
      </c>
      <c r="W1086" s="11">
        <f>IF(V1086&lt;=40000,0,
IF(V1086&lt;=55000,(V1086-40000)*10%,
IF(V1086&lt;=70000,(V1086-55000)*15%+1500,
IF(V1086&lt;=200000,(V1086-70000)*20%+1500+2250,
IF(V1086&lt;=400000,(V1086-200000)*22.5%+1500+2250+26000,
IF(V1086&lt;=600000,(V1086-400000)*25%+1500+2250+26000+45000,
IF(AND(V1086&gt;600000,V1086&lt;=1200000),(V1086-400000)*25%+1500+2250+26000+45000
+IFERROR(LOOKUP(V1086,{600001;700001;800001;900001},{4000;6750;10250;15250}),0),IF(V1086&gt;1200000,((V1086-1200000)*27.5%)+300000,0)
)))))))</f>
        <v>0</v>
      </c>
      <c r="X1086" s="12">
        <f t="shared" si="262"/>
        <v>0</v>
      </c>
      <c r="Y1086" s="12">
        <f t="shared" si="263"/>
        <v>0</v>
      </c>
      <c r="Z1086" s="11"/>
      <c r="AA1086" s="13">
        <f t="shared" si="264"/>
        <v>0</v>
      </c>
      <c r="AB1086" s="12">
        <f t="shared" si="265"/>
        <v>0</v>
      </c>
      <c r="AC1086" s="14">
        <f t="shared" si="253"/>
        <v>0</v>
      </c>
      <c r="AE1086" s="19">
        <f t="shared" si="266"/>
        <v>0</v>
      </c>
      <c r="AF1086" s="19"/>
      <c r="AG1086" s="17"/>
      <c r="AK1086" s="7"/>
      <c r="AL1086" s="108">
        <f t="shared" si="254"/>
        <v>0</v>
      </c>
      <c r="AM1086" s="108">
        <f t="shared" si="255"/>
        <v>0</v>
      </c>
      <c r="AN1086" s="113"/>
    </row>
    <row r="1087" spans="2:40" x14ac:dyDescent="0.2">
      <c r="B1087" s="7"/>
      <c r="C1087" s="8"/>
      <c r="D1087" s="8"/>
      <c r="E1087" s="9"/>
      <c r="F1087" s="6"/>
      <c r="G1087" s="8"/>
      <c r="H1087" s="32"/>
      <c r="I1087" s="10" t="str">
        <f t="shared" si="252"/>
        <v>21</v>
      </c>
      <c r="J1087" s="11">
        <v>1</v>
      </c>
      <c r="K1087" s="11"/>
      <c r="L1087" s="11"/>
      <c r="M1087" s="11">
        <f t="shared" si="256"/>
        <v>0</v>
      </c>
      <c r="N1087" s="11"/>
      <c r="O1087" s="11">
        <f t="shared" si="257"/>
        <v>0</v>
      </c>
      <c r="P1087" s="11"/>
      <c r="Q1087" s="11"/>
      <c r="R1087" s="11"/>
      <c r="S1087" s="11">
        <f t="shared" si="258"/>
        <v>0</v>
      </c>
      <c r="T1087" s="11">
        <f t="shared" si="259"/>
        <v>1666.6666666666667</v>
      </c>
      <c r="U1087" s="11">
        <f t="shared" si="260"/>
        <v>0</v>
      </c>
      <c r="V1087" s="24">
        <f t="shared" si="261"/>
        <v>0</v>
      </c>
      <c r="W1087" s="11">
        <f>IF(V1087&lt;=40000,0,
IF(V1087&lt;=55000,(V1087-40000)*10%,
IF(V1087&lt;=70000,(V1087-55000)*15%+1500,
IF(V1087&lt;=200000,(V1087-70000)*20%+1500+2250,
IF(V1087&lt;=400000,(V1087-200000)*22.5%+1500+2250+26000,
IF(V1087&lt;=600000,(V1087-400000)*25%+1500+2250+26000+45000,
IF(AND(V1087&gt;600000,V1087&lt;=1200000),(V1087-400000)*25%+1500+2250+26000+45000
+IFERROR(LOOKUP(V1087,{600001;700001;800001;900001},{4000;6750;10250;15250}),0),IF(V1087&gt;1200000,((V1087-1200000)*27.5%)+300000,0)
)))))))</f>
        <v>0</v>
      </c>
      <c r="X1087" s="12">
        <f t="shared" si="262"/>
        <v>0</v>
      </c>
      <c r="Y1087" s="12">
        <f t="shared" si="263"/>
        <v>0</v>
      </c>
      <c r="Z1087" s="11"/>
      <c r="AA1087" s="13">
        <f t="shared" si="264"/>
        <v>0</v>
      </c>
      <c r="AB1087" s="12">
        <f t="shared" si="265"/>
        <v>0</v>
      </c>
      <c r="AC1087" s="14">
        <f t="shared" si="253"/>
        <v>0</v>
      </c>
      <c r="AE1087" s="19">
        <f t="shared" si="266"/>
        <v>0</v>
      </c>
      <c r="AF1087" s="19"/>
      <c r="AG1087" s="17"/>
      <c r="AK1087" s="7"/>
      <c r="AL1087" s="108">
        <f t="shared" si="254"/>
        <v>0</v>
      </c>
      <c r="AM1087" s="108">
        <f t="shared" si="255"/>
        <v>0</v>
      </c>
      <c r="AN1087" s="113"/>
    </row>
    <row r="1088" spans="2:40" x14ac:dyDescent="0.2">
      <c r="B1088" s="7"/>
      <c r="C1088" s="8"/>
      <c r="D1088" s="8"/>
      <c r="E1088" s="9"/>
      <c r="F1088" s="6"/>
      <c r="G1088" s="8"/>
      <c r="H1088" s="32"/>
      <c r="I1088" s="10" t="str">
        <f t="shared" si="252"/>
        <v>21</v>
      </c>
      <c r="J1088" s="11">
        <v>1</v>
      </c>
      <c r="K1088" s="11"/>
      <c r="L1088" s="11"/>
      <c r="M1088" s="11">
        <f t="shared" si="256"/>
        <v>0</v>
      </c>
      <c r="N1088" s="11"/>
      <c r="O1088" s="11">
        <f t="shared" si="257"/>
        <v>0</v>
      </c>
      <c r="P1088" s="11"/>
      <c r="Q1088" s="11"/>
      <c r="R1088" s="11"/>
      <c r="S1088" s="11">
        <f t="shared" si="258"/>
        <v>0</v>
      </c>
      <c r="T1088" s="11">
        <f t="shared" si="259"/>
        <v>1666.6666666666667</v>
      </c>
      <c r="U1088" s="11">
        <f t="shared" si="260"/>
        <v>0</v>
      </c>
      <c r="V1088" s="24">
        <f t="shared" si="261"/>
        <v>0</v>
      </c>
      <c r="W1088" s="11">
        <f>IF(V1088&lt;=40000,0,
IF(V1088&lt;=55000,(V1088-40000)*10%,
IF(V1088&lt;=70000,(V1088-55000)*15%+1500,
IF(V1088&lt;=200000,(V1088-70000)*20%+1500+2250,
IF(V1088&lt;=400000,(V1088-200000)*22.5%+1500+2250+26000,
IF(V1088&lt;=600000,(V1088-400000)*25%+1500+2250+26000+45000,
IF(AND(V1088&gt;600000,V1088&lt;=1200000),(V1088-400000)*25%+1500+2250+26000+45000
+IFERROR(LOOKUP(V1088,{600001;700001;800001;900001},{4000;6750;10250;15250}),0),IF(V1088&gt;1200000,((V1088-1200000)*27.5%)+300000,0)
)))))))</f>
        <v>0</v>
      </c>
      <c r="X1088" s="12">
        <f t="shared" si="262"/>
        <v>0</v>
      </c>
      <c r="Y1088" s="12">
        <f t="shared" si="263"/>
        <v>0</v>
      </c>
      <c r="Z1088" s="11"/>
      <c r="AA1088" s="13">
        <f t="shared" si="264"/>
        <v>0</v>
      </c>
      <c r="AB1088" s="12">
        <f t="shared" si="265"/>
        <v>0</v>
      </c>
      <c r="AC1088" s="14">
        <f t="shared" si="253"/>
        <v>0</v>
      </c>
      <c r="AE1088" s="19">
        <f t="shared" si="266"/>
        <v>0</v>
      </c>
      <c r="AF1088" s="19"/>
      <c r="AG1088" s="17"/>
      <c r="AK1088" s="7"/>
      <c r="AL1088" s="108">
        <f t="shared" si="254"/>
        <v>0</v>
      </c>
      <c r="AM1088" s="108">
        <f t="shared" si="255"/>
        <v>0</v>
      </c>
      <c r="AN1088" s="113"/>
    </row>
    <row r="1089" spans="2:40" x14ac:dyDescent="0.2">
      <c r="B1089" s="7"/>
      <c r="C1089" s="8"/>
      <c r="D1089" s="8"/>
      <c r="E1089" s="9"/>
      <c r="F1089" s="6"/>
      <c r="G1089" s="8"/>
      <c r="H1089" s="32"/>
      <c r="I1089" s="10" t="str">
        <f t="shared" si="252"/>
        <v>21</v>
      </c>
      <c r="J1089" s="11">
        <v>1</v>
      </c>
      <c r="K1089" s="11"/>
      <c r="L1089" s="11"/>
      <c r="M1089" s="11">
        <f t="shared" si="256"/>
        <v>0</v>
      </c>
      <c r="N1089" s="11"/>
      <c r="O1089" s="11">
        <f t="shared" si="257"/>
        <v>0</v>
      </c>
      <c r="P1089" s="11"/>
      <c r="Q1089" s="11"/>
      <c r="R1089" s="11"/>
      <c r="S1089" s="11">
        <f t="shared" si="258"/>
        <v>0</v>
      </c>
      <c r="T1089" s="11">
        <f t="shared" si="259"/>
        <v>1666.6666666666667</v>
      </c>
      <c r="U1089" s="11">
        <f t="shared" si="260"/>
        <v>0</v>
      </c>
      <c r="V1089" s="24">
        <f t="shared" si="261"/>
        <v>0</v>
      </c>
      <c r="W1089" s="11">
        <f>IF(V1089&lt;=40000,0,
IF(V1089&lt;=55000,(V1089-40000)*10%,
IF(V1089&lt;=70000,(V1089-55000)*15%+1500,
IF(V1089&lt;=200000,(V1089-70000)*20%+1500+2250,
IF(V1089&lt;=400000,(V1089-200000)*22.5%+1500+2250+26000,
IF(V1089&lt;=600000,(V1089-400000)*25%+1500+2250+26000+45000,
IF(AND(V1089&gt;600000,V1089&lt;=1200000),(V1089-400000)*25%+1500+2250+26000+45000
+IFERROR(LOOKUP(V1089,{600001;700001;800001;900001},{4000;6750;10250;15250}),0),IF(V1089&gt;1200000,((V1089-1200000)*27.5%)+300000,0)
)))))))</f>
        <v>0</v>
      </c>
      <c r="X1089" s="12">
        <f t="shared" si="262"/>
        <v>0</v>
      </c>
      <c r="Y1089" s="12">
        <f t="shared" si="263"/>
        <v>0</v>
      </c>
      <c r="Z1089" s="11"/>
      <c r="AA1089" s="13">
        <f t="shared" si="264"/>
        <v>0</v>
      </c>
      <c r="AB1089" s="12">
        <f t="shared" si="265"/>
        <v>0</v>
      </c>
      <c r="AC1089" s="14">
        <f t="shared" si="253"/>
        <v>0</v>
      </c>
      <c r="AE1089" s="19">
        <f t="shared" si="266"/>
        <v>0</v>
      </c>
      <c r="AF1089" s="19"/>
      <c r="AG1089" s="17"/>
      <c r="AK1089" s="7"/>
      <c r="AL1089" s="108">
        <f t="shared" si="254"/>
        <v>0</v>
      </c>
      <c r="AM1089" s="108">
        <f t="shared" si="255"/>
        <v>0</v>
      </c>
      <c r="AN1089" s="113"/>
    </row>
    <row r="1090" spans="2:40" x14ac:dyDescent="0.2">
      <c r="B1090" s="7"/>
      <c r="C1090" s="8"/>
      <c r="D1090" s="8"/>
      <c r="E1090" s="9"/>
      <c r="F1090" s="6"/>
      <c r="G1090" s="8"/>
      <c r="H1090" s="32"/>
      <c r="I1090" s="10" t="str">
        <f t="shared" si="252"/>
        <v>21</v>
      </c>
      <c r="J1090" s="11">
        <v>1</v>
      </c>
      <c r="K1090" s="11"/>
      <c r="L1090" s="11"/>
      <c r="M1090" s="11">
        <f t="shared" si="256"/>
        <v>0</v>
      </c>
      <c r="N1090" s="11"/>
      <c r="O1090" s="11">
        <f t="shared" si="257"/>
        <v>0</v>
      </c>
      <c r="P1090" s="11"/>
      <c r="Q1090" s="11"/>
      <c r="R1090" s="11"/>
      <c r="S1090" s="11">
        <f t="shared" si="258"/>
        <v>0</v>
      </c>
      <c r="T1090" s="11">
        <f t="shared" si="259"/>
        <v>1666.6666666666667</v>
      </c>
      <c r="U1090" s="11">
        <f t="shared" si="260"/>
        <v>0</v>
      </c>
      <c r="V1090" s="24">
        <f t="shared" si="261"/>
        <v>0</v>
      </c>
      <c r="W1090" s="11">
        <f>IF(V1090&lt;=40000,0,
IF(V1090&lt;=55000,(V1090-40000)*10%,
IF(V1090&lt;=70000,(V1090-55000)*15%+1500,
IF(V1090&lt;=200000,(V1090-70000)*20%+1500+2250,
IF(V1090&lt;=400000,(V1090-200000)*22.5%+1500+2250+26000,
IF(V1090&lt;=600000,(V1090-400000)*25%+1500+2250+26000+45000,
IF(AND(V1090&gt;600000,V1090&lt;=1200000),(V1090-400000)*25%+1500+2250+26000+45000
+IFERROR(LOOKUP(V1090,{600001;700001;800001;900001},{4000;6750;10250;15250}),0),IF(V1090&gt;1200000,((V1090-1200000)*27.5%)+300000,0)
)))))))</f>
        <v>0</v>
      </c>
      <c r="X1090" s="12">
        <f t="shared" si="262"/>
        <v>0</v>
      </c>
      <c r="Y1090" s="12">
        <f t="shared" si="263"/>
        <v>0</v>
      </c>
      <c r="Z1090" s="11"/>
      <c r="AA1090" s="13">
        <f t="shared" si="264"/>
        <v>0</v>
      </c>
      <c r="AB1090" s="12">
        <f t="shared" si="265"/>
        <v>0</v>
      </c>
      <c r="AC1090" s="14">
        <f t="shared" si="253"/>
        <v>0</v>
      </c>
      <c r="AE1090" s="19">
        <f t="shared" si="266"/>
        <v>0</v>
      </c>
      <c r="AF1090" s="19"/>
      <c r="AG1090" s="17"/>
      <c r="AK1090" s="7"/>
      <c r="AL1090" s="108">
        <f t="shared" si="254"/>
        <v>0</v>
      </c>
      <c r="AM1090" s="108">
        <f t="shared" si="255"/>
        <v>0</v>
      </c>
      <c r="AN1090" s="113"/>
    </row>
    <row r="1091" spans="2:40" x14ac:dyDescent="0.2">
      <c r="B1091" s="7"/>
      <c r="C1091" s="8"/>
      <c r="D1091" s="8"/>
      <c r="E1091" s="9"/>
      <c r="F1091" s="6"/>
      <c r="G1091" s="8"/>
      <c r="H1091" s="32"/>
      <c r="I1091" s="10" t="str">
        <f t="shared" si="252"/>
        <v>21</v>
      </c>
      <c r="J1091" s="11">
        <v>1</v>
      </c>
      <c r="K1091" s="11"/>
      <c r="L1091" s="11"/>
      <c r="M1091" s="11">
        <f t="shared" si="256"/>
        <v>0</v>
      </c>
      <c r="N1091" s="11"/>
      <c r="O1091" s="11">
        <f t="shared" si="257"/>
        <v>0</v>
      </c>
      <c r="P1091" s="11"/>
      <c r="Q1091" s="11"/>
      <c r="R1091" s="11"/>
      <c r="S1091" s="11">
        <f t="shared" si="258"/>
        <v>0</v>
      </c>
      <c r="T1091" s="11">
        <f t="shared" si="259"/>
        <v>1666.6666666666667</v>
      </c>
      <c r="U1091" s="11">
        <f t="shared" si="260"/>
        <v>0</v>
      </c>
      <c r="V1091" s="24">
        <f t="shared" si="261"/>
        <v>0</v>
      </c>
      <c r="W1091" s="11">
        <f>IF(V1091&lt;=40000,0,
IF(V1091&lt;=55000,(V1091-40000)*10%,
IF(V1091&lt;=70000,(V1091-55000)*15%+1500,
IF(V1091&lt;=200000,(V1091-70000)*20%+1500+2250,
IF(V1091&lt;=400000,(V1091-200000)*22.5%+1500+2250+26000,
IF(V1091&lt;=600000,(V1091-400000)*25%+1500+2250+26000+45000,
IF(AND(V1091&gt;600000,V1091&lt;=1200000),(V1091-400000)*25%+1500+2250+26000+45000
+IFERROR(LOOKUP(V1091,{600001;700001;800001;900001},{4000;6750;10250;15250}),0),IF(V1091&gt;1200000,((V1091-1200000)*27.5%)+300000,0)
)))))))</f>
        <v>0</v>
      </c>
      <c r="X1091" s="12">
        <f t="shared" si="262"/>
        <v>0</v>
      </c>
      <c r="Y1091" s="12">
        <f t="shared" si="263"/>
        <v>0</v>
      </c>
      <c r="Z1091" s="11"/>
      <c r="AA1091" s="13">
        <f t="shared" si="264"/>
        <v>0</v>
      </c>
      <c r="AB1091" s="12">
        <f t="shared" si="265"/>
        <v>0</v>
      </c>
      <c r="AC1091" s="14">
        <f t="shared" si="253"/>
        <v>0</v>
      </c>
      <c r="AE1091" s="19">
        <f t="shared" si="266"/>
        <v>0</v>
      </c>
      <c r="AF1091" s="19"/>
      <c r="AG1091" s="17"/>
      <c r="AK1091" s="7"/>
      <c r="AL1091" s="108">
        <f t="shared" si="254"/>
        <v>0</v>
      </c>
      <c r="AM1091" s="108">
        <f t="shared" si="255"/>
        <v>0</v>
      </c>
      <c r="AN1091" s="113"/>
    </row>
    <row r="1092" spans="2:40" x14ac:dyDescent="0.2">
      <c r="B1092" s="7"/>
      <c r="C1092" s="8"/>
      <c r="D1092" s="8"/>
      <c r="E1092" s="9"/>
      <c r="F1092" s="6"/>
      <c r="G1092" s="8"/>
      <c r="H1092" s="32"/>
      <c r="I1092" s="10" t="str">
        <f t="shared" si="252"/>
        <v>21</v>
      </c>
      <c r="J1092" s="11">
        <v>1</v>
      </c>
      <c r="K1092" s="11"/>
      <c r="L1092" s="11"/>
      <c r="M1092" s="11">
        <f t="shared" si="256"/>
        <v>0</v>
      </c>
      <c r="N1092" s="11"/>
      <c r="O1092" s="11">
        <f t="shared" si="257"/>
        <v>0</v>
      </c>
      <c r="P1092" s="11"/>
      <c r="Q1092" s="11"/>
      <c r="R1092" s="11"/>
      <c r="S1092" s="11">
        <f t="shared" si="258"/>
        <v>0</v>
      </c>
      <c r="T1092" s="11">
        <f t="shared" si="259"/>
        <v>1666.6666666666667</v>
      </c>
      <c r="U1092" s="11">
        <f t="shared" si="260"/>
        <v>0</v>
      </c>
      <c r="V1092" s="24">
        <f t="shared" si="261"/>
        <v>0</v>
      </c>
      <c r="W1092" s="11">
        <f>IF(V1092&lt;=40000,0,
IF(V1092&lt;=55000,(V1092-40000)*10%,
IF(V1092&lt;=70000,(V1092-55000)*15%+1500,
IF(V1092&lt;=200000,(V1092-70000)*20%+1500+2250,
IF(V1092&lt;=400000,(V1092-200000)*22.5%+1500+2250+26000,
IF(V1092&lt;=600000,(V1092-400000)*25%+1500+2250+26000+45000,
IF(AND(V1092&gt;600000,V1092&lt;=1200000),(V1092-400000)*25%+1500+2250+26000+45000
+IFERROR(LOOKUP(V1092,{600001;700001;800001;900001},{4000;6750;10250;15250}),0),IF(V1092&gt;1200000,((V1092-1200000)*27.5%)+300000,0)
)))))))</f>
        <v>0</v>
      </c>
      <c r="X1092" s="12">
        <f t="shared" si="262"/>
        <v>0</v>
      </c>
      <c r="Y1092" s="12">
        <f t="shared" si="263"/>
        <v>0</v>
      </c>
      <c r="Z1092" s="11"/>
      <c r="AA1092" s="13">
        <f t="shared" si="264"/>
        <v>0</v>
      </c>
      <c r="AB1092" s="12">
        <f t="shared" si="265"/>
        <v>0</v>
      </c>
      <c r="AC1092" s="14">
        <f t="shared" si="253"/>
        <v>0</v>
      </c>
      <c r="AE1092" s="19">
        <f t="shared" si="266"/>
        <v>0</v>
      </c>
      <c r="AF1092" s="19"/>
      <c r="AG1092" s="17"/>
      <c r="AK1092" s="7"/>
      <c r="AL1092" s="108">
        <f t="shared" si="254"/>
        <v>0</v>
      </c>
      <c r="AM1092" s="108">
        <f t="shared" si="255"/>
        <v>0</v>
      </c>
      <c r="AN1092" s="113"/>
    </row>
    <row r="1093" spans="2:40" x14ac:dyDescent="0.2">
      <c r="B1093" s="7"/>
      <c r="C1093" s="8"/>
      <c r="D1093" s="8"/>
      <c r="E1093" s="9"/>
      <c r="F1093" s="6"/>
      <c r="G1093" s="8"/>
      <c r="H1093" s="32"/>
      <c r="I1093" s="10" t="str">
        <f t="shared" ref="I1093:I1156" si="267">IF(G1093&gt;0,"1","21")</f>
        <v>21</v>
      </c>
      <c r="J1093" s="11">
        <v>1</v>
      </c>
      <c r="K1093" s="11"/>
      <c r="L1093" s="11"/>
      <c r="M1093" s="11">
        <f t="shared" si="256"/>
        <v>0</v>
      </c>
      <c r="N1093" s="11"/>
      <c r="O1093" s="11">
        <f t="shared" si="257"/>
        <v>0</v>
      </c>
      <c r="P1093" s="11"/>
      <c r="Q1093" s="11"/>
      <c r="R1093" s="11"/>
      <c r="S1093" s="11">
        <f t="shared" si="258"/>
        <v>0</v>
      </c>
      <c r="T1093" s="11">
        <f t="shared" si="259"/>
        <v>1666.6666666666667</v>
      </c>
      <c r="U1093" s="11">
        <f t="shared" si="260"/>
        <v>0</v>
      </c>
      <c r="V1093" s="24">
        <f t="shared" si="261"/>
        <v>0</v>
      </c>
      <c r="W1093" s="11">
        <f>IF(V1093&lt;=40000,0,
IF(V1093&lt;=55000,(V1093-40000)*10%,
IF(V1093&lt;=70000,(V1093-55000)*15%+1500,
IF(V1093&lt;=200000,(V1093-70000)*20%+1500+2250,
IF(V1093&lt;=400000,(V1093-200000)*22.5%+1500+2250+26000,
IF(V1093&lt;=600000,(V1093-400000)*25%+1500+2250+26000+45000,
IF(AND(V1093&gt;600000,V1093&lt;=1200000),(V1093-400000)*25%+1500+2250+26000+45000
+IFERROR(LOOKUP(V1093,{600001;700001;800001;900001},{4000;6750;10250;15250}),0),IF(V1093&gt;1200000,((V1093-1200000)*27.5%)+300000,0)
)))))))</f>
        <v>0</v>
      </c>
      <c r="X1093" s="12">
        <f t="shared" si="262"/>
        <v>0</v>
      </c>
      <c r="Y1093" s="12">
        <f t="shared" si="263"/>
        <v>0</v>
      </c>
      <c r="Z1093" s="11"/>
      <c r="AA1093" s="13">
        <f t="shared" si="264"/>
        <v>0</v>
      </c>
      <c r="AB1093" s="12">
        <f t="shared" si="265"/>
        <v>0</v>
      </c>
      <c r="AC1093" s="14">
        <f t="shared" ref="AC1093:AC1156" si="268">+M1093-P1093-Y1093</f>
        <v>0</v>
      </c>
      <c r="AE1093" s="19">
        <f t="shared" si="266"/>
        <v>0</v>
      </c>
      <c r="AF1093" s="19"/>
      <c r="AG1093" s="17"/>
      <c r="AK1093" s="7"/>
      <c r="AL1093" s="108">
        <f t="shared" ref="AL1093:AL1156" si="269">+AK1093+AD1093</f>
        <v>0</v>
      </c>
      <c r="AM1093" s="108">
        <f t="shared" ref="AM1093:AM1156" si="270">+AL1093-AC1093</f>
        <v>0</v>
      </c>
      <c r="AN1093" s="113"/>
    </row>
    <row r="1094" spans="2:40" x14ac:dyDescent="0.2">
      <c r="B1094" s="7"/>
      <c r="C1094" s="8"/>
      <c r="D1094" s="8"/>
      <c r="E1094" s="9"/>
      <c r="F1094" s="6"/>
      <c r="G1094" s="8"/>
      <c r="H1094" s="32"/>
      <c r="I1094" s="10" t="str">
        <f t="shared" si="267"/>
        <v>21</v>
      </c>
      <c r="J1094" s="11">
        <v>1</v>
      </c>
      <c r="K1094" s="11"/>
      <c r="L1094" s="11"/>
      <c r="M1094" s="11">
        <f t="shared" si="256"/>
        <v>0</v>
      </c>
      <c r="N1094" s="11"/>
      <c r="O1094" s="11">
        <f t="shared" si="257"/>
        <v>0</v>
      </c>
      <c r="P1094" s="11"/>
      <c r="Q1094" s="11"/>
      <c r="R1094" s="11"/>
      <c r="S1094" s="11">
        <f t="shared" si="258"/>
        <v>0</v>
      </c>
      <c r="T1094" s="11">
        <f t="shared" si="259"/>
        <v>1666.6666666666667</v>
      </c>
      <c r="U1094" s="11">
        <f t="shared" si="260"/>
        <v>0</v>
      </c>
      <c r="V1094" s="24">
        <f t="shared" si="261"/>
        <v>0</v>
      </c>
      <c r="W1094" s="11">
        <f>IF(V1094&lt;=40000,0,
IF(V1094&lt;=55000,(V1094-40000)*10%,
IF(V1094&lt;=70000,(V1094-55000)*15%+1500,
IF(V1094&lt;=200000,(V1094-70000)*20%+1500+2250,
IF(V1094&lt;=400000,(V1094-200000)*22.5%+1500+2250+26000,
IF(V1094&lt;=600000,(V1094-400000)*25%+1500+2250+26000+45000,
IF(AND(V1094&gt;600000,V1094&lt;=1200000),(V1094-400000)*25%+1500+2250+26000+45000
+IFERROR(LOOKUP(V1094,{600001;700001;800001;900001},{4000;6750;10250;15250}),0),IF(V1094&gt;1200000,((V1094-1200000)*27.5%)+300000,0)
)))))))</f>
        <v>0</v>
      </c>
      <c r="X1094" s="12">
        <f t="shared" si="262"/>
        <v>0</v>
      </c>
      <c r="Y1094" s="12">
        <f t="shared" si="263"/>
        <v>0</v>
      </c>
      <c r="Z1094" s="11"/>
      <c r="AA1094" s="13">
        <f t="shared" si="264"/>
        <v>0</v>
      </c>
      <c r="AB1094" s="12">
        <f t="shared" si="265"/>
        <v>0</v>
      </c>
      <c r="AC1094" s="14">
        <f t="shared" si="268"/>
        <v>0</v>
      </c>
      <c r="AE1094" s="19">
        <f t="shared" si="266"/>
        <v>0</v>
      </c>
      <c r="AF1094" s="19"/>
      <c r="AG1094" s="17"/>
      <c r="AK1094" s="7"/>
      <c r="AL1094" s="108">
        <f t="shared" si="269"/>
        <v>0</v>
      </c>
      <c r="AM1094" s="108">
        <f t="shared" si="270"/>
        <v>0</v>
      </c>
      <c r="AN1094" s="113"/>
    </row>
    <row r="1095" spans="2:40" x14ac:dyDescent="0.2">
      <c r="B1095" s="7"/>
      <c r="C1095" s="8"/>
      <c r="D1095" s="8"/>
      <c r="E1095" s="9"/>
      <c r="F1095" s="6"/>
      <c r="G1095" s="8"/>
      <c r="H1095" s="32"/>
      <c r="I1095" s="10" t="str">
        <f t="shared" si="267"/>
        <v>21</v>
      </c>
      <c r="J1095" s="11">
        <v>1</v>
      </c>
      <c r="K1095" s="11"/>
      <c r="L1095" s="11"/>
      <c r="M1095" s="11">
        <f t="shared" si="256"/>
        <v>0</v>
      </c>
      <c r="N1095" s="11"/>
      <c r="O1095" s="11">
        <f t="shared" si="257"/>
        <v>0</v>
      </c>
      <c r="P1095" s="11"/>
      <c r="Q1095" s="11"/>
      <c r="R1095" s="11"/>
      <c r="S1095" s="11">
        <f t="shared" si="258"/>
        <v>0</v>
      </c>
      <c r="T1095" s="11">
        <f t="shared" si="259"/>
        <v>1666.6666666666667</v>
      </c>
      <c r="U1095" s="11">
        <f t="shared" si="260"/>
        <v>0</v>
      </c>
      <c r="V1095" s="24">
        <f t="shared" si="261"/>
        <v>0</v>
      </c>
      <c r="W1095" s="11">
        <f>IF(V1095&lt;=40000,0,
IF(V1095&lt;=55000,(V1095-40000)*10%,
IF(V1095&lt;=70000,(V1095-55000)*15%+1500,
IF(V1095&lt;=200000,(V1095-70000)*20%+1500+2250,
IF(V1095&lt;=400000,(V1095-200000)*22.5%+1500+2250+26000,
IF(V1095&lt;=600000,(V1095-400000)*25%+1500+2250+26000+45000,
IF(AND(V1095&gt;600000,V1095&lt;=1200000),(V1095-400000)*25%+1500+2250+26000+45000
+IFERROR(LOOKUP(V1095,{600001;700001;800001;900001},{4000;6750;10250;15250}),0),IF(V1095&gt;1200000,((V1095-1200000)*27.5%)+300000,0)
)))))))</f>
        <v>0</v>
      </c>
      <c r="X1095" s="12">
        <f t="shared" si="262"/>
        <v>0</v>
      </c>
      <c r="Y1095" s="12">
        <f t="shared" si="263"/>
        <v>0</v>
      </c>
      <c r="Z1095" s="11"/>
      <c r="AA1095" s="13">
        <f t="shared" si="264"/>
        <v>0</v>
      </c>
      <c r="AB1095" s="12">
        <f t="shared" si="265"/>
        <v>0</v>
      </c>
      <c r="AC1095" s="14">
        <f t="shared" si="268"/>
        <v>0</v>
      </c>
      <c r="AE1095" s="19">
        <f t="shared" si="266"/>
        <v>0</v>
      </c>
      <c r="AF1095" s="19"/>
      <c r="AG1095" s="17"/>
      <c r="AK1095" s="7"/>
      <c r="AL1095" s="108">
        <f t="shared" si="269"/>
        <v>0</v>
      </c>
      <c r="AM1095" s="108">
        <f t="shared" si="270"/>
        <v>0</v>
      </c>
      <c r="AN1095" s="113"/>
    </row>
    <row r="1096" spans="2:40" x14ac:dyDescent="0.2">
      <c r="B1096" s="7"/>
      <c r="C1096" s="8"/>
      <c r="D1096" s="8"/>
      <c r="E1096" s="9"/>
      <c r="F1096" s="6"/>
      <c r="G1096" s="8"/>
      <c r="H1096" s="32"/>
      <c r="I1096" s="10" t="str">
        <f t="shared" si="267"/>
        <v>21</v>
      </c>
      <c r="J1096" s="11">
        <v>1</v>
      </c>
      <c r="K1096" s="11"/>
      <c r="L1096" s="11"/>
      <c r="M1096" s="11">
        <f t="shared" si="256"/>
        <v>0</v>
      </c>
      <c r="N1096" s="11"/>
      <c r="O1096" s="11">
        <f t="shared" si="257"/>
        <v>0</v>
      </c>
      <c r="P1096" s="11"/>
      <c r="Q1096" s="11"/>
      <c r="R1096" s="11"/>
      <c r="S1096" s="11">
        <f t="shared" si="258"/>
        <v>0</v>
      </c>
      <c r="T1096" s="11">
        <f t="shared" si="259"/>
        <v>1666.6666666666667</v>
      </c>
      <c r="U1096" s="11">
        <f t="shared" si="260"/>
        <v>0</v>
      </c>
      <c r="V1096" s="24">
        <f t="shared" si="261"/>
        <v>0</v>
      </c>
      <c r="W1096" s="11">
        <f>IF(V1096&lt;=40000,0,
IF(V1096&lt;=55000,(V1096-40000)*10%,
IF(V1096&lt;=70000,(V1096-55000)*15%+1500,
IF(V1096&lt;=200000,(V1096-70000)*20%+1500+2250,
IF(V1096&lt;=400000,(V1096-200000)*22.5%+1500+2250+26000,
IF(V1096&lt;=600000,(V1096-400000)*25%+1500+2250+26000+45000,
IF(AND(V1096&gt;600000,V1096&lt;=1200000),(V1096-400000)*25%+1500+2250+26000+45000
+IFERROR(LOOKUP(V1096,{600001;700001;800001;900001},{4000;6750;10250;15250}),0),IF(V1096&gt;1200000,((V1096-1200000)*27.5%)+300000,0)
)))))))</f>
        <v>0</v>
      </c>
      <c r="X1096" s="12">
        <f t="shared" si="262"/>
        <v>0</v>
      </c>
      <c r="Y1096" s="12">
        <f t="shared" si="263"/>
        <v>0</v>
      </c>
      <c r="Z1096" s="11"/>
      <c r="AA1096" s="13">
        <f t="shared" si="264"/>
        <v>0</v>
      </c>
      <c r="AB1096" s="12">
        <f t="shared" si="265"/>
        <v>0</v>
      </c>
      <c r="AC1096" s="14">
        <f t="shared" si="268"/>
        <v>0</v>
      </c>
      <c r="AE1096" s="19">
        <f t="shared" si="266"/>
        <v>0</v>
      </c>
      <c r="AF1096" s="19"/>
      <c r="AG1096" s="17"/>
      <c r="AK1096" s="7"/>
      <c r="AL1096" s="108">
        <f t="shared" si="269"/>
        <v>0</v>
      </c>
      <c r="AM1096" s="108">
        <f t="shared" si="270"/>
        <v>0</v>
      </c>
      <c r="AN1096" s="113"/>
    </row>
    <row r="1097" spans="2:40" x14ac:dyDescent="0.2">
      <c r="B1097" s="7"/>
      <c r="C1097" s="8"/>
      <c r="D1097" s="8"/>
      <c r="E1097" s="9"/>
      <c r="F1097" s="6"/>
      <c r="G1097" s="8"/>
      <c r="H1097" s="32"/>
      <c r="I1097" s="10" t="str">
        <f t="shared" si="267"/>
        <v>21</v>
      </c>
      <c r="J1097" s="11">
        <v>1</v>
      </c>
      <c r="K1097" s="11"/>
      <c r="L1097" s="11"/>
      <c r="M1097" s="11">
        <f t="shared" si="256"/>
        <v>0</v>
      </c>
      <c r="N1097" s="11"/>
      <c r="O1097" s="11">
        <f t="shared" si="257"/>
        <v>0</v>
      </c>
      <c r="P1097" s="11"/>
      <c r="Q1097" s="11"/>
      <c r="R1097" s="11"/>
      <c r="S1097" s="11">
        <f t="shared" si="258"/>
        <v>0</v>
      </c>
      <c r="T1097" s="11">
        <f t="shared" si="259"/>
        <v>1666.6666666666667</v>
      </c>
      <c r="U1097" s="11">
        <f t="shared" si="260"/>
        <v>0</v>
      </c>
      <c r="V1097" s="24">
        <f t="shared" si="261"/>
        <v>0</v>
      </c>
      <c r="W1097" s="11">
        <f>IF(V1097&lt;=40000,0,
IF(V1097&lt;=55000,(V1097-40000)*10%,
IF(V1097&lt;=70000,(V1097-55000)*15%+1500,
IF(V1097&lt;=200000,(V1097-70000)*20%+1500+2250,
IF(V1097&lt;=400000,(V1097-200000)*22.5%+1500+2250+26000,
IF(V1097&lt;=600000,(V1097-400000)*25%+1500+2250+26000+45000,
IF(AND(V1097&gt;600000,V1097&lt;=1200000),(V1097-400000)*25%+1500+2250+26000+45000
+IFERROR(LOOKUP(V1097,{600001;700001;800001;900001},{4000;6750;10250;15250}),0),IF(V1097&gt;1200000,((V1097-1200000)*27.5%)+300000,0)
)))))))</f>
        <v>0</v>
      </c>
      <c r="X1097" s="12">
        <f t="shared" si="262"/>
        <v>0</v>
      </c>
      <c r="Y1097" s="12">
        <f t="shared" si="263"/>
        <v>0</v>
      </c>
      <c r="Z1097" s="11"/>
      <c r="AA1097" s="13">
        <f t="shared" si="264"/>
        <v>0</v>
      </c>
      <c r="AB1097" s="12">
        <f t="shared" si="265"/>
        <v>0</v>
      </c>
      <c r="AC1097" s="14">
        <f t="shared" si="268"/>
        <v>0</v>
      </c>
      <c r="AE1097" s="19">
        <f t="shared" si="266"/>
        <v>0</v>
      </c>
      <c r="AF1097" s="19"/>
      <c r="AG1097" s="17"/>
      <c r="AK1097" s="7"/>
      <c r="AL1097" s="108">
        <f t="shared" si="269"/>
        <v>0</v>
      </c>
      <c r="AM1097" s="108">
        <f t="shared" si="270"/>
        <v>0</v>
      </c>
      <c r="AN1097" s="113"/>
    </row>
    <row r="1098" spans="2:40" x14ac:dyDescent="0.2">
      <c r="B1098" s="7"/>
      <c r="C1098" s="8"/>
      <c r="D1098" s="8"/>
      <c r="E1098" s="9"/>
      <c r="F1098" s="6"/>
      <c r="G1098" s="8"/>
      <c r="H1098" s="32"/>
      <c r="I1098" s="10" t="str">
        <f t="shared" si="267"/>
        <v>21</v>
      </c>
      <c r="J1098" s="11">
        <v>1</v>
      </c>
      <c r="K1098" s="11"/>
      <c r="L1098" s="11"/>
      <c r="M1098" s="11">
        <f t="shared" si="256"/>
        <v>0</v>
      </c>
      <c r="N1098" s="11"/>
      <c r="O1098" s="11">
        <f t="shared" si="257"/>
        <v>0</v>
      </c>
      <c r="P1098" s="11"/>
      <c r="Q1098" s="11"/>
      <c r="R1098" s="11"/>
      <c r="S1098" s="11">
        <f t="shared" si="258"/>
        <v>0</v>
      </c>
      <c r="T1098" s="11">
        <f t="shared" si="259"/>
        <v>1666.6666666666667</v>
      </c>
      <c r="U1098" s="11">
        <f t="shared" si="260"/>
        <v>0</v>
      </c>
      <c r="V1098" s="24">
        <f t="shared" si="261"/>
        <v>0</v>
      </c>
      <c r="W1098" s="11">
        <f>IF(V1098&lt;=40000,0,
IF(V1098&lt;=55000,(V1098-40000)*10%,
IF(V1098&lt;=70000,(V1098-55000)*15%+1500,
IF(V1098&lt;=200000,(V1098-70000)*20%+1500+2250,
IF(V1098&lt;=400000,(V1098-200000)*22.5%+1500+2250+26000,
IF(V1098&lt;=600000,(V1098-400000)*25%+1500+2250+26000+45000,
IF(AND(V1098&gt;600000,V1098&lt;=1200000),(V1098-400000)*25%+1500+2250+26000+45000
+IFERROR(LOOKUP(V1098,{600001;700001;800001;900001},{4000;6750;10250;15250}),0),IF(V1098&gt;1200000,((V1098-1200000)*27.5%)+300000,0)
)))))))</f>
        <v>0</v>
      </c>
      <c r="X1098" s="12">
        <f t="shared" si="262"/>
        <v>0</v>
      </c>
      <c r="Y1098" s="12">
        <f t="shared" si="263"/>
        <v>0</v>
      </c>
      <c r="Z1098" s="11"/>
      <c r="AA1098" s="13">
        <f t="shared" si="264"/>
        <v>0</v>
      </c>
      <c r="AB1098" s="12">
        <f t="shared" si="265"/>
        <v>0</v>
      </c>
      <c r="AC1098" s="14">
        <f t="shared" si="268"/>
        <v>0</v>
      </c>
      <c r="AE1098" s="19">
        <f t="shared" si="266"/>
        <v>0</v>
      </c>
      <c r="AF1098" s="19"/>
      <c r="AG1098" s="17"/>
      <c r="AK1098" s="7"/>
      <c r="AL1098" s="108">
        <f t="shared" si="269"/>
        <v>0</v>
      </c>
      <c r="AM1098" s="108">
        <f t="shared" si="270"/>
        <v>0</v>
      </c>
      <c r="AN1098" s="113"/>
    </row>
    <row r="1099" spans="2:40" x14ac:dyDescent="0.2">
      <c r="B1099" s="7"/>
      <c r="C1099" s="8"/>
      <c r="D1099" s="8"/>
      <c r="E1099" s="9"/>
      <c r="F1099" s="6"/>
      <c r="G1099" s="8"/>
      <c r="H1099" s="32"/>
      <c r="I1099" s="10" t="str">
        <f t="shared" si="267"/>
        <v>21</v>
      </c>
      <c r="J1099" s="11">
        <v>1</v>
      </c>
      <c r="K1099" s="11"/>
      <c r="L1099" s="11"/>
      <c r="M1099" s="11">
        <f t="shared" si="256"/>
        <v>0</v>
      </c>
      <c r="N1099" s="11"/>
      <c r="O1099" s="11">
        <f t="shared" si="257"/>
        <v>0</v>
      </c>
      <c r="P1099" s="11"/>
      <c r="Q1099" s="11"/>
      <c r="R1099" s="11"/>
      <c r="S1099" s="11">
        <f t="shared" si="258"/>
        <v>0</v>
      </c>
      <c r="T1099" s="11">
        <f t="shared" si="259"/>
        <v>1666.6666666666667</v>
      </c>
      <c r="U1099" s="11">
        <f t="shared" si="260"/>
        <v>0</v>
      </c>
      <c r="V1099" s="24">
        <f t="shared" si="261"/>
        <v>0</v>
      </c>
      <c r="W1099" s="11">
        <f>IF(V1099&lt;=40000,0,
IF(V1099&lt;=55000,(V1099-40000)*10%,
IF(V1099&lt;=70000,(V1099-55000)*15%+1500,
IF(V1099&lt;=200000,(V1099-70000)*20%+1500+2250,
IF(V1099&lt;=400000,(V1099-200000)*22.5%+1500+2250+26000,
IF(V1099&lt;=600000,(V1099-400000)*25%+1500+2250+26000+45000,
IF(AND(V1099&gt;600000,V1099&lt;=1200000),(V1099-400000)*25%+1500+2250+26000+45000
+IFERROR(LOOKUP(V1099,{600001;700001;800001;900001},{4000;6750;10250;15250}),0),IF(V1099&gt;1200000,((V1099-1200000)*27.5%)+300000,0)
)))))))</f>
        <v>0</v>
      </c>
      <c r="X1099" s="12">
        <f t="shared" si="262"/>
        <v>0</v>
      </c>
      <c r="Y1099" s="12">
        <f t="shared" si="263"/>
        <v>0</v>
      </c>
      <c r="Z1099" s="11"/>
      <c r="AA1099" s="13">
        <f t="shared" si="264"/>
        <v>0</v>
      </c>
      <c r="AB1099" s="12">
        <f t="shared" si="265"/>
        <v>0</v>
      </c>
      <c r="AC1099" s="14">
        <f t="shared" si="268"/>
        <v>0</v>
      </c>
      <c r="AE1099" s="19">
        <f t="shared" si="266"/>
        <v>0</v>
      </c>
      <c r="AF1099" s="19"/>
      <c r="AG1099" s="17"/>
      <c r="AK1099" s="7"/>
      <c r="AL1099" s="108">
        <f t="shared" si="269"/>
        <v>0</v>
      </c>
      <c r="AM1099" s="108">
        <f t="shared" si="270"/>
        <v>0</v>
      </c>
      <c r="AN1099" s="113"/>
    </row>
    <row r="1100" spans="2:40" x14ac:dyDescent="0.2">
      <c r="B1100" s="7"/>
      <c r="C1100" s="8"/>
      <c r="D1100" s="8"/>
      <c r="E1100" s="9"/>
      <c r="F1100" s="6"/>
      <c r="G1100" s="8"/>
      <c r="H1100" s="32"/>
      <c r="I1100" s="10" t="str">
        <f t="shared" si="267"/>
        <v>21</v>
      </c>
      <c r="J1100" s="11">
        <v>1</v>
      </c>
      <c r="K1100" s="11"/>
      <c r="L1100" s="11"/>
      <c r="M1100" s="11">
        <f t="shared" si="256"/>
        <v>0</v>
      </c>
      <c r="N1100" s="11"/>
      <c r="O1100" s="11">
        <f t="shared" si="257"/>
        <v>0</v>
      </c>
      <c r="P1100" s="11"/>
      <c r="Q1100" s="11"/>
      <c r="R1100" s="11"/>
      <c r="S1100" s="11">
        <f t="shared" si="258"/>
        <v>0</v>
      </c>
      <c r="T1100" s="11">
        <f t="shared" si="259"/>
        <v>1666.6666666666667</v>
      </c>
      <c r="U1100" s="11">
        <f t="shared" si="260"/>
        <v>0</v>
      </c>
      <c r="V1100" s="24">
        <f t="shared" si="261"/>
        <v>0</v>
      </c>
      <c r="W1100" s="11">
        <f>IF(V1100&lt;=40000,0,
IF(V1100&lt;=55000,(V1100-40000)*10%,
IF(V1100&lt;=70000,(V1100-55000)*15%+1500,
IF(V1100&lt;=200000,(V1100-70000)*20%+1500+2250,
IF(V1100&lt;=400000,(V1100-200000)*22.5%+1500+2250+26000,
IF(V1100&lt;=600000,(V1100-400000)*25%+1500+2250+26000+45000,
IF(AND(V1100&gt;600000,V1100&lt;=1200000),(V1100-400000)*25%+1500+2250+26000+45000
+IFERROR(LOOKUP(V1100,{600001;700001;800001;900001},{4000;6750;10250;15250}),0),IF(V1100&gt;1200000,((V1100-1200000)*27.5%)+300000,0)
)))))))</f>
        <v>0</v>
      </c>
      <c r="X1100" s="12">
        <f t="shared" si="262"/>
        <v>0</v>
      </c>
      <c r="Y1100" s="12">
        <f t="shared" si="263"/>
        <v>0</v>
      </c>
      <c r="Z1100" s="11"/>
      <c r="AA1100" s="13">
        <f t="shared" si="264"/>
        <v>0</v>
      </c>
      <c r="AB1100" s="12">
        <f t="shared" si="265"/>
        <v>0</v>
      </c>
      <c r="AC1100" s="14">
        <f t="shared" si="268"/>
        <v>0</v>
      </c>
      <c r="AE1100" s="19">
        <f t="shared" si="266"/>
        <v>0</v>
      </c>
      <c r="AF1100" s="19"/>
      <c r="AG1100" s="17"/>
      <c r="AK1100" s="7"/>
      <c r="AL1100" s="108">
        <f t="shared" si="269"/>
        <v>0</v>
      </c>
      <c r="AM1100" s="108">
        <f t="shared" si="270"/>
        <v>0</v>
      </c>
      <c r="AN1100" s="113"/>
    </row>
    <row r="1101" spans="2:40" x14ac:dyDescent="0.2">
      <c r="B1101" s="7"/>
      <c r="C1101" s="8"/>
      <c r="D1101" s="8"/>
      <c r="E1101" s="9"/>
      <c r="F1101" s="6"/>
      <c r="G1101" s="8"/>
      <c r="H1101" s="32"/>
      <c r="I1101" s="10" t="str">
        <f t="shared" si="267"/>
        <v>21</v>
      </c>
      <c r="J1101" s="11">
        <v>1</v>
      </c>
      <c r="K1101" s="11"/>
      <c r="L1101" s="11"/>
      <c r="M1101" s="11">
        <f t="shared" si="256"/>
        <v>0</v>
      </c>
      <c r="N1101" s="11"/>
      <c r="O1101" s="11">
        <f t="shared" si="257"/>
        <v>0</v>
      </c>
      <c r="P1101" s="11"/>
      <c r="Q1101" s="11"/>
      <c r="R1101" s="11"/>
      <c r="S1101" s="11">
        <f t="shared" si="258"/>
        <v>0</v>
      </c>
      <c r="T1101" s="11">
        <f t="shared" si="259"/>
        <v>1666.6666666666667</v>
      </c>
      <c r="U1101" s="11">
        <f t="shared" si="260"/>
        <v>0</v>
      </c>
      <c r="V1101" s="24">
        <f t="shared" si="261"/>
        <v>0</v>
      </c>
      <c r="W1101" s="11">
        <f>IF(V1101&lt;=40000,0,
IF(V1101&lt;=55000,(V1101-40000)*10%,
IF(V1101&lt;=70000,(V1101-55000)*15%+1500,
IF(V1101&lt;=200000,(V1101-70000)*20%+1500+2250,
IF(V1101&lt;=400000,(V1101-200000)*22.5%+1500+2250+26000,
IF(V1101&lt;=600000,(V1101-400000)*25%+1500+2250+26000+45000,
IF(AND(V1101&gt;600000,V1101&lt;=1200000),(V1101-400000)*25%+1500+2250+26000+45000
+IFERROR(LOOKUP(V1101,{600001;700001;800001;900001},{4000;6750;10250;15250}),0),IF(V1101&gt;1200000,((V1101-1200000)*27.5%)+300000,0)
)))))))</f>
        <v>0</v>
      </c>
      <c r="X1101" s="12">
        <f t="shared" si="262"/>
        <v>0</v>
      </c>
      <c r="Y1101" s="12">
        <f t="shared" si="263"/>
        <v>0</v>
      </c>
      <c r="Z1101" s="11"/>
      <c r="AA1101" s="13">
        <f t="shared" si="264"/>
        <v>0</v>
      </c>
      <c r="AB1101" s="12">
        <f t="shared" si="265"/>
        <v>0</v>
      </c>
      <c r="AC1101" s="14">
        <f t="shared" si="268"/>
        <v>0</v>
      </c>
      <c r="AE1101" s="19">
        <f t="shared" si="266"/>
        <v>0</v>
      </c>
      <c r="AF1101" s="19"/>
      <c r="AG1101" s="17"/>
      <c r="AK1101" s="7"/>
      <c r="AL1101" s="108">
        <f t="shared" si="269"/>
        <v>0</v>
      </c>
      <c r="AM1101" s="108">
        <f t="shared" si="270"/>
        <v>0</v>
      </c>
      <c r="AN1101" s="113"/>
    </row>
    <row r="1102" spans="2:40" x14ac:dyDescent="0.2">
      <c r="B1102" s="7"/>
      <c r="C1102" s="8"/>
      <c r="D1102" s="8"/>
      <c r="E1102" s="9"/>
      <c r="F1102" s="6"/>
      <c r="G1102" s="8"/>
      <c r="H1102" s="32"/>
      <c r="I1102" s="10" t="str">
        <f t="shared" si="267"/>
        <v>21</v>
      </c>
      <c r="J1102" s="11">
        <v>1</v>
      </c>
      <c r="K1102" s="11"/>
      <c r="L1102" s="11"/>
      <c r="M1102" s="11">
        <f t="shared" si="256"/>
        <v>0</v>
      </c>
      <c r="N1102" s="11"/>
      <c r="O1102" s="11">
        <f t="shared" si="257"/>
        <v>0</v>
      </c>
      <c r="P1102" s="11"/>
      <c r="Q1102" s="11"/>
      <c r="R1102" s="11"/>
      <c r="S1102" s="11">
        <f t="shared" si="258"/>
        <v>0</v>
      </c>
      <c r="T1102" s="11">
        <f t="shared" si="259"/>
        <v>1666.6666666666667</v>
      </c>
      <c r="U1102" s="11">
        <f t="shared" si="260"/>
        <v>0</v>
      </c>
      <c r="V1102" s="24">
        <f t="shared" si="261"/>
        <v>0</v>
      </c>
      <c r="W1102" s="11">
        <f>IF(V1102&lt;=40000,0,
IF(V1102&lt;=55000,(V1102-40000)*10%,
IF(V1102&lt;=70000,(V1102-55000)*15%+1500,
IF(V1102&lt;=200000,(V1102-70000)*20%+1500+2250,
IF(V1102&lt;=400000,(V1102-200000)*22.5%+1500+2250+26000,
IF(V1102&lt;=600000,(V1102-400000)*25%+1500+2250+26000+45000,
IF(AND(V1102&gt;600000,V1102&lt;=1200000),(V1102-400000)*25%+1500+2250+26000+45000
+IFERROR(LOOKUP(V1102,{600001;700001;800001;900001},{4000;6750;10250;15250}),0),IF(V1102&gt;1200000,((V1102-1200000)*27.5%)+300000,0)
)))))))</f>
        <v>0</v>
      </c>
      <c r="X1102" s="12">
        <f t="shared" si="262"/>
        <v>0</v>
      </c>
      <c r="Y1102" s="12">
        <f t="shared" si="263"/>
        <v>0</v>
      </c>
      <c r="Z1102" s="11"/>
      <c r="AA1102" s="13">
        <f t="shared" si="264"/>
        <v>0</v>
      </c>
      <c r="AB1102" s="12">
        <f t="shared" si="265"/>
        <v>0</v>
      </c>
      <c r="AC1102" s="14">
        <f t="shared" si="268"/>
        <v>0</v>
      </c>
      <c r="AE1102" s="19">
        <f t="shared" si="266"/>
        <v>0</v>
      </c>
      <c r="AF1102" s="19"/>
      <c r="AG1102" s="17"/>
      <c r="AK1102" s="7"/>
      <c r="AL1102" s="108">
        <f t="shared" si="269"/>
        <v>0</v>
      </c>
      <c r="AM1102" s="108">
        <f t="shared" si="270"/>
        <v>0</v>
      </c>
      <c r="AN1102" s="113"/>
    </row>
    <row r="1103" spans="2:40" x14ac:dyDescent="0.2">
      <c r="B1103" s="7"/>
      <c r="C1103" s="8"/>
      <c r="D1103" s="8"/>
      <c r="E1103" s="9"/>
      <c r="F1103" s="6"/>
      <c r="G1103" s="8"/>
      <c r="H1103" s="32"/>
      <c r="I1103" s="10" t="str">
        <f t="shared" si="267"/>
        <v>21</v>
      </c>
      <c r="J1103" s="11">
        <v>1</v>
      </c>
      <c r="K1103" s="11"/>
      <c r="L1103" s="11"/>
      <c r="M1103" s="11">
        <f t="shared" si="256"/>
        <v>0</v>
      </c>
      <c r="N1103" s="11"/>
      <c r="O1103" s="11">
        <f t="shared" si="257"/>
        <v>0</v>
      </c>
      <c r="P1103" s="11"/>
      <c r="Q1103" s="11"/>
      <c r="R1103" s="11"/>
      <c r="S1103" s="11">
        <f t="shared" si="258"/>
        <v>0</v>
      </c>
      <c r="T1103" s="11">
        <f t="shared" si="259"/>
        <v>1666.6666666666667</v>
      </c>
      <c r="U1103" s="11">
        <f t="shared" si="260"/>
        <v>0</v>
      </c>
      <c r="V1103" s="24">
        <f t="shared" si="261"/>
        <v>0</v>
      </c>
      <c r="W1103" s="11">
        <f>IF(V1103&lt;=40000,0,
IF(V1103&lt;=55000,(V1103-40000)*10%,
IF(V1103&lt;=70000,(V1103-55000)*15%+1500,
IF(V1103&lt;=200000,(V1103-70000)*20%+1500+2250,
IF(V1103&lt;=400000,(V1103-200000)*22.5%+1500+2250+26000,
IF(V1103&lt;=600000,(V1103-400000)*25%+1500+2250+26000+45000,
IF(AND(V1103&gt;600000,V1103&lt;=1200000),(V1103-400000)*25%+1500+2250+26000+45000
+IFERROR(LOOKUP(V1103,{600001;700001;800001;900001},{4000;6750;10250;15250}),0),IF(V1103&gt;1200000,((V1103-1200000)*27.5%)+300000,0)
)))))))</f>
        <v>0</v>
      </c>
      <c r="X1103" s="12">
        <f t="shared" si="262"/>
        <v>0</v>
      </c>
      <c r="Y1103" s="12">
        <f t="shared" si="263"/>
        <v>0</v>
      </c>
      <c r="Z1103" s="11"/>
      <c r="AA1103" s="13">
        <f t="shared" si="264"/>
        <v>0</v>
      </c>
      <c r="AB1103" s="12">
        <f t="shared" si="265"/>
        <v>0</v>
      </c>
      <c r="AC1103" s="14">
        <f t="shared" si="268"/>
        <v>0</v>
      </c>
      <c r="AE1103" s="19">
        <f t="shared" si="266"/>
        <v>0</v>
      </c>
      <c r="AF1103" s="19"/>
      <c r="AG1103" s="17"/>
      <c r="AK1103" s="7"/>
      <c r="AL1103" s="108">
        <f t="shared" si="269"/>
        <v>0</v>
      </c>
      <c r="AM1103" s="108">
        <f t="shared" si="270"/>
        <v>0</v>
      </c>
      <c r="AN1103" s="113"/>
    </row>
    <row r="1104" spans="2:40" x14ac:dyDescent="0.2">
      <c r="B1104" s="7"/>
      <c r="C1104" s="8"/>
      <c r="D1104" s="8"/>
      <c r="E1104" s="9"/>
      <c r="F1104" s="6"/>
      <c r="G1104" s="8"/>
      <c r="H1104" s="32"/>
      <c r="I1104" s="10" t="str">
        <f t="shared" si="267"/>
        <v>21</v>
      </c>
      <c r="J1104" s="11">
        <v>1</v>
      </c>
      <c r="K1104" s="11"/>
      <c r="L1104" s="11"/>
      <c r="M1104" s="11">
        <f t="shared" si="256"/>
        <v>0</v>
      </c>
      <c r="N1104" s="11"/>
      <c r="O1104" s="11">
        <f t="shared" si="257"/>
        <v>0</v>
      </c>
      <c r="P1104" s="11"/>
      <c r="Q1104" s="11"/>
      <c r="R1104" s="11"/>
      <c r="S1104" s="11">
        <f t="shared" si="258"/>
        <v>0</v>
      </c>
      <c r="T1104" s="11">
        <f t="shared" si="259"/>
        <v>1666.6666666666667</v>
      </c>
      <c r="U1104" s="11">
        <f t="shared" si="260"/>
        <v>0</v>
      </c>
      <c r="V1104" s="24">
        <f t="shared" si="261"/>
        <v>0</v>
      </c>
      <c r="W1104" s="11">
        <f>IF(V1104&lt;=40000,0,
IF(V1104&lt;=55000,(V1104-40000)*10%,
IF(V1104&lt;=70000,(V1104-55000)*15%+1500,
IF(V1104&lt;=200000,(V1104-70000)*20%+1500+2250,
IF(V1104&lt;=400000,(V1104-200000)*22.5%+1500+2250+26000,
IF(V1104&lt;=600000,(V1104-400000)*25%+1500+2250+26000+45000,
IF(AND(V1104&gt;600000,V1104&lt;=1200000),(V1104-400000)*25%+1500+2250+26000+45000
+IFERROR(LOOKUP(V1104,{600001;700001;800001;900001},{4000;6750;10250;15250}),0),IF(V1104&gt;1200000,((V1104-1200000)*27.5%)+300000,0)
)))))))</f>
        <v>0</v>
      </c>
      <c r="X1104" s="12">
        <f t="shared" si="262"/>
        <v>0</v>
      </c>
      <c r="Y1104" s="12">
        <f t="shared" si="263"/>
        <v>0</v>
      </c>
      <c r="Z1104" s="11"/>
      <c r="AA1104" s="13">
        <f t="shared" si="264"/>
        <v>0</v>
      </c>
      <c r="AB1104" s="12">
        <f t="shared" si="265"/>
        <v>0</v>
      </c>
      <c r="AC1104" s="14">
        <f t="shared" si="268"/>
        <v>0</v>
      </c>
      <c r="AE1104" s="19">
        <f t="shared" si="266"/>
        <v>0</v>
      </c>
      <c r="AF1104" s="19"/>
      <c r="AG1104" s="17"/>
      <c r="AK1104" s="7"/>
      <c r="AL1104" s="108">
        <f t="shared" si="269"/>
        <v>0</v>
      </c>
      <c r="AM1104" s="108">
        <f t="shared" si="270"/>
        <v>0</v>
      </c>
      <c r="AN1104" s="113"/>
    </row>
    <row r="1105" spans="2:40" x14ac:dyDescent="0.2">
      <c r="B1105" s="7"/>
      <c r="C1105" s="8"/>
      <c r="D1105" s="8"/>
      <c r="E1105" s="9"/>
      <c r="F1105" s="6"/>
      <c r="G1105" s="8"/>
      <c r="H1105" s="32"/>
      <c r="I1105" s="10" t="str">
        <f t="shared" si="267"/>
        <v>21</v>
      </c>
      <c r="J1105" s="11">
        <v>1</v>
      </c>
      <c r="K1105" s="11"/>
      <c r="L1105" s="11"/>
      <c r="M1105" s="11">
        <f t="shared" si="256"/>
        <v>0</v>
      </c>
      <c r="N1105" s="11"/>
      <c r="O1105" s="11">
        <f t="shared" si="257"/>
        <v>0</v>
      </c>
      <c r="P1105" s="11"/>
      <c r="Q1105" s="11"/>
      <c r="R1105" s="11"/>
      <c r="S1105" s="11">
        <f t="shared" si="258"/>
        <v>0</v>
      </c>
      <c r="T1105" s="11">
        <f t="shared" si="259"/>
        <v>1666.6666666666667</v>
      </c>
      <c r="U1105" s="11">
        <f t="shared" si="260"/>
        <v>0</v>
      </c>
      <c r="V1105" s="24">
        <f t="shared" si="261"/>
        <v>0</v>
      </c>
      <c r="W1105" s="11">
        <f>IF(V1105&lt;=40000,0,
IF(V1105&lt;=55000,(V1105-40000)*10%,
IF(V1105&lt;=70000,(V1105-55000)*15%+1500,
IF(V1105&lt;=200000,(V1105-70000)*20%+1500+2250,
IF(V1105&lt;=400000,(V1105-200000)*22.5%+1500+2250+26000,
IF(V1105&lt;=600000,(V1105-400000)*25%+1500+2250+26000+45000,
IF(AND(V1105&gt;600000,V1105&lt;=1200000),(V1105-400000)*25%+1500+2250+26000+45000
+IFERROR(LOOKUP(V1105,{600001;700001;800001;900001},{4000;6750;10250;15250}),0),IF(V1105&gt;1200000,((V1105-1200000)*27.5%)+300000,0)
)))))))</f>
        <v>0</v>
      </c>
      <c r="X1105" s="12">
        <f t="shared" si="262"/>
        <v>0</v>
      </c>
      <c r="Y1105" s="12">
        <f t="shared" si="263"/>
        <v>0</v>
      </c>
      <c r="Z1105" s="11"/>
      <c r="AA1105" s="13">
        <f t="shared" si="264"/>
        <v>0</v>
      </c>
      <c r="AB1105" s="12">
        <f t="shared" si="265"/>
        <v>0</v>
      </c>
      <c r="AC1105" s="14">
        <f t="shared" si="268"/>
        <v>0</v>
      </c>
      <c r="AE1105" s="19">
        <f t="shared" si="266"/>
        <v>0</v>
      </c>
      <c r="AF1105" s="19"/>
      <c r="AG1105" s="17"/>
      <c r="AK1105" s="7"/>
      <c r="AL1105" s="108">
        <f t="shared" si="269"/>
        <v>0</v>
      </c>
      <c r="AM1105" s="108">
        <f t="shared" si="270"/>
        <v>0</v>
      </c>
      <c r="AN1105" s="113"/>
    </row>
    <row r="1106" spans="2:40" x14ac:dyDescent="0.2">
      <c r="B1106" s="7"/>
      <c r="C1106" s="8"/>
      <c r="D1106" s="8"/>
      <c r="E1106" s="9"/>
      <c r="F1106" s="6"/>
      <c r="G1106" s="8"/>
      <c r="H1106" s="32"/>
      <c r="I1106" s="10" t="str">
        <f t="shared" si="267"/>
        <v>21</v>
      </c>
      <c r="J1106" s="11">
        <v>1</v>
      </c>
      <c r="K1106" s="11"/>
      <c r="L1106" s="11"/>
      <c r="M1106" s="11">
        <f t="shared" si="256"/>
        <v>0</v>
      </c>
      <c r="N1106" s="11"/>
      <c r="O1106" s="11">
        <f t="shared" si="257"/>
        <v>0</v>
      </c>
      <c r="P1106" s="11"/>
      <c r="Q1106" s="11"/>
      <c r="R1106" s="11"/>
      <c r="S1106" s="11">
        <f t="shared" si="258"/>
        <v>0</v>
      </c>
      <c r="T1106" s="11">
        <f t="shared" si="259"/>
        <v>1666.6666666666667</v>
      </c>
      <c r="U1106" s="11">
        <f t="shared" si="260"/>
        <v>0</v>
      </c>
      <c r="V1106" s="24">
        <f t="shared" si="261"/>
        <v>0</v>
      </c>
      <c r="W1106" s="11">
        <f>IF(V1106&lt;=40000,0,
IF(V1106&lt;=55000,(V1106-40000)*10%,
IF(V1106&lt;=70000,(V1106-55000)*15%+1500,
IF(V1106&lt;=200000,(V1106-70000)*20%+1500+2250,
IF(V1106&lt;=400000,(V1106-200000)*22.5%+1500+2250+26000,
IF(V1106&lt;=600000,(V1106-400000)*25%+1500+2250+26000+45000,
IF(AND(V1106&gt;600000,V1106&lt;=1200000),(V1106-400000)*25%+1500+2250+26000+45000
+IFERROR(LOOKUP(V1106,{600001;700001;800001;900001},{4000;6750;10250;15250}),0),IF(V1106&gt;1200000,((V1106-1200000)*27.5%)+300000,0)
)))))))</f>
        <v>0</v>
      </c>
      <c r="X1106" s="12">
        <f t="shared" si="262"/>
        <v>0</v>
      </c>
      <c r="Y1106" s="12">
        <f t="shared" si="263"/>
        <v>0</v>
      </c>
      <c r="Z1106" s="11"/>
      <c r="AA1106" s="13">
        <f t="shared" si="264"/>
        <v>0</v>
      </c>
      <c r="AB1106" s="12">
        <f t="shared" si="265"/>
        <v>0</v>
      </c>
      <c r="AC1106" s="14">
        <f t="shared" si="268"/>
        <v>0</v>
      </c>
      <c r="AE1106" s="19">
        <f t="shared" si="266"/>
        <v>0</v>
      </c>
      <c r="AF1106" s="19"/>
      <c r="AG1106" s="17"/>
      <c r="AK1106" s="7"/>
      <c r="AL1106" s="108">
        <f t="shared" si="269"/>
        <v>0</v>
      </c>
      <c r="AM1106" s="108">
        <f t="shared" si="270"/>
        <v>0</v>
      </c>
      <c r="AN1106" s="113"/>
    </row>
    <row r="1107" spans="2:40" x14ac:dyDescent="0.2">
      <c r="B1107" s="7"/>
      <c r="C1107" s="8"/>
      <c r="D1107" s="8"/>
      <c r="E1107" s="9"/>
      <c r="F1107" s="6"/>
      <c r="G1107" s="8"/>
      <c r="H1107" s="32"/>
      <c r="I1107" s="10" t="str">
        <f t="shared" si="267"/>
        <v>21</v>
      </c>
      <c r="J1107" s="11">
        <v>1</v>
      </c>
      <c r="K1107" s="11"/>
      <c r="L1107" s="11"/>
      <c r="M1107" s="11">
        <f t="shared" si="256"/>
        <v>0</v>
      </c>
      <c r="N1107" s="11"/>
      <c r="O1107" s="11">
        <f t="shared" si="257"/>
        <v>0</v>
      </c>
      <c r="P1107" s="11"/>
      <c r="Q1107" s="11"/>
      <c r="R1107" s="11"/>
      <c r="S1107" s="11">
        <f t="shared" si="258"/>
        <v>0</v>
      </c>
      <c r="T1107" s="11">
        <f t="shared" si="259"/>
        <v>1666.6666666666667</v>
      </c>
      <c r="U1107" s="11">
        <f t="shared" si="260"/>
        <v>0</v>
      </c>
      <c r="V1107" s="24">
        <f t="shared" si="261"/>
        <v>0</v>
      </c>
      <c r="W1107" s="11">
        <f>IF(V1107&lt;=40000,0,
IF(V1107&lt;=55000,(V1107-40000)*10%,
IF(V1107&lt;=70000,(V1107-55000)*15%+1500,
IF(V1107&lt;=200000,(V1107-70000)*20%+1500+2250,
IF(V1107&lt;=400000,(V1107-200000)*22.5%+1500+2250+26000,
IF(V1107&lt;=600000,(V1107-400000)*25%+1500+2250+26000+45000,
IF(AND(V1107&gt;600000,V1107&lt;=1200000),(V1107-400000)*25%+1500+2250+26000+45000
+IFERROR(LOOKUP(V1107,{600001;700001;800001;900001},{4000;6750;10250;15250}),0),IF(V1107&gt;1200000,((V1107-1200000)*27.5%)+300000,0)
)))))))</f>
        <v>0</v>
      </c>
      <c r="X1107" s="12">
        <f t="shared" si="262"/>
        <v>0</v>
      </c>
      <c r="Y1107" s="12">
        <f t="shared" si="263"/>
        <v>0</v>
      </c>
      <c r="Z1107" s="11"/>
      <c r="AA1107" s="13">
        <f t="shared" si="264"/>
        <v>0</v>
      </c>
      <c r="AB1107" s="12">
        <f t="shared" si="265"/>
        <v>0</v>
      </c>
      <c r="AC1107" s="14">
        <f t="shared" si="268"/>
        <v>0</v>
      </c>
      <c r="AE1107" s="19">
        <f t="shared" si="266"/>
        <v>0</v>
      </c>
      <c r="AF1107" s="19"/>
      <c r="AG1107" s="17"/>
      <c r="AK1107" s="7"/>
      <c r="AL1107" s="108">
        <f t="shared" si="269"/>
        <v>0</v>
      </c>
      <c r="AM1107" s="108">
        <f t="shared" si="270"/>
        <v>0</v>
      </c>
      <c r="AN1107" s="113"/>
    </row>
    <row r="1108" spans="2:40" x14ac:dyDescent="0.2">
      <c r="B1108" s="7"/>
      <c r="C1108" s="8"/>
      <c r="D1108" s="8"/>
      <c r="E1108" s="9"/>
      <c r="F1108" s="6"/>
      <c r="G1108" s="8"/>
      <c r="H1108" s="32"/>
      <c r="I1108" s="10" t="str">
        <f t="shared" si="267"/>
        <v>21</v>
      </c>
      <c r="J1108" s="11">
        <v>1</v>
      </c>
      <c r="K1108" s="11"/>
      <c r="L1108" s="11"/>
      <c r="M1108" s="11">
        <f t="shared" si="256"/>
        <v>0</v>
      </c>
      <c r="N1108" s="11"/>
      <c r="O1108" s="11">
        <f t="shared" si="257"/>
        <v>0</v>
      </c>
      <c r="P1108" s="11"/>
      <c r="Q1108" s="11"/>
      <c r="R1108" s="11"/>
      <c r="S1108" s="11">
        <f t="shared" si="258"/>
        <v>0</v>
      </c>
      <c r="T1108" s="11">
        <f t="shared" si="259"/>
        <v>1666.6666666666667</v>
      </c>
      <c r="U1108" s="11">
        <f t="shared" si="260"/>
        <v>0</v>
      </c>
      <c r="V1108" s="24">
        <f t="shared" si="261"/>
        <v>0</v>
      </c>
      <c r="W1108" s="11">
        <f>IF(V1108&lt;=40000,0,
IF(V1108&lt;=55000,(V1108-40000)*10%,
IF(V1108&lt;=70000,(V1108-55000)*15%+1500,
IF(V1108&lt;=200000,(V1108-70000)*20%+1500+2250,
IF(V1108&lt;=400000,(V1108-200000)*22.5%+1500+2250+26000,
IF(V1108&lt;=600000,(V1108-400000)*25%+1500+2250+26000+45000,
IF(AND(V1108&gt;600000,V1108&lt;=1200000),(V1108-400000)*25%+1500+2250+26000+45000
+IFERROR(LOOKUP(V1108,{600001;700001;800001;900001},{4000;6750;10250;15250}),0),IF(V1108&gt;1200000,((V1108-1200000)*27.5%)+300000,0)
)))))))</f>
        <v>0</v>
      </c>
      <c r="X1108" s="12">
        <f t="shared" si="262"/>
        <v>0</v>
      </c>
      <c r="Y1108" s="12">
        <f t="shared" si="263"/>
        <v>0</v>
      </c>
      <c r="Z1108" s="11"/>
      <c r="AA1108" s="13">
        <f t="shared" si="264"/>
        <v>0</v>
      </c>
      <c r="AB1108" s="12">
        <f t="shared" si="265"/>
        <v>0</v>
      </c>
      <c r="AC1108" s="14">
        <f t="shared" si="268"/>
        <v>0</v>
      </c>
      <c r="AE1108" s="19">
        <f t="shared" si="266"/>
        <v>0</v>
      </c>
      <c r="AF1108" s="19"/>
      <c r="AG1108" s="17"/>
      <c r="AK1108" s="7"/>
      <c r="AL1108" s="108">
        <f t="shared" si="269"/>
        <v>0</v>
      </c>
      <c r="AM1108" s="108">
        <f t="shared" si="270"/>
        <v>0</v>
      </c>
      <c r="AN1108" s="113"/>
    </row>
    <row r="1109" spans="2:40" x14ac:dyDescent="0.2">
      <c r="B1109" s="7"/>
      <c r="C1109" s="8"/>
      <c r="D1109" s="8"/>
      <c r="E1109" s="9"/>
      <c r="F1109" s="6"/>
      <c r="G1109" s="8"/>
      <c r="H1109" s="32"/>
      <c r="I1109" s="10" t="str">
        <f t="shared" si="267"/>
        <v>21</v>
      </c>
      <c r="J1109" s="11">
        <v>1</v>
      </c>
      <c r="K1109" s="11"/>
      <c r="L1109" s="11"/>
      <c r="M1109" s="11">
        <f t="shared" si="256"/>
        <v>0</v>
      </c>
      <c r="N1109" s="11"/>
      <c r="O1109" s="11">
        <f t="shared" si="257"/>
        <v>0</v>
      </c>
      <c r="P1109" s="11"/>
      <c r="Q1109" s="11"/>
      <c r="R1109" s="11"/>
      <c r="S1109" s="11">
        <f t="shared" si="258"/>
        <v>0</v>
      </c>
      <c r="T1109" s="11">
        <f t="shared" si="259"/>
        <v>1666.6666666666667</v>
      </c>
      <c r="U1109" s="11">
        <f t="shared" si="260"/>
        <v>0</v>
      </c>
      <c r="V1109" s="24">
        <f t="shared" si="261"/>
        <v>0</v>
      </c>
      <c r="W1109" s="11">
        <f>IF(V1109&lt;=40000,0,
IF(V1109&lt;=55000,(V1109-40000)*10%,
IF(V1109&lt;=70000,(V1109-55000)*15%+1500,
IF(V1109&lt;=200000,(V1109-70000)*20%+1500+2250,
IF(V1109&lt;=400000,(V1109-200000)*22.5%+1500+2250+26000,
IF(V1109&lt;=600000,(V1109-400000)*25%+1500+2250+26000+45000,
IF(AND(V1109&gt;600000,V1109&lt;=1200000),(V1109-400000)*25%+1500+2250+26000+45000
+IFERROR(LOOKUP(V1109,{600001;700001;800001;900001},{4000;6750;10250;15250}),0),IF(V1109&gt;1200000,((V1109-1200000)*27.5%)+300000,0)
)))))))</f>
        <v>0</v>
      </c>
      <c r="X1109" s="12">
        <f t="shared" si="262"/>
        <v>0</v>
      </c>
      <c r="Y1109" s="12">
        <f t="shared" si="263"/>
        <v>0</v>
      </c>
      <c r="Z1109" s="11"/>
      <c r="AA1109" s="13">
        <f t="shared" si="264"/>
        <v>0</v>
      </c>
      <c r="AB1109" s="12">
        <f t="shared" si="265"/>
        <v>0</v>
      </c>
      <c r="AC1109" s="14">
        <f t="shared" si="268"/>
        <v>0</v>
      </c>
      <c r="AE1109" s="19">
        <f t="shared" si="266"/>
        <v>0</v>
      </c>
      <c r="AF1109" s="19"/>
      <c r="AG1109" s="17"/>
      <c r="AK1109" s="7"/>
      <c r="AL1109" s="108">
        <f t="shared" si="269"/>
        <v>0</v>
      </c>
      <c r="AM1109" s="108">
        <f t="shared" si="270"/>
        <v>0</v>
      </c>
      <c r="AN1109" s="113"/>
    </row>
    <row r="1110" spans="2:40" x14ac:dyDescent="0.2">
      <c r="B1110" s="7"/>
      <c r="C1110" s="8"/>
      <c r="D1110" s="8"/>
      <c r="E1110" s="9"/>
      <c r="F1110" s="6"/>
      <c r="G1110" s="8"/>
      <c r="H1110" s="32"/>
      <c r="I1110" s="10" t="str">
        <f t="shared" si="267"/>
        <v>21</v>
      </c>
      <c r="J1110" s="11">
        <v>1</v>
      </c>
      <c r="K1110" s="11"/>
      <c r="L1110" s="11"/>
      <c r="M1110" s="11">
        <f t="shared" si="256"/>
        <v>0</v>
      </c>
      <c r="N1110" s="11"/>
      <c r="O1110" s="11">
        <f t="shared" si="257"/>
        <v>0</v>
      </c>
      <c r="P1110" s="11"/>
      <c r="Q1110" s="11"/>
      <c r="R1110" s="11"/>
      <c r="S1110" s="11">
        <f t="shared" si="258"/>
        <v>0</v>
      </c>
      <c r="T1110" s="11">
        <f t="shared" si="259"/>
        <v>1666.6666666666667</v>
      </c>
      <c r="U1110" s="11">
        <f t="shared" si="260"/>
        <v>0</v>
      </c>
      <c r="V1110" s="24">
        <f t="shared" si="261"/>
        <v>0</v>
      </c>
      <c r="W1110" s="11">
        <f>IF(V1110&lt;=40000,0,
IF(V1110&lt;=55000,(V1110-40000)*10%,
IF(V1110&lt;=70000,(V1110-55000)*15%+1500,
IF(V1110&lt;=200000,(V1110-70000)*20%+1500+2250,
IF(V1110&lt;=400000,(V1110-200000)*22.5%+1500+2250+26000,
IF(V1110&lt;=600000,(V1110-400000)*25%+1500+2250+26000+45000,
IF(AND(V1110&gt;600000,V1110&lt;=1200000),(V1110-400000)*25%+1500+2250+26000+45000
+IFERROR(LOOKUP(V1110,{600001;700001;800001;900001},{4000;6750;10250;15250}),0),IF(V1110&gt;1200000,((V1110-1200000)*27.5%)+300000,0)
)))))))</f>
        <v>0</v>
      </c>
      <c r="X1110" s="12">
        <f t="shared" si="262"/>
        <v>0</v>
      </c>
      <c r="Y1110" s="12">
        <f t="shared" si="263"/>
        <v>0</v>
      </c>
      <c r="Z1110" s="11"/>
      <c r="AA1110" s="13">
        <f t="shared" si="264"/>
        <v>0</v>
      </c>
      <c r="AB1110" s="12">
        <f t="shared" si="265"/>
        <v>0</v>
      </c>
      <c r="AC1110" s="14">
        <f t="shared" si="268"/>
        <v>0</v>
      </c>
      <c r="AE1110" s="19">
        <f t="shared" si="266"/>
        <v>0</v>
      </c>
      <c r="AF1110" s="19"/>
      <c r="AG1110" s="17"/>
      <c r="AK1110" s="7"/>
      <c r="AL1110" s="108">
        <f t="shared" si="269"/>
        <v>0</v>
      </c>
      <c r="AM1110" s="108">
        <f t="shared" si="270"/>
        <v>0</v>
      </c>
      <c r="AN1110" s="113"/>
    </row>
    <row r="1111" spans="2:40" x14ac:dyDescent="0.2">
      <c r="B1111" s="7"/>
      <c r="C1111" s="8"/>
      <c r="D1111" s="8"/>
      <c r="E1111" s="9"/>
      <c r="F1111" s="6"/>
      <c r="G1111" s="8"/>
      <c r="H1111" s="32"/>
      <c r="I1111" s="10" t="str">
        <f t="shared" si="267"/>
        <v>21</v>
      </c>
      <c r="J1111" s="11">
        <v>1</v>
      </c>
      <c r="K1111" s="11"/>
      <c r="L1111" s="11"/>
      <c r="M1111" s="11">
        <f t="shared" si="256"/>
        <v>0</v>
      </c>
      <c r="N1111" s="11"/>
      <c r="O1111" s="11">
        <f t="shared" si="257"/>
        <v>0</v>
      </c>
      <c r="P1111" s="11"/>
      <c r="Q1111" s="11"/>
      <c r="R1111" s="11"/>
      <c r="S1111" s="11">
        <f t="shared" si="258"/>
        <v>0</v>
      </c>
      <c r="T1111" s="11">
        <f t="shared" si="259"/>
        <v>1666.6666666666667</v>
      </c>
      <c r="U1111" s="11">
        <f t="shared" si="260"/>
        <v>0</v>
      </c>
      <c r="V1111" s="24">
        <f t="shared" si="261"/>
        <v>0</v>
      </c>
      <c r="W1111" s="11">
        <f>IF(V1111&lt;=40000,0,
IF(V1111&lt;=55000,(V1111-40000)*10%,
IF(V1111&lt;=70000,(V1111-55000)*15%+1500,
IF(V1111&lt;=200000,(V1111-70000)*20%+1500+2250,
IF(V1111&lt;=400000,(V1111-200000)*22.5%+1500+2250+26000,
IF(V1111&lt;=600000,(V1111-400000)*25%+1500+2250+26000+45000,
IF(AND(V1111&gt;600000,V1111&lt;=1200000),(V1111-400000)*25%+1500+2250+26000+45000
+IFERROR(LOOKUP(V1111,{600001;700001;800001;900001},{4000;6750;10250;15250}),0),IF(V1111&gt;1200000,((V1111-1200000)*27.5%)+300000,0)
)))))))</f>
        <v>0</v>
      </c>
      <c r="X1111" s="12">
        <f t="shared" si="262"/>
        <v>0</v>
      </c>
      <c r="Y1111" s="12">
        <f t="shared" si="263"/>
        <v>0</v>
      </c>
      <c r="Z1111" s="11"/>
      <c r="AA1111" s="13">
        <f t="shared" si="264"/>
        <v>0</v>
      </c>
      <c r="AB1111" s="12">
        <f t="shared" si="265"/>
        <v>0</v>
      </c>
      <c r="AC1111" s="14">
        <f t="shared" si="268"/>
        <v>0</v>
      </c>
      <c r="AE1111" s="19">
        <f t="shared" si="266"/>
        <v>0</v>
      </c>
      <c r="AF1111" s="19"/>
      <c r="AG1111" s="17"/>
      <c r="AK1111" s="7"/>
      <c r="AL1111" s="108">
        <f t="shared" si="269"/>
        <v>0</v>
      </c>
      <c r="AM1111" s="108">
        <f t="shared" si="270"/>
        <v>0</v>
      </c>
      <c r="AN1111" s="113"/>
    </row>
    <row r="1112" spans="2:40" x14ac:dyDescent="0.2">
      <c r="B1112" s="7"/>
      <c r="C1112" s="8"/>
      <c r="D1112" s="8"/>
      <c r="E1112" s="9"/>
      <c r="F1112" s="6"/>
      <c r="G1112" s="8"/>
      <c r="H1112" s="32"/>
      <c r="I1112" s="10" t="str">
        <f t="shared" si="267"/>
        <v>21</v>
      </c>
      <c r="J1112" s="11">
        <v>1</v>
      </c>
      <c r="K1112" s="11"/>
      <c r="L1112" s="11"/>
      <c r="M1112" s="11">
        <f t="shared" si="256"/>
        <v>0</v>
      </c>
      <c r="N1112" s="11"/>
      <c r="O1112" s="11">
        <f t="shared" si="257"/>
        <v>0</v>
      </c>
      <c r="P1112" s="11"/>
      <c r="Q1112" s="11"/>
      <c r="R1112" s="11"/>
      <c r="S1112" s="11">
        <f t="shared" si="258"/>
        <v>0</v>
      </c>
      <c r="T1112" s="11">
        <f t="shared" si="259"/>
        <v>1666.6666666666667</v>
      </c>
      <c r="U1112" s="11">
        <f t="shared" si="260"/>
        <v>0</v>
      </c>
      <c r="V1112" s="24">
        <f t="shared" si="261"/>
        <v>0</v>
      </c>
      <c r="W1112" s="11">
        <f>IF(V1112&lt;=40000,0,
IF(V1112&lt;=55000,(V1112-40000)*10%,
IF(V1112&lt;=70000,(V1112-55000)*15%+1500,
IF(V1112&lt;=200000,(V1112-70000)*20%+1500+2250,
IF(V1112&lt;=400000,(V1112-200000)*22.5%+1500+2250+26000,
IF(V1112&lt;=600000,(V1112-400000)*25%+1500+2250+26000+45000,
IF(AND(V1112&gt;600000,V1112&lt;=1200000),(V1112-400000)*25%+1500+2250+26000+45000
+IFERROR(LOOKUP(V1112,{600001;700001;800001;900001},{4000;6750;10250;15250}),0),IF(V1112&gt;1200000,((V1112-1200000)*27.5%)+300000,0)
)))))))</f>
        <v>0</v>
      </c>
      <c r="X1112" s="12">
        <f t="shared" si="262"/>
        <v>0</v>
      </c>
      <c r="Y1112" s="12">
        <f t="shared" si="263"/>
        <v>0</v>
      </c>
      <c r="Z1112" s="11"/>
      <c r="AA1112" s="13">
        <f t="shared" si="264"/>
        <v>0</v>
      </c>
      <c r="AB1112" s="12">
        <f t="shared" si="265"/>
        <v>0</v>
      </c>
      <c r="AC1112" s="14">
        <f t="shared" si="268"/>
        <v>0</v>
      </c>
      <c r="AE1112" s="19">
        <f t="shared" si="266"/>
        <v>0</v>
      </c>
      <c r="AF1112" s="19"/>
      <c r="AG1112" s="17"/>
      <c r="AK1112" s="7"/>
      <c r="AL1112" s="108">
        <f t="shared" si="269"/>
        <v>0</v>
      </c>
      <c r="AM1112" s="108">
        <f t="shared" si="270"/>
        <v>0</v>
      </c>
      <c r="AN1112" s="113"/>
    </row>
    <row r="1113" spans="2:40" x14ac:dyDescent="0.2">
      <c r="B1113" s="7"/>
      <c r="C1113" s="8"/>
      <c r="D1113" s="8"/>
      <c r="E1113" s="9"/>
      <c r="F1113" s="6"/>
      <c r="G1113" s="8"/>
      <c r="H1113" s="32"/>
      <c r="I1113" s="10" t="str">
        <f t="shared" si="267"/>
        <v>21</v>
      </c>
      <c r="J1113" s="11">
        <v>1</v>
      </c>
      <c r="K1113" s="11"/>
      <c r="L1113" s="11"/>
      <c r="M1113" s="11">
        <f t="shared" si="256"/>
        <v>0</v>
      </c>
      <c r="N1113" s="11"/>
      <c r="O1113" s="11">
        <f t="shared" si="257"/>
        <v>0</v>
      </c>
      <c r="P1113" s="11"/>
      <c r="Q1113" s="11"/>
      <c r="R1113" s="11"/>
      <c r="S1113" s="11">
        <f t="shared" si="258"/>
        <v>0</v>
      </c>
      <c r="T1113" s="11">
        <f t="shared" si="259"/>
        <v>1666.6666666666667</v>
      </c>
      <c r="U1113" s="11">
        <f t="shared" si="260"/>
        <v>0</v>
      </c>
      <c r="V1113" s="24">
        <f t="shared" si="261"/>
        <v>0</v>
      </c>
      <c r="W1113" s="11">
        <f>IF(V1113&lt;=40000,0,
IF(V1113&lt;=55000,(V1113-40000)*10%,
IF(V1113&lt;=70000,(V1113-55000)*15%+1500,
IF(V1113&lt;=200000,(V1113-70000)*20%+1500+2250,
IF(V1113&lt;=400000,(V1113-200000)*22.5%+1500+2250+26000,
IF(V1113&lt;=600000,(V1113-400000)*25%+1500+2250+26000+45000,
IF(AND(V1113&gt;600000,V1113&lt;=1200000),(V1113-400000)*25%+1500+2250+26000+45000
+IFERROR(LOOKUP(V1113,{600001;700001;800001;900001},{4000;6750;10250;15250}),0),IF(V1113&gt;1200000,((V1113-1200000)*27.5%)+300000,0)
)))))))</f>
        <v>0</v>
      </c>
      <c r="X1113" s="12">
        <f t="shared" si="262"/>
        <v>0</v>
      </c>
      <c r="Y1113" s="12">
        <f t="shared" si="263"/>
        <v>0</v>
      </c>
      <c r="Z1113" s="11"/>
      <c r="AA1113" s="13">
        <f t="shared" si="264"/>
        <v>0</v>
      </c>
      <c r="AB1113" s="12">
        <f t="shared" si="265"/>
        <v>0</v>
      </c>
      <c r="AC1113" s="14">
        <f t="shared" si="268"/>
        <v>0</v>
      </c>
      <c r="AE1113" s="19">
        <f t="shared" si="266"/>
        <v>0</v>
      </c>
      <c r="AF1113" s="19"/>
      <c r="AG1113" s="17"/>
      <c r="AK1113" s="7"/>
      <c r="AL1113" s="108">
        <f t="shared" si="269"/>
        <v>0</v>
      </c>
      <c r="AM1113" s="108">
        <f t="shared" si="270"/>
        <v>0</v>
      </c>
      <c r="AN1113" s="113"/>
    </row>
    <row r="1114" spans="2:40" x14ac:dyDescent="0.2">
      <c r="B1114" s="7"/>
      <c r="C1114" s="8"/>
      <c r="D1114" s="8"/>
      <c r="E1114" s="9"/>
      <c r="F1114" s="6"/>
      <c r="G1114" s="8"/>
      <c r="H1114" s="32"/>
      <c r="I1114" s="10" t="str">
        <f t="shared" si="267"/>
        <v>21</v>
      </c>
      <c r="J1114" s="11">
        <v>1</v>
      </c>
      <c r="K1114" s="11"/>
      <c r="L1114" s="11"/>
      <c r="M1114" s="11">
        <f t="shared" si="256"/>
        <v>0</v>
      </c>
      <c r="N1114" s="11"/>
      <c r="O1114" s="11">
        <f t="shared" si="257"/>
        <v>0</v>
      </c>
      <c r="P1114" s="11"/>
      <c r="Q1114" s="11"/>
      <c r="R1114" s="11"/>
      <c r="S1114" s="11">
        <f t="shared" si="258"/>
        <v>0</v>
      </c>
      <c r="T1114" s="11">
        <f t="shared" si="259"/>
        <v>1666.6666666666667</v>
      </c>
      <c r="U1114" s="11">
        <f t="shared" si="260"/>
        <v>0</v>
      </c>
      <c r="V1114" s="24">
        <f t="shared" si="261"/>
        <v>0</v>
      </c>
      <c r="W1114" s="11">
        <f>IF(V1114&lt;=40000,0,
IF(V1114&lt;=55000,(V1114-40000)*10%,
IF(V1114&lt;=70000,(V1114-55000)*15%+1500,
IF(V1114&lt;=200000,(V1114-70000)*20%+1500+2250,
IF(V1114&lt;=400000,(V1114-200000)*22.5%+1500+2250+26000,
IF(V1114&lt;=600000,(V1114-400000)*25%+1500+2250+26000+45000,
IF(AND(V1114&gt;600000,V1114&lt;=1200000),(V1114-400000)*25%+1500+2250+26000+45000
+IFERROR(LOOKUP(V1114,{600001;700001;800001;900001},{4000;6750;10250;15250}),0),IF(V1114&gt;1200000,((V1114-1200000)*27.5%)+300000,0)
)))))))</f>
        <v>0</v>
      </c>
      <c r="X1114" s="12">
        <f t="shared" si="262"/>
        <v>0</v>
      </c>
      <c r="Y1114" s="12">
        <f t="shared" si="263"/>
        <v>0</v>
      </c>
      <c r="Z1114" s="11"/>
      <c r="AA1114" s="13">
        <f t="shared" si="264"/>
        <v>0</v>
      </c>
      <c r="AB1114" s="12">
        <f t="shared" si="265"/>
        <v>0</v>
      </c>
      <c r="AC1114" s="14">
        <f t="shared" si="268"/>
        <v>0</v>
      </c>
      <c r="AE1114" s="19">
        <f t="shared" si="266"/>
        <v>0</v>
      </c>
      <c r="AF1114" s="19"/>
      <c r="AG1114" s="17"/>
      <c r="AK1114" s="7"/>
      <c r="AL1114" s="108">
        <f t="shared" si="269"/>
        <v>0</v>
      </c>
      <c r="AM1114" s="108">
        <f t="shared" si="270"/>
        <v>0</v>
      </c>
      <c r="AN1114" s="113"/>
    </row>
    <row r="1115" spans="2:40" x14ac:dyDescent="0.2">
      <c r="B1115" s="7"/>
      <c r="C1115" s="8"/>
      <c r="D1115" s="8"/>
      <c r="E1115" s="9"/>
      <c r="F1115" s="6"/>
      <c r="G1115" s="8"/>
      <c r="H1115" s="32"/>
      <c r="I1115" s="10" t="str">
        <f t="shared" si="267"/>
        <v>21</v>
      </c>
      <c r="J1115" s="11">
        <v>1</v>
      </c>
      <c r="K1115" s="11"/>
      <c r="L1115" s="11"/>
      <c r="M1115" s="11">
        <f t="shared" si="256"/>
        <v>0</v>
      </c>
      <c r="N1115" s="11"/>
      <c r="O1115" s="11">
        <f t="shared" si="257"/>
        <v>0</v>
      </c>
      <c r="P1115" s="11"/>
      <c r="Q1115" s="11"/>
      <c r="R1115" s="11"/>
      <c r="S1115" s="11">
        <f t="shared" si="258"/>
        <v>0</v>
      </c>
      <c r="T1115" s="11">
        <f t="shared" si="259"/>
        <v>1666.6666666666667</v>
      </c>
      <c r="U1115" s="11">
        <f t="shared" si="260"/>
        <v>0</v>
      </c>
      <c r="V1115" s="24">
        <f t="shared" si="261"/>
        <v>0</v>
      </c>
      <c r="W1115" s="11">
        <f>IF(V1115&lt;=40000,0,
IF(V1115&lt;=55000,(V1115-40000)*10%,
IF(V1115&lt;=70000,(V1115-55000)*15%+1500,
IF(V1115&lt;=200000,(V1115-70000)*20%+1500+2250,
IF(V1115&lt;=400000,(V1115-200000)*22.5%+1500+2250+26000,
IF(V1115&lt;=600000,(V1115-400000)*25%+1500+2250+26000+45000,
IF(AND(V1115&gt;600000,V1115&lt;=1200000),(V1115-400000)*25%+1500+2250+26000+45000
+IFERROR(LOOKUP(V1115,{600001;700001;800001;900001},{4000;6750;10250;15250}),0),IF(V1115&gt;1200000,((V1115-1200000)*27.5%)+300000,0)
)))))))</f>
        <v>0</v>
      </c>
      <c r="X1115" s="12">
        <f t="shared" si="262"/>
        <v>0</v>
      </c>
      <c r="Y1115" s="12">
        <f t="shared" si="263"/>
        <v>0</v>
      </c>
      <c r="Z1115" s="11"/>
      <c r="AA1115" s="13">
        <f t="shared" si="264"/>
        <v>0</v>
      </c>
      <c r="AB1115" s="12">
        <f t="shared" si="265"/>
        <v>0</v>
      </c>
      <c r="AC1115" s="14">
        <f t="shared" si="268"/>
        <v>0</v>
      </c>
      <c r="AE1115" s="19">
        <f t="shared" si="266"/>
        <v>0</v>
      </c>
      <c r="AF1115" s="19"/>
      <c r="AG1115" s="17"/>
      <c r="AK1115" s="7"/>
      <c r="AL1115" s="108">
        <f t="shared" si="269"/>
        <v>0</v>
      </c>
      <c r="AM1115" s="108">
        <f t="shared" si="270"/>
        <v>0</v>
      </c>
      <c r="AN1115" s="113"/>
    </row>
    <row r="1116" spans="2:40" x14ac:dyDescent="0.2">
      <c r="B1116" s="7"/>
      <c r="C1116" s="8"/>
      <c r="D1116" s="8"/>
      <c r="E1116" s="9"/>
      <c r="F1116" s="6"/>
      <c r="G1116" s="8"/>
      <c r="H1116" s="32"/>
      <c r="I1116" s="10" t="str">
        <f t="shared" si="267"/>
        <v>21</v>
      </c>
      <c r="J1116" s="11">
        <v>1</v>
      </c>
      <c r="K1116" s="11"/>
      <c r="L1116" s="11"/>
      <c r="M1116" s="11">
        <f t="shared" si="256"/>
        <v>0</v>
      </c>
      <c r="N1116" s="11"/>
      <c r="O1116" s="11">
        <f t="shared" si="257"/>
        <v>0</v>
      </c>
      <c r="P1116" s="11"/>
      <c r="Q1116" s="11"/>
      <c r="R1116" s="11"/>
      <c r="S1116" s="11">
        <f t="shared" si="258"/>
        <v>0</v>
      </c>
      <c r="T1116" s="11">
        <f t="shared" si="259"/>
        <v>1666.6666666666667</v>
      </c>
      <c r="U1116" s="11">
        <f t="shared" si="260"/>
        <v>0</v>
      </c>
      <c r="V1116" s="24">
        <f t="shared" si="261"/>
        <v>0</v>
      </c>
      <c r="W1116" s="11">
        <f>IF(V1116&lt;=40000,0,
IF(V1116&lt;=55000,(V1116-40000)*10%,
IF(V1116&lt;=70000,(V1116-55000)*15%+1500,
IF(V1116&lt;=200000,(V1116-70000)*20%+1500+2250,
IF(V1116&lt;=400000,(V1116-200000)*22.5%+1500+2250+26000,
IF(V1116&lt;=600000,(V1116-400000)*25%+1500+2250+26000+45000,
IF(AND(V1116&gt;600000,V1116&lt;=1200000),(V1116-400000)*25%+1500+2250+26000+45000
+IFERROR(LOOKUP(V1116,{600001;700001;800001;900001},{4000;6750;10250;15250}),0),IF(V1116&gt;1200000,((V1116-1200000)*27.5%)+300000,0)
)))))))</f>
        <v>0</v>
      </c>
      <c r="X1116" s="12">
        <f t="shared" si="262"/>
        <v>0</v>
      </c>
      <c r="Y1116" s="12">
        <f t="shared" si="263"/>
        <v>0</v>
      </c>
      <c r="Z1116" s="11"/>
      <c r="AA1116" s="13">
        <f t="shared" si="264"/>
        <v>0</v>
      </c>
      <c r="AB1116" s="12">
        <f t="shared" si="265"/>
        <v>0</v>
      </c>
      <c r="AC1116" s="14">
        <f t="shared" si="268"/>
        <v>0</v>
      </c>
      <c r="AE1116" s="19">
        <f t="shared" si="266"/>
        <v>0</v>
      </c>
      <c r="AF1116" s="19"/>
      <c r="AG1116" s="17"/>
      <c r="AK1116" s="7"/>
      <c r="AL1116" s="108">
        <f t="shared" si="269"/>
        <v>0</v>
      </c>
      <c r="AM1116" s="108">
        <f t="shared" si="270"/>
        <v>0</v>
      </c>
      <c r="AN1116" s="113"/>
    </row>
    <row r="1117" spans="2:40" x14ac:dyDescent="0.2">
      <c r="B1117" s="7"/>
      <c r="C1117" s="8"/>
      <c r="D1117" s="8"/>
      <c r="E1117" s="9"/>
      <c r="F1117" s="6"/>
      <c r="G1117" s="8"/>
      <c r="H1117" s="32"/>
      <c r="I1117" s="10" t="str">
        <f t="shared" si="267"/>
        <v>21</v>
      </c>
      <c r="J1117" s="11">
        <v>1</v>
      </c>
      <c r="K1117" s="11"/>
      <c r="L1117" s="11"/>
      <c r="M1117" s="11">
        <f t="shared" ref="M1117:M1180" si="271">SUM(K1117:L1117)</f>
        <v>0</v>
      </c>
      <c r="N1117" s="11"/>
      <c r="O1117" s="11">
        <f t="shared" ref="O1117:O1180" si="272">+N1117+M1117</f>
        <v>0</v>
      </c>
      <c r="P1117" s="11"/>
      <c r="Q1117" s="11"/>
      <c r="R1117" s="11"/>
      <c r="S1117" s="11">
        <f t="shared" ref="S1117:S1180" si="273">O1117-P1117-Q1117-R1117</f>
        <v>0</v>
      </c>
      <c r="T1117" s="11">
        <f t="shared" ref="T1117:T1180" si="274">IF(J1117&gt;0,(20000/12*J1117),0)</f>
        <v>1666.6666666666667</v>
      </c>
      <c r="U1117" s="11">
        <f t="shared" ref="U1117:U1180" si="275">IF(AND(J1117&gt;0,S1117-T1117&gt;0),S1117-T1117,0)</f>
        <v>0</v>
      </c>
      <c r="V1117" s="24">
        <f t="shared" ref="V1117:V1180" si="276">IF(J1117=0,0,(U1117/J1117*12))</f>
        <v>0</v>
      </c>
      <c r="W1117" s="11">
        <f>IF(V1117&lt;=40000,0,
IF(V1117&lt;=55000,(V1117-40000)*10%,
IF(V1117&lt;=70000,(V1117-55000)*15%+1500,
IF(V1117&lt;=200000,(V1117-70000)*20%+1500+2250,
IF(V1117&lt;=400000,(V1117-200000)*22.5%+1500+2250+26000,
IF(V1117&lt;=600000,(V1117-400000)*25%+1500+2250+26000+45000,
IF(AND(V1117&gt;600000,V1117&lt;=1200000),(V1117-400000)*25%+1500+2250+26000+45000
+IFERROR(LOOKUP(V1117,{600001;700001;800001;900001},{4000;6750;10250;15250}),0),IF(V1117&gt;1200000,((V1117-1200000)*27.5%)+300000,0)
)))))))</f>
        <v>0</v>
      </c>
      <c r="X1117" s="12">
        <f t="shared" ref="X1117:X1180" si="277">N1117*0.1</f>
        <v>0</v>
      </c>
      <c r="Y1117" s="12">
        <f t="shared" ref="Y1117:Y1180" si="278">(W1117/12*J1117)-X1117</f>
        <v>0</v>
      </c>
      <c r="Z1117" s="11"/>
      <c r="AA1117" s="13">
        <f t="shared" ref="AA1117:AA1180" si="279">+O1117-P1117-Y1117-Z1117</f>
        <v>0</v>
      </c>
      <c r="AB1117" s="12">
        <f t="shared" ref="AB1117:AB1180" si="280">(P1117/0.11)*18.75%</f>
        <v>0</v>
      </c>
      <c r="AC1117" s="14">
        <f t="shared" si="268"/>
        <v>0</v>
      </c>
      <c r="AE1117" s="19">
        <f t="shared" ref="AE1117:AE1180" si="281">+AD1117-AC1117</f>
        <v>0</v>
      </c>
      <c r="AF1117" s="19"/>
      <c r="AG1117" s="17"/>
      <c r="AK1117" s="7"/>
      <c r="AL1117" s="108">
        <f t="shared" si="269"/>
        <v>0</v>
      </c>
      <c r="AM1117" s="108">
        <f t="shared" si="270"/>
        <v>0</v>
      </c>
      <c r="AN1117" s="113"/>
    </row>
    <row r="1118" spans="2:40" x14ac:dyDescent="0.2">
      <c r="B1118" s="7"/>
      <c r="C1118" s="8"/>
      <c r="D1118" s="8"/>
      <c r="E1118" s="9"/>
      <c r="F1118" s="6"/>
      <c r="G1118" s="8"/>
      <c r="H1118" s="32"/>
      <c r="I1118" s="10" t="str">
        <f t="shared" si="267"/>
        <v>21</v>
      </c>
      <c r="J1118" s="11">
        <v>1</v>
      </c>
      <c r="K1118" s="11"/>
      <c r="L1118" s="11"/>
      <c r="M1118" s="11">
        <f t="shared" si="271"/>
        <v>0</v>
      </c>
      <c r="N1118" s="11"/>
      <c r="O1118" s="11">
        <f t="shared" si="272"/>
        <v>0</v>
      </c>
      <c r="P1118" s="11"/>
      <c r="Q1118" s="11"/>
      <c r="R1118" s="11"/>
      <c r="S1118" s="11">
        <f t="shared" si="273"/>
        <v>0</v>
      </c>
      <c r="T1118" s="11">
        <f t="shared" si="274"/>
        <v>1666.6666666666667</v>
      </c>
      <c r="U1118" s="11">
        <f t="shared" si="275"/>
        <v>0</v>
      </c>
      <c r="V1118" s="24">
        <f t="shared" si="276"/>
        <v>0</v>
      </c>
      <c r="W1118" s="11">
        <f>IF(V1118&lt;=40000,0,
IF(V1118&lt;=55000,(V1118-40000)*10%,
IF(V1118&lt;=70000,(V1118-55000)*15%+1500,
IF(V1118&lt;=200000,(V1118-70000)*20%+1500+2250,
IF(V1118&lt;=400000,(V1118-200000)*22.5%+1500+2250+26000,
IF(V1118&lt;=600000,(V1118-400000)*25%+1500+2250+26000+45000,
IF(AND(V1118&gt;600000,V1118&lt;=1200000),(V1118-400000)*25%+1500+2250+26000+45000
+IFERROR(LOOKUP(V1118,{600001;700001;800001;900001},{4000;6750;10250;15250}),0),IF(V1118&gt;1200000,((V1118-1200000)*27.5%)+300000,0)
)))))))</f>
        <v>0</v>
      </c>
      <c r="X1118" s="12">
        <f t="shared" si="277"/>
        <v>0</v>
      </c>
      <c r="Y1118" s="12">
        <f t="shared" si="278"/>
        <v>0</v>
      </c>
      <c r="Z1118" s="11"/>
      <c r="AA1118" s="13">
        <f t="shared" si="279"/>
        <v>0</v>
      </c>
      <c r="AB1118" s="12">
        <f t="shared" si="280"/>
        <v>0</v>
      </c>
      <c r="AC1118" s="14">
        <f t="shared" si="268"/>
        <v>0</v>
      </c>
      <c r="AE1118" s="19">
        <f t="shared" si="281"/>
        <v>0</v>
      </c>
      <c r="AF1118" s="19"/>
      <c r="AG1118" s="17"/>
      <c r="AK1118" s="7"/>
      <c r="AL1118" s="108">
        <f t="shared" si="269"/>
        <v>0</v>
      </c>
      <c r="AM1118" s="108">
        <f t="shared" si="270"/>
        <v>0</v>
      </c>
      <c r="AN1118" s="113"/>
    </row>
    <row r="1119" spans="2:40" x14ac:dyDescent="0.2">
      <c r="B1119" s="7"/>
      <c r="C1119" s="8"/>
      <c r="D1119" s="8"/>
      <c r="E1119" s="9"/>
      <c r="F1119" s="6"/>
      <c r="G1119" s="8"/>
      <c r="H1119" s="32"/>
      <c r="I1119" s="10" t="str">
        <f t="shared" si="267"/>
        <v>21</v>
      </c>
      <c r="J1119" s="11">
        <v>1</v>
      </c>
      <c r="K1119" s="11"/>
      <c r="L1119" s="11"/>
      <c r="M1119" s="11">
        <f t="shared" si="271"/>
        <v>0</v>
      </c>
      <c r="N1119" s="11"/>
      <c r="O1119" s="11">
        <f t="shared" si="272"/>
        <v>0</v>
      </c>
      <c r="P1119" s="11"/>
      <c r="Q1119" s="11"/>
      <c r="R1119" s="11"/>
      <c r="S1119" s="11">
        <f t="shared" si="273"/>
        <v>0</v>
      </c>
      <c r="T1119" s="11">
        <f t="shared" si="274"/>
        <v>1666.6666666666667</v>
      </c>
      <c r="U1119" s="11">
        <f t="shared" si="275"/>
        <v>0</v>
      </c>
      <c r="V1119" s="24">
        <f t="shared" si="276"/>
        <v>0</v>
      </c>
      <c r="W1119" s="11">
        <f>IF(V1119&lt;=40000,0,
IF(V1119&lt;=55000,(V1119-40000)*10%,
IF(V1119&lt;=70000,(V1119-55000)*15%+1500,
IF(V1119&lt;=200000,(V1119-70000)*20%+1500+2250,
IF(V1119&lt;=400000,(V1119-200000)*22.5%+1500+2250+26000,
IF(V1119&lt;=600000,(V1119-400000)*25%+1500+2250+26000+45000,
IF(AND(V1119&gt;600000,V1119&lt;=1200000),(V1119-400000)*25%+1500+2250+26000+45000
+IFERROR(LOOKUP(V1119,{600001;700001;800001;900001},{4000;6750;10250;15250}),0),IF(V1119&gt;1200000,((V1119-1200000)*27.5%)+300000,0)
)))))))</f>
        <v>0</v>
      </c>
      <c r="X1119" s="12">
        <f t="shared" si="277"/>
        <v>0</v>
      </c>
      <c r="Y1119" s="12">
        <f t="shared" si="278"/>
        <v>0</v>
      </c>
      <c r="Z1119" s="11"/>
      <c r="AA1119" s="13">
        <f t="shared" si="279"/>
        <v>0</v>
      </c>
      <c r="AB1119" s="12">
        <f t="shared" si="280"/>
        <v>0</v>
      </c>
      <c r="AC1119" s="14">
        <f t="shared" si="268"/>
        <v>0</v>
      </c>
      <c r="AE1119" s="19">
        <f t="shared" si="281"/>
        <v>0</v>
      </c>
      <c r="AF1119" s="19"/>
      <c r="AG1119" s="17"/>
      <c r="AK1119" s="7"/>
      <c r="AL1119" s="108">
        <f t="shared" si="269"/>
        <v>0</v>
      </c>
      <c r="AM1119" s="108">
        <f t="shared" si="270"/>
        <v>0</v>
      </c>
      <c r="AN1119" s="113"/>
    </row>
    <row r="1120" spans="2:40" x14ac:dyDescent="0.2">
      <c r="B1120" s="7"/>
      <c r="C1120" s="8"/>
      <c r="D1120" s="8"/>
      <c r="E1120" s="9"/>
      <c r="F1120" s="6"/>
      <c r="G1120" s="8"/>
      <c r="H1120" s="32"/>
      <c r="I1120" s="10" t="str">
        <f t="shared" si="267"/>
        <v>21</v>
      </c>
      <c r="J1120" s="11">
        <v>1</v>
      </c>
      <c r="K1120" s="11"/>
      <c r="L1120" s="11"/>
      <c r="M1120" s="11">
        <f t="shared" si="271"/>
        <v>0</v>
      </c>
      <c r="N1120" s="11"/>
      <c r="O1120" s="11">
        <f t="shared" si="272"/>
        <v>0</v>
      </c>
      <c r="P1120" s="11"/>
      <c r="Q1120" s="11"/>
      <c r="R1120" s="11"/>
      <c r="S1120" s="11">
        <f t="shared" si="273"/>
        <v>0</v>
      </c>
      <c r="T1120" s="11">
        <f t="shared" si="274"/>
        <v>1666.6666666666667</v>
      </c>
      <c r="U1120" s="11">
        <f t="shared" si="275"/>
        <v>0</v>
      </c>
      <c r="V1120" s="24">
        <f t="shared" si="276"/>
        <v>0</v>
      </c>
      <c r="W1120" s="11">
        <f>IF(V1120&lt;=40000,0,
IF(V1120&lt;=55000,(V1120-40000)*10%,
IF(V1120&lt;=70000,(V1120-55000)*15%+1500,
IF(V1120&lt;=200000,(V1120-70000)*20%+1500+2250,
IF(V1120&lt;=400000,(V1120-200000)*22.5%+1500+2250+26000,
IF(V1120&lt;=600000,(V1120-400000)*25%+1500+2250+26000+45000,
IF(AND(V1120&gt;600000,V1120&lt;=1200000),(V1120-400000)*25%+1500+2250+26000+45000
+IFERROR(LOOKUP(V1120,{600001;700001;800001;900001},{4000;6750;10250;15250}),0),IF(V1120&gt;1200000,((V1120-1200000)*27.5%)+300000,0)
)))))))</f>
        <v>0</v>
      </c>
      <c r="X1120" s="12">
        <f t="shared" si="277"/>
        <v>0</v>
      </c>
      <c r="Y1120" s="12">
        <f t="shared" si="278"/>
        <v>0</v>
      </c>
      <c r="Z1120" s="11"/>
      <c r="AA1120" s="13">
        <f t="shared" si="279"/>
        <v>0</v>
      </c>
      <c r="AB1120" s="12">
        <f t="shared" si="280"/>
        <v>0</v>
      </c>
      <c r="AC1120" s="14">
        <f t="shared" si="268"/>
        <v>0</v>
      </c>
      <c r="AE1120" s="19">
        <f t="shared" si="281"/>
        <v>0</v>
      </c>
      <c r="AF1120" s="19"/>
      <c r="AG1120" s="17"/>
      <c r="AK1120" s="7"/>
      <c r="AL1120" s="108">
        <f t="shared" si="269"/>
        <v>0</v>
      </c>
      <c r="AM1120" s="108">
        <f t="shared" si="270"/>
        <v>0</v>
      </c>
      <c r="AN1120" s="113"/>
    </row>
    <row r="1121" spans="2:40" x14ac:dyDescent="0.2">
      <c r="B1121" s="7"/>
      <c r="C1121" s="8"/>
      <c r="D1121" s="8"/>
      <c r="E1121" s="9"/>
      <c r="F1121" s="6"/>
      <c r="G1121" s="8"/>
      <c r="H1121" s="32"/>
      <c r="I1121" s="10" t="str">
        <f t="shared" si="267"/>
        <v>21</v>
      </c>
      <c r="J1121" s="11">
        <v>1</v>
      </c>
      <c r="K1121" s="11"/>
      <c r="L1121" s="11"/>
      <c r="M1121" s="11">
        <f t="shared" si="271"/>
        <v>0</v>
      </c>
      <c r="N1121" s="11"/>
      <c r="O1121" s="11">
        <f t="shared" si="272"/>
        <v>0</v>
      </c>
      <c r="P1121" s="11"/>
      <c r="Q1121" s="11"/>
      <c r="R1121" s="11"/>
      <c r="S1121" s="11">
        <f t="shared" si="273"/>
        <v>0</v>
      </c>
      <c r="T1121" s="11">
        <f t="shared" si="274"/>
        <v>1666.6666666666667</v>
      </c>
      <c r="U1121" s="11">
        <f t="shared" si="275"/>
        <v>0</v>
      </c>
      <c r="V1121" s="24">
        <f t="shared" si="276"/>
        <v>0</v>
      </c>
      <c r="W1121" s="11">
        <f>IF(V1121&lt;=40000,0,
IF(V1121&lt;=55000,(V1121-40000)*10%,
IF(V1121&lt;=70000,(V1121-55000)*15%+1500,
IF(V1121&lt;=200000,(V1121-70000)*20%+1500+2250,
IF(V1121&lt;=400000,(V1121-200000)*22.5%+1500+2250+26000,
IF(V1121&lt;=600000,(V1121-400000)*25%+1500+2250+26000+45000,
IF(AND(V1121&gt;600000,V1121&lt;=1200000),(V1121-400000)*25%+1500+2250+26000+45000
+IFERROR(LOOKUP(V1121,{600001;700001;800001;900001},{4000;6750;10250;15250}),0),IF(V1121&gt;1200000,((V1121-1200000)*27.5%)+300000,0)
)))))))</f>
        <v>0</v>
      </c>
      <c r="X1121" s="12">
        <f t="shared" si="277"/>
        <v>0</v>
      </c>
      <c r="Y1121" s="12">
        <f t="shared" si="278"/>
        <v>0</v>
      </c>
      <c r="Z1121" s="11"/>
      <c r="AA1121" s="13">
        <f t="shared" si="279"/>
        <v>0</v>
      </c>
      <c r="AB1121" s="12">
        <f t="shared" si="280"/>
        <v>0</v>
      </c>
      <c r="AC1121" s="14">
        <f t="shared" si="268"/>
        <v>0</v>
      </c>
      <c r="AE1121" s="19">
        <f t="shared" si="281"/>
        <v>0</v>
      </c>
      <c r="AF1121" s="19"/>
      <c r="AG1121" s="17"/>
      <c r="AK1121" s="7"/>
      <c r="AL1121" s="108">
        <f t="shared" si="269"/>
        <v>0</v>
      </c>
      <c r="AM1121" s="108">
        <f t="shared" si="270"/>
        <v>0</v>
      </c>
      <c r="AN1121" s="113"/>
    </row>
    <row r="1122" spans="2:40" x14ac:dyDescent="0.2">
      <c r="B1122" s="7"/>
      <c r="C1122" s="8"/>
      <c r="D1122" s="8"/>
      <c r="E1122" s="9"/>
      <c r="F1122" s="6"/>
      <c r="G1122" s="8"/>
      <c r="H1122" s="32"/>
      <c r="I1122" s="10" t="str">
        <f t="shared" si="267"/>
        <v>21</v>
      </c>
      <c r="J1122" s="11">
        <v>1</v>
      </c>
      <c r="K1122" s="11"/>
      <c r="L1122" s="11"/>
      <c r="M1122" s="11">
        <f t="shared" si="271"/>
        <v>0</v>
      </c>
      <c r="N1122" s="11"/>
      <c r="O1122" s="11">
        <f t="shared" si="272"/>
        <v>0</v>
      </c>
      <c r="P1122" s="11"/>
      <c r="Q1122" s="11"/>
      <c r="R1122" s="11"/>
      <c r="S1122" s="11">
        <f t="shared" si="273"/>
        <v>0</v>
      </c>
      <c r="T1122" s="11">
        <f t="shared" si="274"/>
        <v>1666.6666666666667</v>
      </c>
      <c r="U1122" s="11">
        <f t="shared" si="275"/>
        <v>0</v>
      </c>
      <c r="V1122" s="24">
        <f t="shared" si="276"/>
        <v>0</v>
      </c>
      <c r="W1122" s="11">
        <f>IF(V1122&lt;=40000,0,
IF(V1122&lt;=55000,(V1122-40000)*10%,
IF(V1122&lt;=70000,(V1122-55000)*15%+1500,
IF(V1122&lt;=200000,(V1122-70000)*20%+1500+2250,
IF(V1122&lt;=400000,(V1122-200000)*22.5%+1500+2250+26000,
IF(V1122&lt;=600000,(V1122-400000)*25%+1500+2250+26000+45000,
IF(AND(V1122&gt;600000,V1122&lt;=1200000),(V1122-400000)*25%+1500+2250+26000+45000
+IFERROR(LOOKUP(V1122,{600001;700001;800001;900001},{4000;6750;10250;15250}),0),IF(V1122&gt;1200000,((V1122-1200000)*27.5%)+300000,0)
)))))))</f>
        <v>0</v>
      </c>
      <c r="X1122" s="12">
        <f t="shared" si="277"/>
        <v>0</v>
      </c>
      <c r="Y1122" s="12">
        <f t="shared" si="278"/>
        <v>0</v>
      </c>
      <c r="Z1122" s="11"/>
      <c r="AA1122" s="13">
        <f t="shared" si="279"/>
        <v>0</v>
      </c>
      <c r="AB1122" s="12">
        <f t="shared" si="280"/>
        <v>0</v>
      </c>
      <c r="AC1122" s="14">
        <f t="shared" si="268"/>
        <v>0</v>
      </c>
      <c r="AE1122" s="19">
        <f t="shared" si="281"/>
        <v>0</v>
      </c>
      <c r="AF1122" s="19"/>
      <c r="AG1122" s="17"/>
      <c r="AK1122" s="7"/>
      <c r="AL1122" s="108">
        <f t="shared" si="269"/>
        <v>0</v>
      </c>
      <c r="AM1122" s="108">
        <f t="shared" si="270"/>
        <v>0</v>
      </c>
      <c r="AN1122" s="113"/>
    </row>
    <row r="1123" spans="2:40" x14ac:dyDescent="0.2">
      <c r="B1123" s="7"/>
      <c r="C1123" s="8"/>
      <c r="D1123" s="8"/>
      <c r="E1123" s="9"/>
      <c r="F1123" s="6"/>
      <c r="G1123" s="8"/>
      <c r="H1123" s="32"/>
      <c r="I1123" s="10" t="str">
        <f t="shared" si="267"/>
        <v>21</v>
      </c>
      <c r="J1123" s="11">
        <v>1</v>
      </c>
      <c r="K1123" s="11"/>
      <c r="L1123" s="11"/>
      <c r="M1123" s="11">
        <f t="shared" si="271"/>
        <v>0</v>
      </c>
      <c r="N1123" s="11"/>
      <c r="O1123" s="11">
        <f t="shared" si="272"/>
        <v>0</v>
      </c>
      <c r="P1123" s="11"/>
      <c r="Q1123" s="11"/>
      <c r="R1123" s="11"/>
      <c r="S1123" s="11">
        <f t="shared" si="273"/>
        <v>0</v>
      </c>
      <c r="T1123" s="11">
        <f t="shared" si="274"/>
        <v>1666.6666666666667</v>
      </c>
      <c r="U1123" s="11">
        <f t="shared" si="275"/>
        <v>0</v>
      </c>
      <c r="V1123" s="24">
        <f t="shared" si="276"/>
        <v>0</v>
      </c>
      <c r="W1123" s="11">
        <f>IF(V1123&lt;=40000,0,
IF(V1123&lt;=55000,(V1123-40000)*10%,
IF(V1123&lt;=70000,(V1123-55000)*15%+1500,
IF(V1123&lt;=200000,(V1123-70000)*20%+1500+2250,
IF(V1123&lt;=400000,(V1123-200000)*22.5%+1500+2250+26000,
IF(V1123&lt;=600000,(V1123-400000)*25%+1500+2250+26000+45000,
IF(AND(V1123&gt;600000,V1123&lt;=1200000),(V1123-400000)*25%+1500+2250+26000+45000
+IFERROR(LOOKUP(V1123,{600001;700001;800001;900001},{4000;6750;10250;15250}),0),IF(V1123&gt;1200000,((V1123-1200000)*27.5%)+300000,0)
)))))))</f>
        <v>0</v>
      </c>
      <c r="X1123" s="12">
        <f t="shared" si="277"/>
        <v>0</v>
      </c>
      <c r="Y1123" s="12">
        <f t="shared" si="278"/>
        <v>0</v>
      </c>
      <c r="Z1123" s="11"/>
      <c r="AA1123" s="13">
        <f t="shared" si="279"/>
        <v>0</v>
      </c>
      <c r="AB1123" s="12">
        <f t="shared" si="280"/>
        <v>0</v>
      </c>
      <c r="AC1123" s="14">
        <f t="shared" si="268"/>
        <v>0</v>
      </c>
      <c r="AE1123" s="19">
        <f t="shared" si="281"/>
        <v>0</v>
      </c>
      <c r="AF1123" s="19"/>
      <c r="AG1123" s="17"/>
      <c r="AK1123" s="7"/>
      <c r="AL1123" s="108">
        <f t="shared" si="269"/>
        <v>0</v>
      </c>
      <c r="AM1123" s="108">
        <f t="shared" si="270"/>
        <v>0</v>
      </c>
      <c r="AN1123" s="113"/>
    </row>
    <row r="1124" spans="2:40" x14ac:dyDescent="0.2">
      <c r="B1124" s="7"/>
      <c r="C1124" s="8"/>
      <c r="D1124" s="8"/>
      <c r="E1124" s="9"/>
      <c r="F1124" s="6"/>
      <c r="G1124" s="8"/>
      <c r="H1124" s="32"/>
      <c r="I1124" s="10" t="str">
        <f t="shared" si="267"/>
        <v>21</v>
      </c>
      <c r="J1124" s="11">
        <v>1</v>
      </c>
      <c r="K1124" s="11"/>
      <c r="L1124" s="11"/>
      <c r="M1124" s="11">
        <f t="shared" si="271"/>
        <v>0</v>
      </c>
      <c r="N1124" s="11"/>
      <c r="O1124" s="11">
        <f t="shared" si="272"/>
        <v>0</v>
      </c>
      <c r="P1124" s="11"/>
      <c r="Q1124" s="11"/>
      <c r="R1124" s="11"/>
      <c r="S1124" s="11">
        <f t="shared" si="273"/>
        <v>0</v>
      </c>
      <c r="T1124" s="11">
        <f t="shared" si="274"/>
        <v>1666.6666666666667</v>
      </c>
      <c r="U1124" s="11">
        <f t="shared" si="275"/>
        <v>0</v>
      </c>
      <c r="V1124" s="24">
        <f t="shared" si="276"/>
        <v>0</v>
      </c>
      <c r="W1124" s="11">
        <f>IF(V1124&lt;=40000,0,
IF(V1124&lt;=55000,(V1124-40000)*10%,
IF(V1124&lt;=70000,(V1124-55000)*15%+1500,
IF(V1124&lt;=200000,(V1124-70000)*20%+1500+2250,
IF(V1124&lt;=400000,(V1124-200000)*22.5%+1500+2250+26000,
IF(V1124&lt;=600000,(V1124-400000)*25%+1500+2250+26000+45000,
IF(AND(V1124&gt;600000,V1124&lt;=1200000),(V1124-400000)*25%+1500+2250+26000+45000
+IFERROR(LOOKUP(V1124,{600001;700001;800001;900001},{4000;6750;10250;15250}),0),IF(V1124&gt;1200000,((V1124-1200000)*27.5%)+300000,0)
)))))))</f>
        <v>0</v>
      </c>
      <c r="X1124" s="12">
        <f t="shared" si="277"/>
        <v>0</v>
      </c>
      <c r="Y1124" s="12">
        <f t="shared" si="278"/>
        <v>0</v>
      </c>
      <c r="Z1124" s="11"/>
      <c r="AA1124" s="13">
        <f t="shared" si="279"/>
        <v>0</v>
      </c>
      <c r="AB1124" s="12">
        <f t="shared" si="280"/>
        <v>0</v>
      </c>
      <c r="AC1124" s="14">
        <f t="shared" si="268"/>
        <v>0</v>
      </c>
      <c r="AE1124" s="19">
        <f t="shared" si="281"/>
        <v>0</v>
      </c>
      <c r="AF1124" s="19"/>
      <c r="AG1124" s="17"/>
      <c r="AK1124" s="7"/>
      <c r="AL1124" s="108">
        <f t="shared" si="269"/>
        <v>0</v>
      </c>
      <c r="AM1124" s="108">
        <f t="shared" si="270"/>
        <v>0</v>
      </c>
      <c r="AN1124" s="113"/>
    </row>
    <row r="1125" spans="2:40" x14ac:dyDescent="0.2">
      <c r="B1125" s="7"/>
      <c r="C1125" s="8"/>
      <c r="D1125" s="8"/>
      <c r="E1125" s="9"/>
      <c r="F1125" s="6"/>
      <c r="G1125" s="8"/>
      <c r="H1125" s="32"/>
      <c r="I1125" s="10" t="str">
        <f t="shared" si="267"/>
        <v>21</v>
      </c>
      <c r="J1125" s="11">
        <v>1</v>
      </c>
      <c r="K1125" s="11"/>
      <c r="L1125" s="11"/>
      <c r="M1125" s="11">
        <f t="shared" si="271"/>
        <v>0</v>
      </c>
      <c r="N1125" s="11"/>
      <c r="O1125" s="11">
        <f t="shared" si="272"/>
        <v>0</v>
      </c>
      <c r="P1125" s="11"/>
      <c r="Q1125" s="11"/>
      <c r="R1125" s="11"/>
      <c r="S1125" s="11">
        <f t="shared" si="273"/>
        <v>0</v>
      </c>
      <c r="T1125" s="11">
        <f t="shared" si="274"/>
        <v>1666.6666666666667</v>
      </c>
      <c r="U1125" s="11">
        <f t="shared" si="275"/>
        <v>0</v>
      </c>
      <c r="V1125" s="24">
        <f t="shared" si="276"/>
        <v>0</v>
      </c>
      <c r="W1125" s="11">
        <f>IF(V1125&lt;=40000,0,
IF(V1125&lt;=55000,(V1125-40000)*10%,
IF(V1125&lt;=70000,(V1125-55000)*15%+1500,
IF(V1125&lt;=200000,(V1125-70000)*20%+1500+2250,
IF(V1125&lt;=400000,(V1125-200000)*22.5%+1500+2250+26000,
IF(V1125&lt;=600000,(V1125-400000)*25%+1500+2250+26000+45000,
IF(AND(V1125&gt;600000,V1125&lt;=1200000),(V1125-400000)*25%+1500+2250+26000+45000
+IFERROR(LOOKUP(V1125,{600001;700001;800001;900001},{4000;6750;10250;15250}),0),IF(V1125&gt;1200000,((V1125-1200000)*27.5%)+300000,0)
)))))))</f>
        <v>0</v>
      </c>
      <c r="X1125" s="12">
        <f t="shared" si="277"/>
        <v>0</v>
      </c>
      <c r="Y1125" s="12">
        <f t="shared" si="278"/>
        <v>0</v>
      </c>
      <c r="Z1125" s="11"/>
      <c r="AA1125" s="13">
        <f t="shared" si="279"/>
        <v>0</v>
      </c>
      <c r="AB1125" s="12">
        <f t="shared" si="280"/>
        <v>0</v>
      </c>
      <c r="AC1125" s="14">
        <f t="shared" si="268"/>
        <v>0</v>
      </c>
      <c r="AE1125" s="19">
        <f t="shared" si="281"/>
        <v>0</v>
      </c>
      <c r="AF1125" s="19"/>
      <c r="AG1125" s="17"/>
      <c r="AK1125" s="7"/>
      <c r="AL1125" s="108">
        <f t="shared" si="269"/>
        <v>0</v>
      </c>
      <c r="AM1125" s="108">
        <f t="shared" si="270"/>
        <v>0</v>
      </c>
      <c r="AN1125" s="113"/>
    </row>
    <row r="1126" spans="2:40" x14ac:dyDescent="0.2">
      <c r="B1126" s="7"/>
      <c r="C1126" s="8"/>
      <c r="D1126" s="8"/>
      <c r="E1126" s="9"/>
      <c r="F1126" s="6"/>
      <c r="G1126" s="8"/>
      <c r="H1126" s="32"/>
      <c r="I1126" s="10" t="str">
        <f t="shared" si="267"/>
        <v>21</v>
      </c>
      <c r="J1126" s="11">
        <v>1</v>
      </c>
      <c r="K1126" s="11"/>
      <c r="L1126" s="11"/>
      <c r="M1126" s="11">
        <f t="shared" si="271"/>
        <v>0</v>
      </c>
      <c r="N1126" s="11"/>
      <c r="O1126" s="11">
        <f t="shared" si="272"/>
        <v>0</v>
      </c>
      <c r="P1126" s="11"/>
      <c r="Q1126" s="11"/>
      <c r="R1126" s="11"/>
      <c r="S1126" s="11">
        <f t="shared" si="273"/>
        <v>0</v>
      </c>
      <c r="T1126" s="11">
        <f t="shared" si="274"/>
        <v>1666.6666666666667</v>
      </c>
      <c r="U1126" s="11">
        <f t="shared" si="275"/>
        <v>0</v>
      </c>
      <c r="V1126" s="24">
        <f t="shared" si="276"/>
        <v>0</v>
      </c>
      <c r="W1126" s="11">
        <f>IF(V1126&lt;=40000,0,
IF(V1126&lt;=55000,(V1126-40000)*10%,
IF(V1126&lt;=70000,(V1126-55000)*15%+1500,
IF(V1126&lt;=200000,(V1126-70000)*20%+1500+2250,
IF(V1126&lt;=400000,(V1126-200000)*22.5%+1500+2250+26000,
IF(V1126&lt;=600000,(V1126-400000)*25%+1500+2250+26000+45000,
IF(AND(V1126&gt;600000,V1126&lt;=1200000),(V1126-400000)*25%+1500+2250+26000+45000
+IFERROR(LOOKUP(V1126,{600001;700001;800001;900001},{4000;6750;10250;15250}),0),IF(V1126&gt;1200000,((V1126-1200000)*27.5%)+300000,0)
)))))))</f>
        <v>0</v>
      </c>
      <c r="X1126" s="12">
        <f t="shared" si="277"/>
        <v>0</v>
      </c>
      <c r="Y1126" s="12">
        <f t="shared" si="278"/>
        <v>0</v>
      </c>
      <c r="Z1126" s="11"/>
      <c r="AA1126" s="13">
        <f t="shared" si="279"/>
        <v>0</v>
      </c>
      <c r="AB1126" s="12">
        <f t="shared" si="280"/>
        <v>0</v>
      </c>
      <c r="AC1126" s="14">
        <f t="shared" si="268"/>
        <v>0</v>
      </c>
      <c r="AE1126" s="19">
        <f t="shared" si="281"/>
        <v>0</v>
      </c>
      <c r="AF1126" s="19"/>
      <c r="AG1126" s="17"/>
      <c r="AK1126" s="7"/>
      <c r="AL1126" s="108">
        <f t="shared" si="269"/>
        <v>0</v>
      </c>
      <c r="AM1126" s="108">
        <f t="shared" si="270"/>
        <v>0</v>
      </c>
      <c r="AN1126" s="113"/>
    </row>
    <row r="1127" spans="2:40" x14ac:dyDescent="0.2">
      <c r="B1127" s="7"/>
      <c r="C1127" s="8"/>
      <c r="D1127" s="8"/>
      <c r="E1127" s="9"/>
      <c r="F1127" s="6"/>
      <c r="G1127" s="8"/>
      <c r="H1127" s="32"/>
      <c r="I1127" s="10" t="str">
        <f t="shared" si="267"/>
        <v>21</v>
      </c>
      <c r="J1127" s="11">
        <v>1</v>
      </c>
      <c r="K1127" s="11"/>
      <c r="L1127" s="11"/>
      <c r="M1127" s="11">
        <f t="shared" si="271"/>
        <v>0</v>
      </c>
      <c r="N1127" s="11"/>
      <c r="O1127" s="11">
        <f t="shared" si="272"/>
        <v>0</v>
      </c>
      <c r="P1127" s="11"/>
      <c r="Q1127" s="11"/>
      <c r="R1127" s="11"/>
      <c r="S1127" s="11">
        <f t="shared" si="273"/>
        <v>0</v>
      </c>
      <c r="T1127" s="11">
        <f t="shared" si="274"/>
        <v>1666.6666666666667</v>
      </c>
      <c r="U1127" s="11">
        <f t="shared" si="275"/>
        <v>0</v>
      </c>
      <c r="V1127" s="24">
        <f t="shared" si="276"/>
        <v>0</v>
      </c>
      <c r="W1127" s="11">
        <f>IF(V1127&lt;=40000,0,
IF(V1127&lt;=55000,(V1127-40000)*10%,
IF(V1127&lt;=70000,(V1127-55000)*15%+1500,
IF(V1127&lt;=200000,(V1127-70000)*20%+1500+2250,
IF(V1127&lt;=400000,(V1127-200000)*22.5%+1500+2250+26000,
IF(V1127&lt;=600000,(V1127-400000)*25%+1500+2250+26000+45000,
IF(AND(V1127&gt;600000,V1127&lt;=1200000),(V1127-400000)*25%+1500+2250+26000+45000
+IFERROR(LOOKUP(V1127,{600001;700001;800001;900001},{4000;6750;10250;15250}),0),IF(V1127&gt;1200000,((V1127-1200000)*27.5%)+300000,0)
)))))))</f>
        <v>0</v>
      </c>
      <c r="X1127" s="12">
        <f t="shared" si="277"/>
        <v>0</v>
      </c>
      <c r="Y1127" s="12">
        <f t="shared" si="278"/>
        <v>0</v>
      </c>
      <c r="Z1127" s="11"/>
      <c r="AA1127" s="13">
        <f t="shared" si="279"/>
        <v>0</v>
      </c>
      <c r="AB1127" s="12">
        <f t="shared" si="280"/>
        <v>0</v>
      </c>
      <c r="AC1127" s="14">
        <f t="shared" si="268"/>
        <v>0</v>
      </c>
      <c r="AE1127" s="19">
        <f t="shared" si="281"/>
        <v>0</v>
      </c>
      <c r="AF1127" s="19"/>
      <c r="AG1127" s="17"/>
      <c r="AK1127" s="7"/>
      <c r="AL1127" s="108">
        <f t="shared" si="269"/>
        <v>0</v>
      </c>
      <c r="AM1127" s="108">
        <f t="shared" si="270"/>
        <v>0</v>
      </c>
      <c r="AN1127" s="113"/>
    </row>
    <row r="1128" spans="2:40" x14ac:dyDescent="0.2">
      <c r="B1128" s="7"/>
      <c r="C1128" s="8"/>
      <c r="D1128" s="8"/>
      <c r="E1128" s="9"/>
      <c r="F1128" s="6"/>
      <c r="G1128" s="8"/>
      <c r="H1128" s="32"/>
      <c r="I1128" s="10" t="str">
        <f t="shared" si="267"/>
        <v>21</v>
      </c>
      <c r="J1128" s="11">
        <v>1</v>
      </c>
      <c r="K1128" s="11"/>
      <c r="L1128" s="11"/>
      <c r="M1128" s="11">
        <f t="shared" si="271"/>
        <v>0</v>
      </c>
      <c r="N1128" s="11"/>
      <c r="O1128" s="11">
        <f t="shared" si="272"/>
        <v>0</v>
      </c>
      <c r="P1128" s="11"/>
      <c r="Q1128" s="11"/>
      <c r="R1128" s="11"/>
      <c r="S1128" s="11">
        <f t="shared" si="273"/>
        <v>0</v>
      </c>
      <c r="T1128" s="11">
        <f t="shared" si="274"/>
        <v>1666.6666666666667</v>
      </c>
      <c r="U1128" s="11">
        <f t="shared" si="275"/>
        <v>0</v>
      </c>
      <c r="V1128" s="24">
        <f t="shared" si="276"/>
        <v>0</v>
      </c>
      <c r="W1128" s="11">
        <f>IF(V1128&lt;=40000,0,
IF(V1128&lt;=55000,(V1128-40000)*10%,
IF(V1128&lt;=70000,(V1128-55000)*15%+1500,
IF(V1128&lt;=200000,(V1128-70000)*20%+1500+2250,
IF(V1128&lt;=400000,(V1128-200000)*22.5%+1500+2250+26000,
IF(V1128&lt;=600000,(V1128-400000)*25%+1500+2250+26000+45000,
IF(AND(V1128&gt;600000,V1128&lt;=1200000),(V1128-400000)*25%+1500+2250+26000+45000
+IFERROR(LOOKUP(V1128,{600001;700001;800001;900001},{4000;6750;10250;15250}),0),IF(V1128&gt;1200000,((V1128-1200000)*27.5%)+300000,0)
)))))))</f>
        <v>0</v>
      </c>
      <c r="X1128" s="12">
        <f t="shared" si="277"/>
        <v>0</v>
      </c>
      <c r="Y1128" s="12">
        <f t="shared" si="278"/>
        <v>0</v>
      </c>
      <c r="Z1128" s="11"/>
      <c r="AA1128" s="13">
        <f t="shared" si="279"/>
        <v>0</v>
      </c>
      <c r="AB1128" s="12">
        <f t="shared" si="280"/>
        <v>0</v>
      </c>
      <c r="AC1128" s="14">
        <f t="shared" si="268"/>
        <v>0</v>
      </c>
      <c r="AE1128" s="19">
        <f t="shared" si="281"/>
        <v>0</v>
      </c>
      <c r="AF1128" s="19"/>
      <c r="AG1128" s="17"/>
      <c r="AK1128" s="7"/>
      <c r="AL1128" s="108">
        <f t="shared" si="269"/>
        <v>0</v>
      </c>
      <c r="AM1128" s="108">
        <f t="shared" si="270"/>
        <v>0</v>
      </c>
      <c r="AN1128" s="113"/>
    </row>
    <row r="1129" spans="2:40" x14ac:dyDescent="0.2">
      <c r="B1129" s="7"/>
      <c r="C1129" s="8"/>
      <c r="D1129" s="8"/>
      <c r="E1129" s="9"/>
      <c r="F1129" s="6"/>
      <c r="G1129" s="8"/>
      <c r="H1129" s="32"/>
      <c r="I1129" s="10" t="str">
        <f t="shared" si="267"/>
        <v>21</v>
      </c>
      <c r="J1129" s="11">
        <v>1</v>
      </c>
      <c r="K1129" s="11"/>
      <c r="L1129" s="11"/>
      <c r="M1129" s="11">
        <f t="shared" si="271"/>
        <v>0</v>
      </c>
      <c r="N1129" s="11"/>
      <c r="O1129" s="11">
        <f t="shared" si="272"/>
        <v>0</v>
      </c>
      <c r="P1129" s="11"/>
      <c r="Q1129" s="11"/>
      <c r="R1129" s="11"/>
      <c r="S1129" s="11">
        <f t="shared" si="273"/>
        <v>0</v>
      </c>
      <c r="T1129" s="11">
        <f t="shared" si="274"/>
        <v>1666.6666666666667</v>
      </c>
      <c r="U1129" s="11">
        <f t="shared" si="275"/>
        <v>0</v>
      </c>
      <c r="V1129" s="24">
        <f t="shared" si="276"/>
        <v>0</v>
      </c>
      <c r="W1129" s="11">
        <f>IF(V1129&lt;=40000,0,
IF(V1129&lt;=55000,(V1129-40000)*10%,
IF(V1129&lt;=70000,(V1129-55000)*15%+1500,
IF(V1129&lt;=200000,(V1129-70000)*20%+1500+2250,
IF(V1129&lt;=400000,(V1129-200000)*22.5%+1500+2250+26000,
IF(V1129&lt;=600000,(V1129-400000)*25%+1500+2250+26000+45000,
IF(AND(V1129&gt;600000,V1129&lt;=1200000),(V1129-400000)*25%+1500+2250+26000+45000
+IFERROR(LOOKUP(V1129,{600001;700001;800001;900001},{4000;6750;10250;15250}),0),IF(V1129&gt;1200000,((V1129-1200000)*27.5%)+300000,0)
)))))))</f>
        <v>0</v>
      </c>
      <c r="X1129" s="12">
        <f t="shared" si="277"/>
        <v>0</v>
      </c>
      <c r="Y1129" s="12">
        <f t="shared" si="278"/>
        <v>0</v>
      </c>
      <c r="Z1129" s="11"/>
      <c r="AA1129" s="13">
        <f t="shared" si="279"/>
        <v>0</v>
      </c>
      <c r="AB1129" s="12">
        <f t="shared" si="280"/>
        <v>0</v>
      </c>
      <c r="AC1129" s="14">
        <f t="shared" si="268"/>
        <v>0</v>
      </c>
      <c r="AE1129" s="19">
        <f t="shared" si="281"/>
        <v>0</v>
      </c>
      <c r="AF1129" s="19"/>
      <c r="AG1129" s="17"/>
      <c r="AK1129" s="7"/>
      <c r="AL1129" s="108">
        <f t="shared" si="269"/>
        <v>0</v>
      </c>
      <c r="AM1129" s="108">
        <f t="shared" si="270"/>
        <v>0</v>
      </c>
      <c r="AN1129" s="113"/>
    </row>
    <row r="1130" spans="2:40" x14ac:dyDescent="0.2">
      <c r="B1130" s="7"/>
      <c r="C1130" s="8"/>
      <c r="D1130" s="8"/>
      <c r="E1130" s="9"/>
      <c r="F1130" s="6"/>
      <c r="G1130" s="8"/>
      <c r="H1130" s="32"/>
      <c r="I1130" s="10" t="str">
        <f t="shared" si="267"/>
        <v>21</v>
      </c>
      <c r="J1130" s="11">
        <v>1</v>
      </c>
      <c r="K1130" s="11"/>
      <c r="L1130" s="11"/>
      <c r="M1130" s="11">
        <f t="shared" si="271"/>
        <v>0</v>
      </c>
      <c r="N1130" s="11"/>
      <c r="O1130" s="11">
        <f t="shared" si="272"/>
        <v>0</v>
      </c>
      <c r="P1130" s="11"/>
      <c r="Q1130" s="11"/>
      <c r="R1130" s="11"/>
      <c r="S1130" s="11">
        <f t="shared" si="273"/>
        <v>0</v>
      </c>
      <c r="T1130" s="11">
        <f t="shared" si="274"/>
        <v>1666.6666666666667</v>
      </c>
      <c r="U1130" s="11">
        <f t="shared" si="275"/>
        <v>0</v>
      </c>
      <c r="V1130" s="24">
        <f t="shared" si="276"/>
        <v>0</v>
      </c>
      <c r="W1130" s="11">
        <f>IF(V1130&lt;=40000,0,
IF(V1130&lt;=55000,(V1130-40000)*10%,
IF(V1130&lt;=70000,(V1130-55000)*15%+1500,
IF(V1130&lt;=200000,(V1130-70000)*20%+1500+2250,
IF(V1130&lt;=400000,(V1130-200000)*22.5%+1500+2250+26000,
IF(V1130&lt;=600000,(V1130-400000)*25%+1500+2250+26000+45000,
IF(AND(V1130&gt;600000,V1130&lt;=1200000),(V1130-400000)*25%+1500+2250+26000+45000
+IFERROR(LOOKUP(V1130,{600001;700001;800001;900001},{4000;6750;10250;15250}),0),IF(V1130&gt;1200000,((V1130-1200000)*27.5%)+300000,0)
)))))))</f>
        <v>0</v>
      </c>
      <c r="X1130" s="12">
        <f t="shared" si="277"/>
        <v>0</v>
      </c>
      <c r="Y1130" s="12">
        <f t="shared" si="278"/>
        <v>0</v>
      </c>
      <c r="Z1130" s="11"/>
      <c r="AA1130" s="13">
        <f t="shared" si="279"/>
        <v>0</v>
      </c>
      <c r="AB1130" s="12">
        <f t="shared" si="280"/>
        <v>0</v>
      </c>
      <c r="AC1130" s="14">
        <f t="shared" si="268"/>
        <v>0</v>
      </c>
      <c r="AE1130" s="19">
        <f t="shared" si="281"/>
        <v>0</v>
      </c>
      <c r="AF1130" s="19"/>
      <c r="AG1130" s="17"/>
      <c r="AK1130" s="7"/>
      <c r="AL1130" s="108">
        <f t="shared" si="269"/>
        <v>0</v>
      </c>
      <c r="AM1130" s="108">
        <f t="shared" si="270"/>
        <v>0</v>
      </c>
      <c r="AN1130" s="113"/>
    </row>
    <row r="1131" spans="2:40" x14ac:dyDescent="0.2">
      <c r="B1131" s="7"/>
      <c r="C1131" s="8"/>
      <c r="D1131" s="8"/>
      <c r="E1131" s="9"/>
      <c r="F1131" s="6"/>
      <c r="G1131" s="8"/>
      <c r="H1131" s="32"/>
      <c r="I1131" s="10" t="str">
        <f t="shared" si="267"/>
        <v>21</v>
      </c>
      <c r="J1131" s="11">
        <v>1</v>
      </c>
      <c r="K1131" s="11"/>
      <c r="L1131" s="11"/>
      <c r="M1131" s="11">
        <f t="shared" si="271"/>
        <v>0</v>
      </c>
      <c r="N1131" s="11"/>
      <c r="O1131" s="11">
        <f t="shared" si="272"/>
        <v>0</v>
      </c>
      <c r="P1131" s="11"/>
      <c r="Q1131" s="11"/>
      <c r="R1131" s="11"/>
      <c r="S1131" s="11">
        <f t="shared" si="273"/>
        <v>0</v>
      </c>
      <c r="T1131" s="11">
        <f t="shared" si="274"/>
        <v>1666.6666666666667</v>
      </c>
      <c r="U1131" s="11">
        <f t="shared" si="275"/>
        <v>0</v>
      </c>
      <c r="V1131" s="24">
        <f t="shared" si="276"/>
        <v>0</v>
      </c>
      <c r="W1131" s="11">
        <f>IF(V1131&lt;=40000,0,
IF(V1131&lt;=55000,(V1131-40000)*10%,
IF(V1131&lt;=70000,(V1131-55000)*15%+1500,
IF(V1131&lt;=200000,(V1131-70000)*20%+1500+2250,
IF(V1131&lt;=400000,(V1131-200000)*22.5%+1500+2250+26000,
IF(V1131&lt;=600000,(V1131-400000)*25%+1500+2250+26000+45000,
IF(AND(V1131&gt;600000,V1131&lt;=1200000),(V1131-400000)*25%+1500+2250+26000+45000
+IFERROR(LOOKUP(V1131,{600001;700001;800001;900001},{4000;6750;10250;15250}),0),IF(V1131&gt;1200000,((V1131-1200000)*27.5%)+300000,0)
)))))))</f>
        <v>0</v>
      </c>
      <c r="X1131" s="12">
        <f t="shared" si="277"/>
        <v>0</v>
      </c>
      <c r="Y1131" s="12">
        <f t="shared" si="278"/>
        <v>0</v>
      </c>
      <c r="Z1131" s="11"/>
      <c r="AA1131" s="13">
        <f t="shared" si="279"/>
        <v>0</v>
      </c>
      <c r="AB1131" s="12">
        <f t="shared" si="280"/>
        <v>0</v>
      </c>
      <c r="AC1131" s="14">
        <f t="shared" si="268"/>
        <v>0</v>
      </c>
      <c r="AE1131" s="19">
        <f t="shared" si="281"/>
        <v>0</v>
      </c>
      <c r="AF1131" s="19"/>
      <c r="AG1131" s="17"/>
      <c r="AK1131" s="7"/>
      <c r="AL1131" s="108">
        <f t="shared" si="269"/>
        <v>0</v>
      </c>
      <c r="AM1131" s="108">
        <f t="shared" si="270"/>
        <v>0</v>
      </c>
      <c r="AN1131" s="113"/>
    </row>
    <row r="1132" spans="2:40" x14ac:dyDescent="0.2">
      <c r="B1132" s="7"/>
      <c r="C1132" s="8"/>
      <c r="D1132" s="8"/>
      <c r="E1132" s="9"/>
      <c r="F1132" s="6"/>
      <c r="G1132" s="8"/>
      <c r="H1132" s="32"/>
      <c r="I1132" s="10" t="str">
        <f t="shared" si="267"/>
        <v>21</v>
      </c>
      <c r="J1132" s="11">
        <v>1</v>
      </c>
      <c r="K1132" s="11"/>
      <c r="L1132" s="11"/>
      <c r="M1132" s="11">
        <f t="shared" si="271"/>
        <v>0</v>
      </c>
      <c r="N1132" s="11"/>
      <c r="O1132" s="11">
        <f t="shared" si="272"/>
        <v>0</v>
      </c>
      <c r="P1132" s="11"/>
      <c r="Q1132" s="11"/>
      <c r="R1132" s="11"/>
      <c r="S1132" s="11">
        <f t="shared" si="273"/>
        <v>0</v>
      </c>
      <c r="T1132" s="11">
        <f t="shared" si="274"/>
        <v>1666.6666666666667</v>
      </c>
      <c r="U1132" s="11">
        <f t="shared" si="275"/>
        <v>0</v>
      </c>
      <c r="V1132" s="24">
        <f t="shared" si="276"/>
        <v>0</v>
      </c>
      <c r="W1132" s="11">
        <f>IF(V1132&lt;=40000,0,
IF(V1132&lt;=55000,(V1132-40000)*10%,
IF(V1132&lt;=70000,(V1132-55000)*15%+1500,
IF(V1132&lt;=200000,(V1132-70000)*20%+1500+2250,
IF(V1132&lt;=400000,(V1132-200000)*22.5%+1500+2250+26000,
IF(V1132&lt;=600000,(V1132-400000)*25%+1500+2250+26000+45000,
IF(AND(V1132&gt;600000,V1132&lt;=1200000),(V1132-400000)*25%+1500+2250+26000+45000
+IFERROR(LOOKUP(V1132,{600001;700001;800001;900001},{4000;6750;10250;15250}),0),IF(V1132&gt;1200000,((V1132-1200000)*27.5%)+300000,0)
)))))))</f>
        <v>0</v>
      </c>
      <c r="X1132" s="12">
        <f t="shared" si="277"/>
        <v>0</v>
      </c>
      <c r="Y1132" s="12">
        <f t="shared" si="278"/>
        <v>0</v>
      </c>
      <c r="Z1132" s="11"/>
      <c r="AA1132" s="13">
        <f t="shared" si="279"/>
        <v>0</v>
      </c>
      <c r="AB1132" s="12">
        <f t="shared" si="280"/>
        <v>0</v>
      </c>
      <c r="AC1132" s="14">
        <f t="shared" si="268"/>
        <v>0</v>
      </c>
      <c r="AE1132" s="19">
        <f t="shared" si="281"/>
        <v>0</v>
      </c>
      <c r="AF1132" s="19"/>
      <c r="AG1132" s="17"/>
      <c r="AK1132" s="7"/>
      <c r="AL1132" s="108">
        <f t="shared" si="269"/>
        <v>0</v>
      </c>
      <c r="AM1132" s="108">
        <f t="shared" si="270"/>
        <v>0</v>
      </c>
      <c r="AN1132" s="113"/>
    </row>
    <row r="1133" spans="2:40" x14ac:dyDescent="0.2">
      <c r="B1133" s="7"/>
      <c r="C1133" s="8"/>
      <c r="D1133" s="8"/>
      <c r="E1133" s="9"/>
      <c r="F1133" s="6"/>
      <c r="G1133" s="8"/>
      <c r="H1133" s="32"/>
      <c r="I1133" s="10" t="str">
        <f t="shared" si="267"/>
        <v>21</v>
      </c>
      <c r="J1133" s="11">
        <v>1</v>
      </c>
      <c r="K1133" s="11"/>
      <c r="L1133" s="11"/>
      <c r="M1133" s="11">
        <f t="shared" si="271"/>
        <v>0</v>
      </c>
      <c r="N1133" s="11"/>
      <c r="O1133" s="11">
        <f t="shared" si="272"/>
        <v>0</v>
      </c>
      <c r="P1133" s="11"/>
      <c r="Q1133" s="11"/>
      <c r="R1133" s="11"/>
      <c r="S1133" s="11">
        <f t="shared" si="273"/>
        <v>0</v>
      </c>
      <c r="T1133" s="11">
        <f t="shared" si="274"/>
        <v>1666.6666666666667</v>
      </c>
      <c r="U1133" s="11">
        <f t="shared" si="275"/>
        <v>0</v>
      </c>
      <c r="V1133" s="24">
        <f t="shared" si="276"/>
        <v>0</v>
      </c>
      <c r="W1133" s="11">
        <f>IF(V1133&lt;=40000,0,
IF(V1133&lt;=55000,(V1133-40000)*10%,
IF(V1133&lt;=70000,(V1133-55000)*15%+1500,
IF(V1133&lt;=200000,(V1133-70000)*20%+1500+2250,
IF(V1133&lt;=400000,(V1133-200000)*22.5%+1500+2250+26000,
IF(V1133&lt;=600000,(V1133-400000)*25%+1500+2250+26000+45000,
IF(AND(V1133&gt;600000,V1133&lt;=1200000),(V1133-400000)*25%+1500+2250+26000+45000
+IFERROR(LOOKUP(V1133,{600001;700001;800001;900001},{4000;6750;10250;15250}),0),IF(V1133&gt;1200000,((V1133-1200000)*27.5%)+300000,0)
)))))))</f>
        <v>0</v>
      </c>
      <c r="X1133" s="12">
        <f t="shared" si="277"/>
        <v>0</v>
      </c>
      <c r="Y1133" s="12">
        <f t="shared" si="278"/>
        <v>0</v>
      </c>
      <c r="Z1133" s="11"/>
      <c r="AA1133" s="13">
        <f t="shared" si="279"/>
        <v>0</v>
      </c>
      <c r="AB1133" s="12">
        <f t="shared" si="280"/>
        <v>0</v>
      </c>
      <c r="AC1133" s="14">
        <f t="shared" si="268"/>
        <v>0</v>
      </c>
      <c r="AE1133" s="19">
        <f t="shared" si="281"/>
        <v>0</v>
      </c>
      <c r="AF1133" s="19"/>
      <c r="AG1133" s="17"/>
      <c r="AK1133" s="7"/>
      <c r="AL1133" s="108">
        <f t="shared" si="269"/>
        <v>0</v>
      </c>
      <c r="AM1133" s="108">
        <f t="shared" si="270"/>
        <v>0</v>
      </c>
      <c r="AN1133" s="113"/>
    </row>
    <row r="1134" spans="2:40" x14ac:dyDescent="0.2">
      <c r="B1134" s="7"/>
      <c r="C1134" s="8"/>
      <c r="D1134" s="8"/>
      <c r="E1134" s="9"/>
      <c r="F1134" s="6"/>
      <c r="G1134" s="8"/>
      <c r="H1134" s="32"/>
      <c r="I1134" s="10" t="str">
        <f t="shared" si="267"/>
        <v>21</v>
      </c>
      <c r="J1134" s="11">
        <v>1</v>
      </c>
      <c r="K1134" s="11"/>
      <c r="L1134" s="11"/>
      <c r="M1134" s="11">
        <f t="shared" si="271"/>
        <v>0</v>
      </c>
      <c r="N1134" s="11"/>
      <c r="O1134" s="11">
        <f t="shared" si="272"/>
        <v>0</v>
      </c>
      <c r="P1134" s="11"/>
      <c r="Q1134" s="11"/>
      <c r="R1134" s="11"/>
      <c r="S1134" s="11">
        <f t="shared" si="273"/>
        <v>0</v>
      </c>
      <c r="T1134" s="11">
        <f t="shared" si="274"/>
        <v>1666.6666666666667</v>
      </c>
      <c r="U1134" s="11">
        <f t="shared" si="275"/>
        <v>0</v>
      </c>
      <c r="V1134" s="24">
        <f t="shared" si="276"/>
        <v>0</v>
      </c>
      <c r="W1134" s="11">
        <f>IF(V1134&lt;=40000,0,
IF(V1134&lt;=55000,(V1134-40000)*10%,
IF(V1134&lt;=70000,(V1134-55000)*15%+1500,
IF(V1134&lt;=200000,(V1134-70000)*20%+1500+2250,
IF(V1134&lt;=400000,(V1134-200000)*22.5%+1500+2250+26000,
IF(V1134&lt;=600000,(V1134-400000)*25%+1500+2250+26000+45000,
IF(AND(V1134&gt;600000,V1134&lt;=1200000),(V1134-400000)*25%+1500+2250+26000+45000
+IFERROR(LOOKUP(V1134,{600001;700001;800001;900001},{4000;6750;10250;15250}),0),IF(V1134&gt;1200000,((V1134-1200000)*27.5%)+300000,0)
)))))))</f>
        <v>0</v>
      </c>
      <c r="X1134" s="12">
        <f t="shared" si="277"/>
        <v>0</v>
      </c>
      <c r="Y1134" s="12">
        <f t="shared" si="278"/>
        <v>0</v>
      </c>
      <c r="Z1134" s="11"/>
      <c r="AA1134" s="13">
        <f t="shared" si="279"/>
        <v>0</v>
      </c>
      <c r="AB1134" s="12">
        <f t="shared" si="280"/>
        <v>0</v>
      </c>
      <c r="AC1134" s="14">
        <f t="shared" si="268"/>
        <v>0</v>
      </c>
      <c r="AE1134" s="19">
        <f t="shared" si="281"/>
        <v>0</v>
      </c>
      <c r="AF1134" s="19"/>
      <c r="AG1134" s="17"/>
      <c r="AK1134" s="7"/>
      <c r="AL1134" s="108">
        <f t="shared" si="269"/>
        <v>0</v>
      </c>
      <c r="AM1134" s="108">
        <f t="shared" si="270"/>
        <v>0</v>
      </c>
      <c r="AN1134" s="113"/>
    </row>
    <row r="1135" spans="2:40" x14ac:dyDescent="0.2">
      <c r="B1135" s="7"/>
      <c r="C1135" s="8"/>
      <c r="D1135" s="8"/>
      <c r="E1135" s="9"/>
      <c r="F1135" s="6"/>
      <c r="G1135" s="8"/>
      <c r="H1135" s="32"/>
      <c r="I1135" s="10" t="str">
        <f t="shared" si="267"/>
        <v>21</v>
      </c>
      <c r="J1135" s="11">
        <v>1</v>
      </c>
      <c r="K1135" s="11"/>
      <c r="L1135" s="11"/>
      <c r="M1135" s="11">
        <f t="shared" si="271"/>
        <v>0</v>
      </c>
      <c r="N1135" s="11"/>
      <c r="O1135" s="11">
        <f t="shared" si="272"/>
        <v>0</v>
      </c>
      <c r="P1135" s="11"/>
      <c r="Q1135" s="11"/>
      <c r="R1135" s="11"/>
      <c r="S1135" s="11">
        <f t="shared" si="273"/>
        <v>0</v>
      </c>
      <c r="T1135" s="11">
        <f t="shared" si="274"/>
        <v>1666.6666666666667</v>
      </c>
      <c r="U1135" s="11">
        <f t="shared" si="275"/>
        <v>0</v>
      </c>
      <c r="V1135" s="24">
        <f t="shared" si="276"/>
        <v>0</v>
      </c>
      <c r="W1135" s="11">
        <f>IF(V1135&lt;=40000,0,
IF(V1135&lt;=55000,(V1135-40000)*10%,
IF(V1135&lt;=70000,(V1135-55000)*15%+1500,
IF(V1135&lt;=200000,(V1135-70000)*20%+1500+2250,
IF(V1135&lt;=400000,(V1135-200000)*22.5%+1500+2250+26000,
IF(V1135&lt;=600000,(V1135-400000)*25%+1500+2250+26000+45000,
IF(AND(V1135&gt;600000,V1135&lt;=1200000),(V1135-400000)*25%+1500+2250+26000+45000
+IFERROR(LOOKUP(V1135,{600001;700001;800001;900001},{4000;6750;10250;15250}),0),IF(V1135&gt;1200000,((V1135-1200000)*27.5%)+300000,0)
)))))))</f>
        <v>0</v>
      </c>
      <c r="X1135" s="12">
        <f t="shared" si="277"/>
        <v>0</v>
      </c>
      <c r="Y1135" s="12">
        <f t="shared" si="278"/>
        <v>0</v>
      </c>
      <c r="Z1135" s="11"/>
      <c r="AA1135" s="13">
        <f t="shared" si="279"/>
        <v>0</v>
      </c>
      <c r="AB1135" s="12">
        <f t="shared" si="280"/>
        <v>0</v>
      </c>
      <c r="AC1135" s="14">
        <f t="shared" si="268"/>
        <v>0</v>
      </c>
      <c r="AE1135" s="19">
        <f t="shared" si="281"/>
        <v>0</v>
      </c>
      <c r="AF1135" s="19"/>
      <c r="AG1135" s="17"/>
      <c r="AK1135" s="7"/>
      <c r="AL1135" s="108">
        <f t="shared" si="269"/>
        <v>0</v>
      </c>
      <c r="AM1135" s="108">
        <f t="shared" si="270"/>
        <v>0</v>
      </c>
      <c r="AN1135" s="113"/>
    </row>
    <row r="1136" spans="2:40" x14ac:dyDescent="0.2">
      <c r="B1136" s="7"/>
      <c r="C1136" s="8"/>
      <c r="D1136" s="8"/>
      <c r="E1136" s="9"/>
      <c r="F1136" s="6"/>
      <c r="G1136" s="8"/>
      <c r="H1136" s="32"/>
      <c r="I1136" s="10" t="str">
        <f t="shared" si="267"/>
        <v>21</v>
      </c>
      <c r="J1136" s="11">
        <v>1</v>
      </c>
      <c r="K1136" s="11"/>
      <c r="L1136" s="11"/>
      <c r="M1136" s="11">
        <f t="shared" si="271"/>
        <v>0</v>
      </c>
      <c r="N1136" s="11"/>
      <c r="O1136" s="11">
        <f t="shared" si="272"/>
        <v>0</v>
      </c>
      <c r="P1136" s="11"/>
      <c r="Q1136" s="11"/>
      <c r="R1136" s="11"/>
      <c r="S1136" s="11">
        <f t="shared" si="273"/>
        <v>0</v>
      </c>
      <c r="T1136" s="11">
        <f t="shared" si="274"/>
        <v>1666.6666666666667</v>
      </c>
      <c r="U1136" s="11">
        <f t="shared" si="275"/>
        <v>0</v>
      </c>
      <c r="V1136" s="24">
        <f t="shared" si="276"/>
        <v>0</v>
      </c>
      <c r="W1136" s="11">
        <f>IF(V1136&lt;=40000,0,
IF(V1136&lt;=55000,(V1136-40000)*10%,
IF(V1136&lt;=70000,(V1136-55000)*15%+1500,
IF(V1136&lt;=200000,(V1136-70000)*20%+1500+2250,
IF(V1136&lt;=400000,(V1136-200000)*22.5%+1500+2250+26000,
IF(V1136&lt;=600000,(V1136-400000)*25%+1500+2250+26000+45000,
IF(AND(V1136&gt;600000,V1136&lt;=1200000),(V1136-400000)*25%+1500+2250+26000+45000
+IFERROR(LOOKUP(V1136,{600001;700001;800001;900001},{4000;6750;10250;15250}),0),IF(V1136&gt;1200000,((V1136-1200000)*27.5%)+300000,0)
)))))))</f>
        <v>0</v>
      </c>
      <c r="X1136" s="12">
        <f t="shared" si="277"/>
        <v>0</v>
      </c>
      <c r="Y1136" s="12">
        <f t="shared" si="278"/>
        <v>0</v>
      </c>
      <c r="Z1136" s="11"/>
      <c r="AA1136" s="13">
        <f t="shared" si="279"/>
        <v>0</v>
      </c>
      <c r="AB1136" s="12">
        <f t="shared" si="280"/>
        <v>0</v>
      </c>
      <c r="AC1136" s="14">
        <f t="shared" si="268"/>
        <v>0</v>
      </c>
      <c r="AE1136" s="19">
        <f t="shared" si="281"/>
        <v>0</v>
      </c>
      <c r="AF1136" s="19"/>
      <c r="AG1136" s="17"/>
      <c r="AK1136" s="7"/>
      <c r="AL1136" s="108">
        <f t="shared" si="269"/>
        <v>0</v>
      </c>
      <c r="AM1136" s="108">
        <f t="shared" si="270"/>
        <v>0</v>
      </c>
      <c r="AN1136" s="113"/>
    </row>
    <row r="1137" spans="2:40" x14ac:dyDescent="0.2">
      <c r="B1137" s="7"/>
      <c r="C1137" s="8"/>
      <c r="D1137" s="8"/>
      <c r="E1137" s="9"/>
      <c r="F1137" s="6"/>
      <c r="G1137" s="8"/>
      <c r="H1137" s="32"/>
      <c r="I1137" s="10" t="str">
        <f t="shared" si="267"/>
        <v>21</v>
      </c>
      <c r="J1137" s="11">
        <v>1</v>
      </c>
      <c r="K1137" s="11"/>
      <c r="L1137" s="11"/>
      <c r="M1137" s="11">
        <f t="shared" si="271"/>
        <v>0</v>
      </c>
      <c r="N1137" s="11"/>
      <c r="O1137" s="11">
        <f t="shared" si="272"/>
        <v>0</v>
      </c>
      <c r="P1137" s="11"/>
      <c r="Q1137" s="11"/>
      <c r="R1137" s="11"/>
      <c r="S1137" s="11">
        <f t="shared" si="273"/>
        <v>0</v>
      </c>
      <c r="T1137" s="11">
        <f t="shared" si="274"/>
        <v>1666.6666666666667</v>
      </c>
      <c r="U1137" s="11">
        <f t="shared" si="275"/>
        <v>0</v>
      </c>
      <c r="V1137" s="24">
        <f t="shared" si="276"/>
        <v>0</v>
      </c>
      <c r="W1137" s="11">
        <f>IF(V1137&lt;=40000,0,
IF(V1137&lt;=55000,(V1137-40000)*10%,
IF(V1137&lt;=70000,(V1137-55000)*15%+1500,
IF(V1137&lt;=200000,(V1137-70000)*20%+1500+2250,
IF(V1137&lt;=400000,(V1137-200000)*22.5%+1500+2250+26000,
IF(V1137&lt;=600000,(V1137-400000)*25%+1500+2250+26000+45000,
IF(AND(V1137&gt;600000,V1137&lt;=1200000),(V1137-400000)*25%+1500+2250+26000+45000
+IFERROR(LOOKUP(V1137,{600001;700001;800001;900001},{4000;6750;10250;15250}),0),IF(V1137&gt;1200000,((V1137-1200000)*27.5%)+300000,0)
)))))))</f>
        <v>0</v>
      </c>
      <c r="X1137" s="12">
        <f t="shared" si="277"/>
        <v>0</v>
      </c>
      <c r="Y1137" s="12">
        <f t="shared" si="278"/>
        <v>0</v>
      </c>
      <c r="Z1137" s="11"/>
      <c r="AA1137" s="13">
        <f t="shared" si="279"/>
        <v>0</v>
      </c>
      <c r="AB1137" s="12">
        <f t="shared" si="280"/>
        <v>0</v>
      </c>
      <c r="AC1137" s="14">
        <f t="shared" si="268"/>
        <v>0</v>
      </c>
      <c r="AE1137" s="19">
        <f t="shared" si="281"/>
        <v>0</v>
      </c>
      <c r="AF1137" s="19"/>
      <c r="AG1137" s="17"/>
      <c r="AK1137" s="7"/>
      <c r="AL1137" s="108">
        <f t="shared" si="269"/>
        <v>0</v>
      </c>
      <c r="AM1137" s="108">
        <f t="shared" si="270"/>
        <v>0</v>
      </c>
      <c r="AN1137" s="113"/>
    </row>
    <row r="1138" spans="2:40" x14ac:dyDescent="0.2">
      <c r="B1138" s="7"/>
      <c r="C1138" s="8"/>
      <c r="D1138" s="8"/>
      <c r="E1138" s="9"/>
      <c r="F1138" s="6"/>
      <c r="G1138" s="8"/>
      <c r="H1138" s="32"/>
      <c r="I1138" s="10" t="str">
        <f t="shared" si="267"/>
        <v>21</v>
      </c>
      <c r="J1138" s="11">
        <v>1</v>
      </c>
      <c r="K1138" s="11"/>
      <c r="L1138" s="11"/>
      <c r="M1138" s="11">
        <f t="shared" si="271"/>
        <v>0</v>
      </c>
      <c r="N1138" s="11"/>
      <c r="O1138" s="11">
        <f t="shared" si="272"/>
        <v>0</v>
      </c>
      <c r="P1138" s="11"/>
      <c r="Q1138" s="11"/>
      <c r="R1138" s="11"/>
      <c r="S1138" s="11">
        <f t="shared" si="273"/>
        <v>0</v>
      </c>
      <c r="T1138" s="11">
        <f t="shared" si="274"/>
        <v>1666.6666666666667</v>
      </c>
      <c r="U1138" s="11">
        <f t="shared" si="275"/>
        <v>0</v>
      </c>
      <c r="V1138" s="24">
        <f t="shared" si="276"/>
        <v>0</v>
      </c>
      <c r="W1138" s="11">
        <f>IF(V1138&lt;=40000,0,
IF(V1138&lt;=55000,(V1138-40000)*10%,
IF(V1138&lt;=70000,(V1138-55000)*15%+1500,
IF(V1138&lt;=200000,(V1138-70000)*20%+1500+2250,
IF(V1138&lt;=400000,(V1138-200000)*22.5%+1500+2250+26000,
IF(V1138&lt;=600000,(V1138-400000)*25%+1500+2250+26000+45000,
IF(AND(V1138&gt;600000,V1138&lt;=1200000),(V1138-400000)*25%+1500+2250+26000+45000
+IFERROR(LOOKUP(V1138,{600001;700001;800001;900001},{4000;6750;10250;15250}),0),IF(V1138&gt;1200000,((V1138-1200000)*27.5%)+300000,0)
)))))))</f>
        <v>0</v>
      </c>
      <c r="X1138" s="12">
        <f t="shared" si="277"/>
        <v>0</v>
      </c>
      <c r="Y1138" s="12">
        <f t="shared" si="278"/>
        <v>0</v>
      </c>
      <c r="Z1138" s="11"/>
      <c r="AA1138" s="13">
        <f t="shared" si="279"/>
        <v>0</v>
      </c>
      <c r="AB1138" s="12">
        <f t="shared" si="280"/>
        <v>0</v>
      </c>
      <c r="AC1138" s="14">
        <f t="shared" si="268"/>
        <v>0</v>
      </c>
      <c r="AE1138" s="19">
        <f t="shared" si="281"/>
        <v>0</v>
      </c>
      <c r="AF1138" s="19"/>
      <c r="AG1138" s="17"/>
      <c r="AK1138" s="7"/>
      <c r="AL1138" s="108">
        <f t="shared" si="269"/>
        <v>0</v>
      </c>
      <c r="AM1138" s="108">
        <f t="shared" si="270"/>
        <v>0</v>
      </c>
      <c r="AN1138" s="113"/>
    </row>
    <row r="1139" spans="2:40" x14ac:dyDescent="0.2">
      <c r="B1139" s="7"/>
      <c r="C1139" s="8"/>
      <c r="D1139" s="8"/>
      <c r="E1139" s="9"/>
      <c r="F1139" s="6"/>
      <c r="G1139" s="8"/>
      <c r="H1139" s="32"/>
      <c r="I1139" s="10" t="str">
        <f t="shared" si="267"/>
        <v>21</v>
      </c>
      <c r="J1139" s="11">
        <v>1</v>
      </c>
      <c r="K1139" s="11"/>
      <c r="L1139" s="11"/>
      <c r="M1139" s="11">
        <f t="shared" si="271"/>
        <v>0</v>
      </c>
      <c r="N1139" s="11"/>
      <c r="O1139" s="11">
        <f t="shared" si="272"/>
        <v>0</v>
      </c>
      <c r="P1139" s="11"/>
      <c r="Q1139" s="11"/>
      <c r="R1139" s="11"/>
      <c r="S1139" s="11">
        <f t="shared" si="273"/>
        <v>0</v>
      </c>
      <c r="T1139" s="11">
        <f t="shared" si="274"/>
        <v>1666.6666666666667</v>
      </c>
      <c r="U1139" s="11">
        <f t="shared" si="275"/>
        <v>0</v>
      </c>
      <c r="V1139" s="24">
        <f t="shared" si="276"/>
        <v>0</v>
      </c>
      <c r="W1139" s="11">
        <f>IF(V1139&lt;=40000,0,
IF(V1139&lt;=55000,(V1139-40000)*10%,
IF(V1139&lt;=70000,(V1139-55000)*15%+1500,
IF(V1139&lt;=200000,(V1139-70000)*20%+1500+2250,
IF(V1139&lt;=400000,(V1139-200000)*22.5%+1500+2250+26000,
IF(V1139&lt;=600000,(V1139-400000)*25%+1500+2250+26000+45000,
IF(AND(V1139&gt;600000,V1139&lt;=1200000),(V1139-400000)*25%+1500+2250+26000+45000
+IFERROR(LOOKUP(V1139,{600001;700001;800001;900001},{4000;6750;10250;15250}),0),IF(V1139&gt;1200000,((V1139-1200000)*27.5%)+300000,0)
)))))))</f>
        <v>0</v>
      </c>
      <c r="X1139" s="12">
        <f t="shared" si="277"/>
        <v>0</v>
      </c>
      <c r="Y1139" s="12">
        <f t="shared" si="278"/>
        <v>0</v>
      </c>
      <c r="Z1139" s="11"/>
      <c r="AA1139" s="13">
        <f t="shared" si="279"/>
        <v>0</v>
      </c>
      <c r="AB1139" s="12">
        <f t="shared" si="280"/>
        <v>0</v>
      </c>
      <c r="AC1139" s="14">
        <f t="shared" si="268"/>
        <v>0</v>
      </c>
      <c r="AE1139" s="19">
        <f t="shared" si="281"/>
        <v>0</v>
      </c>
      <c r="AF1139" s="19"/>
      <c r="AG1139" s="17"/>
      <c r="AK1139" s="7"/>
      <c r="AL1139" s="108">
        <f t="shared" si="269"/>
        <v>0</v>
      </c>
      <c r="AM1139" s="108">
        <f t="shared" si="270"/>
        <v>0</v>
      </c>
      <c r="AN1139" s="113"/>
    </row>
    <row r="1140" spans="2:40" x14ac:dyDescent="0.2">
      <c r="B1140" s="7"/>
      <c r="C1140" s="8"/>
      <c r="D1140" s="8"/>
      <c r="E1140" s="9"/>
      <c r="F1140" s="6"/>
      <c r="G1140" s="8"/>
      <c r="H1140" s="32"/>
      <c r="I1140" s="10" t="str">
        <f t="shared" si="267"/>
        <v>21</v>
      </c>
      <c r="J1140" s="11">
        <v>1</v>
      </c>
      <c r="K1140" s="11"/>
      <c r="L1140" s="11"/>
      <c r="M1140" s="11">
        <f t="shared" si="271"/>
        <v>0</v>
      </c>
      <c r="N1140" s="11"/>
      <c r="O1140" s="11">
        <f t="shared" si="272"/>
        <v>0</v>
      </c>
      <c r="P1140" s="11"/>
      <c r="Q1140" s="11"/>
      <c r="R1140" s="11"/>
      <c r="S1140" s="11">
        <f t="shared" si="273"/>
        <v>0</v>
      </c>
      <c r="T1140" s="11">
        <f t="shared" si="274"/>
        <v>1666.6666666666667</v>
      </c>
      <c r="U1140" s="11">
        <f t="shared" si="275"/>
        <v>0</v>
      </c>
      <c r="V1140" s="24">
        <f t="shared" si="276"/>
        <v>0</v>
      </c>
      <c r="W1140" s="11">
        <f>IF(V1140&lt;=40000,0,
IF(V1140&lt;=55000,(V1140-40000)*10%,
IF(V1140&lt;=70000,(V1140-55000)*15%+1500,
IF(V1140&lt;=200000,(V1140-70000)*20%+1500+2250,
IF(V1140&lt;=400000,(V1140-200000)*22.5%+1500+2250+26000,
IF(V1140&lt;=600000,(V1140-400000)*25%+1500+2250+26000+45000,
IF(AND(V1140&gt;600000,V1140&lt;=1200000),(V1140-400000)*25%+1500+2250+26000+45000
+IFERROR(LOOKUP(V1140,{600001;700001;800001;900001},{4000;6750;10250;15250}),0),IF(V1140&gt;1200000,((V1140-1200000)*27.5%)+300000,0)
)))))))</f>
        <v>0</v>
      </c>
      <c r="X1140" s="12">
        <f t="shared" si="277"/>
        <v>0</v>
      </c>
      <c r="Y1140" s="12">
        <f t="shared" si="278"/>
        <v>0</v>
      </c>
      <c r="Z1140" s="11"/>
      <c r="AA1140" s="13">
        <f t="shared" si="279"/>
        <v>0</v>
      </c>
      <c r="AB1140" s="12">
        <f t="shared" si="280"/>
        <v>0</v>
      </c>
      <c r="AC1140" s="14">
        <f t="shared" si="268"/>
        <v>0</v>
      </c>
      <c r="AE1140" s="19">
        <f t="shared" si="281"/>
        <v>0</v>
      </c>
      <c r="AF1140" s="19"/>
      <c r="AG1140" s="17"/>
      <c r="AK1140" s="7"/>
      <c r="AL1140" s="108">
        <f t="shared" si="269"/>
        <v>0</v>
      </c>
      <c r="AM1140" s="108">
        <f t="shared" si="270"/>
        <v>0</v>
      </c>
      <c r="AN1140" s="113"/>
    </row>
    <row r="1141" spans="2:40" x14ac:dyDescent="0.2">
      <c r="B1141" s="7"/>
      <c r="C1141" s="8"/>
      <c r="D1141" s="8"/>
      <c r="E1141" s="9"/>
      <c r="F1141" s="6"/>
      <c r="G1141" s="8"/>
      <c r="H1141" s="32"/>
      <c r="I1141" s="10" t="str">
        <f t="shared" si="267"/>
        <v>21</v>
      </c>
      <c r="J1141" s="11">
        <v>1</v>
      </c>
      <c r="K1141" s="11"/>
      <c r="L1141" s="11"/>
      <c r="M1141" s="11">
        <f t="shared" si="271"/>
        <v>0</v>
      </c>
      <c r="N1141" s="11"/>
      <c r="O1141" s="11">
        <f t="shared" si="272"/>
        <v>0</v>
      </c>
      <c r="P1141" s="11"/>
      <c r="Q1141" s="11"/>
      <c r="R1141" s="11"/>
      <c r="S1141" s="11">
        <f t="shared" si="273"/>
        <v>0</v>
      </c>
      <c r="T1141" s="11">
        <f t="shared" si="274"/>
        <v>1666.6666666666667</v>
      </c>
      <c r="U1141" s="11">
        <f t="shared" si="275"/>
        <v>0</v>
      </c>
      <c r="V1141" s="24">
        <f t="shared" si="276"/>
        <v>0</v>
      </c>
      <c r="W1141" s="11">
        <f>IF(V1141&lt;=40000,0,
IF(V1141&lt;=55000,(V1141-40000)*10%,
IF(V1141&lt;=70000,(V1141-55000)*15%+1500,
IF(V1141&lt;=200000,(V1141-70000)*20%+1500+2250,
IF(V1141&lt;=400000,(V1141-200000)*22.5%+1500+2250+26000,
IF(V1141&lt;=600000,(V1141-400000)*25%+1500+2250+26000+45000,
IF(AND(V1141&gt;600000,V1141&lt;=1200000),(V1141-400000)*25%+1500+2250+26000+45000
+IFERROR(LOOKUP(V1141,{600001;700001;800001;900001},{4000;6750;10250;15250}),0),IF(V1141&gt;1200000,((V1141-1200000)*27.5%)+300000,0)
)))))))</f>
        <v>0</v>
      </c>
      <c r="X1141" s="12">
        <f t="shared" si="277"/>
        <v>0</v>
      </c>
      <c r="Y1141" s="12">
        <f t="shared" si="278"/>
        <v>0</v>
      </c>
      <c r="Z1141" s="11"/>
      <c r="AA1141" s="13">
        <f t="shared" si="279"/>
        <v>0</v>
      </c>
      <c r="AB1141" s="12">
        <f t="shared" si="280"/>
        <v>0</v>
      </c>
      <c r="AC1141" s="14">
        <f t="shared" si="268"/>
        <v>0</v>
      </c>
      <c r="AE1141" s="19">
        <f t="shared" si="281"/>
        <v>0</v>
      </c>
      <c r="AF1141" s="19"/>
      <c r="AG1141" s="17"/>
      <c r="AK1141" s="7"/>
      <c r="AL1141" s="108">
        <f t="shared" si="269"/>
        <v>0</v>
      </c>
      <c r="AM1141" s="108">
        <f t="shared" si="270"/>
        <v>0</v>
      </c>
      <c r="AN1141" s="113"/>
    </row>
    <row r="1142" spans="2:40" x14ac:dyDescent="0.2">
      <c r="B1142" s="7"/>
      <c r="C1142" s="8"/>
      <c r="D1142" s="8"/>
      <c r="E1142" s="9"/>
      <c r="F1142" s="6"/>
      <c r="G1142" s="8"/>
      <c r="H1142" s="32"/>
      <c r="I1142" s="10" t="str">
        <f t="shared" si="267"/>
        <v>21</v>
      </c>
      <c r="J1142" s="11">
        <v>1</v>
      </c>
      <c r="K1142" s="11"/>
      <c r="L1142" s="11"/>
      <c r="M1142" s="11">
        <f t="shared" si="271"/>
        <v>0</v>
      </c>
      <c r="N1142" s="11"/>
      <c r="O1142" s="11">
        <f t="shared" si="272"/>
        <v>0</v>
      </c>
      <c r="P1142" s="11"/>
      <c r="Q1142" s="11"/>
      <c r="R1142" s="11"/>
      <c r="S1142" s="11">
        <f t="shared" si="273"/>
        <v>0</v>
      </c>
      <c r="T1142" s="11">
        <f t="shared" si="274"/>
        <v>1666.6666666666667</v>
      </c>
      <c r="U1142" s="11">
        <f t="shared" si="275"/>
        <v>0</v>
      </c>
      <c r="V1142" s="24">
        <f t="shared" si="276"/>
        <v>0</v>
      </c>
      <c r="W1142" s="11">
        <f>IF(V1142&lt;=40000,0,
IF(V1142&lt;=55000,(V1142-40000)*10%,
IF(V1142&lt;=70000,(V1142-55000)*15%+1500,
IF(V1142&lt;=200000,(V1142-70000)*20%+1500+2250,
IF(V1142&lt;=400000,(V1142-200000)*22.5%+1500+2250+26000,
IF(V1142&lt;=600000,(V1142-400000)*25%+1500+2250+26000+45000,
IF(AND(V1142&gt;600000,V1142&lt;=1200000),(V1142-400000)*25%+1500+2250+26000+45000
+IFERROR(LOOKUP(V1142,{600001;700001;800001;900001},{4000;6750;10250;15250}),0),IF(V1142&gt;1200000,((V1142-1200000)*27.5%)+300000,0)
)))))))</f>
        <v>0</v>
      </c>
      <c r="X1142" s="12">
        <f t="shared" si="277"/>
        <v>0</v>
      </c>
      <c r="Y1142" s="12">
        <f t="shared" si="278"/>
        <v>0</v>
      </c>
      <c r="Z1142" s="11"/>
      <c r="AA1142" s="13">
        <f t="shared" si="279"/>
        <v>0</v>
      </c>
      <c r="AB1142" s="12">
        <f t="shared" si="280"/>
        <v>0</v>
      </c>
      <c r="AC1142" s="14">
        <f t="shared" si="268"/>
        <v>0</v>
      </c>
      <c r="AE1142" s="19">
        <f t="shared" si="281"/>
        <v>0</v>
      </c>
      <c r="AF1142" s="19"/>
      <c r="AG1142" s="17"/>
      <c r="AK1142" s="7"/>
      <c r="AL1142" s="108">
        <f t="shared" si="269"/>
        <v>0</v>
      </c>
      <c r="AM1142" s="108">
        <f t="shared" si="270"/>
        <v>0</v>
      </c>
      <c r="AN1142" s="113"/>
    </row>
    <row r="1143" spans="2:40" x14ac:dyDescent="0.2">
      <c r="B1143" s="7"/>
      <c r="C1143" s="8"/>
      <c r="D1143" s="8"/>
      <c r="E1143" s="9"/>
      <c r="F1143" s="6"/>
      <c r="G1143" s="8"/>
      <c r="H1143" s="32"/>
      <c r="I1143" s="10" t="str">
        <f t="shared" si="267"/>
        <v>21</v>
      </c>
      <c r="J1143" s="11">
        <v>1</v>
      </c>
      <c r="K1143" s="11"/>
      <c r="L1143" s="11"/>
      <c r="M1143" s="11">
        <f t="shared" si="271"/>
        <v>0</v>
      </c>
      <c r="N1143" s="11"/>
      <c r="O1143" s="11">
        <f t="shared" si="272"/>
        <v>0</v>
      </c>
      <c r="P1143" s="11"/>
      <c r="Q1143" s="11"/>
      <c r="R1143" s="11"/>
      <c r="S1143" s="11">
        <f t="shared" si="273"/>
        <v>0</v>
      </c>
      <c r="T1143" s="11">
        <f t="shared" si="274"/>
        <v>1666.6666666666667</v>
      </c>
      <c r="U1143" s="11">
        <f t="shared" si="275"/>
        <v>0</v>
      </c>
      <c r="V1143" s="24">
        <f t="shared" si="276"/>
        <v>0</v>
      </c>
      <c r="W1143" s="11">
        <f>IF(V1143&lt;=40000,0,
IF(V1143&lt;=55000,(V1143-40000)*10%,
IF(V1143&lt;=70000,(V1143-55000)*15%+1500,
IF(V1143&lt;=200000,(V1143-70000)*20%+1500+2250,
IF(V1143&lt;=400000,(V1143-200000)*22.5%+1500+2250+26000,
IF(V1143&lt;=600000,(V1143-400000)*25%+1500+2250+26000+45000,
IF(AND(V1143&gt;600000,V1143&lt;=1200000),(V1143-400000)*25%+1500+2250+26000+45000
+IFERROR(LOOKUP(V1143,{600001;700001;800001;900001},{4000;6750;10250;15250}),0),IF(V1143&gt;1200000,((V1143-1200000)*27.5%)+300000,0)
)))))))</f>
        <v>0</v>
      </c>
      <c r="X1143" s="12">
        <f t="shared" si="277"/>
        <v>0</v>
      </c>
      <c r="Y1143" s="12">
        <f t="shared" si="278"/>
        <v>0</v>
      </c>
      <c r="Z1143" s="11"/>
      <c r="AA1143" s="13">
        <f t="shared" si="279"/>
        <v>0</v>
      </c>
      <c r="AB1143" s="12">
        <f t="shared" si="280"/>
        <v>0</v>
      </c>
      <c r="AC1143" s="14">
        <f t="shared" si="268"/>
        <v>0</v>
      </c>
      <c r="AE1143" s="19">
        <f t="shared" si="281"/>
        <v>0</v>
      </c>
      <c r="AF1143" s="19"/>
      <c r="AG1143" s="17"/>
      <c r="AK1143" s="7"/>
      <c r="AL1143" s="108">
        <f t="shared" si="269"/>
        <v>0</v>
      </c>
      <c r="AM1143" s="108">
        <f t="shared" si="270"/>
        <v>0</v>
      </c>
      <c r="AN1143" s="113"/>
    </row>
    <row r="1144" spans="2:40" x14ac:dyDescent="0.2">
      <c r="B1144" s="7"/>
      <c r="C1144" s="8"/>
      <c r="D1144" s="8"/>
      <c r="E1144" s="9"/>
      <c r="F1144" s="6"/>
      <c r="G1144" s="8"/>
      <c r="H1144" s="32"/>
      <c r="I1144" s="10" t="str">
        <f t="shared" si="267"/>
        <v>21</v>
      </c>
      <c r="J1144" s="11">
        <v>1</v>
      </c>
      <c r="K1144" s="11"/>
      <c r="L1144" s="11"/>
      <c r="M1144" s="11">
        <f t="shared" si="271"/>
        <v>0</v>
      </c>
      <c r="N1144" s="11"/>
      <c r="O1144" s="11">
        <f t="shared" si="272"/>
        <v>0</v>
      </c>
      <c r="P1144" s="11"/>
      <c r="Q1144" s="11"/>
      <c r="R1144" s="11"/>
      <c r="S1144" s="11">
        <f t="shared" si="273"/>
        <v>0</v>
      </c>
      <c r="T1144" s="11">
        <f t="shared" si="274"/>
        <v>1666.6666666666667</v>
      </c>
      <c r="U1144" s="11">
        <f t="shared" si="275"/>
        <v>0</v>
      </c>
      <c r="V1144" s="24">
        <f t="shared" si="276"/>
        <v>0</v>
      </c>
      <c r="W1144" s="11">
        <f>IF(V1144&lt;=40000,0,
IF(V1144&lt;=55000,(V1144-40000)*10%,
IF(V1144&lt;=70000,(V1144-55000)*15%+1500,
IF(V1144&lt;=200000,(V1144-70000)*20%+1500+2250,
IF(V1144&lt;=400000,(V1144-200000)*22.5%+1500+2250+26000,
IF(V1144&lt;=600000,(V1144-400000)*25%+1500+2250+26000+45000,
IF(AND(V1144&gt;600000,V1144&lt;=1200000),(V1144-400000)*25%+1500+2250+26000+45000
+IFERROR(LOOKUP(V1144,{600001;700001;800001;900001},{4000;6750;10250;15250}),0),IF(V1144&gt;1200000,((V1144-1200000)*27.5%)+300000,0)
)))))))</f>
        <v>0</v>
      </c>
      <c r="X1144" s="12">
        <f t="shared" si="277"/>
        <v>0</v>
      </c>
      <c r="Y1144" s="12">
        <f t="shared" si="278"/>
        <v>0</v>
      </c>
      <c r="Z1144" s="11"/>
      <c r="AA1144" s="13">
        <f t="shared" si="279"/>
        <v>0</v>
      </c>
      <c r="AB1144" s="12">
        <f t="shared" si="280"/>
        <v>0</v>
      </c>
      <c r="AC1144" s="14">
        <f t="shared" si="268"/>
        <v>0</v>
      </c>
      <c r="AE1144" s="19">
        <f t="shared" si="281"/>
        <v>0</v>
      </c>
      <c r="AF1144" s="19"/>
      <c r="AG1144" s="17"/>
      <c r="AK1144" s="7"/>
      <c r="AL1144" s="108">
        <f t="shared" si="269"/>
        <v>0</v>
      </c>
      <c r="AM1144" s="108">
        <f t="shared" si="270"/>
        <v>0</v>
      </c>
      <c r="AN1144" s="113"/>
    </row>
    <row r="1145" spans="2:40" x14ac:dyDescent="0.2">
      <c r="B1145" s="7"/>
      <c r="C1145" s="8"/>
      <c r="D1145" s="8"/>
      <c r="E1145" s="9"/>
      <c r="F1145" s="6"/>
      <c r="G1145" s="8"/>
      <c r="H1145" s="32"/>
      <c r="I1145" s="10" t="str">
        <f t="shared" si="267"/>
        <v>21</v>
      </c>
      <c r="J1145" s="11">
        <v>1</v>
      </c>
      <c r="K1145" s="11"/>
      <c r="L1145" s="11"/>
      <c r="M1145" s="11">
        <f t="shared" si="271"/>
        <v>0</v>
      </c>
      <c r="N1145" s="11"/>
      <c r="O1145" s="11">
        <f t="shared" si="272"/>
        <v>0</v>
      </c>
      <c r="P1145" s="11"/>
      <c r="Q1145" s="11"/>
      <c r="R1145" s="11"/>
      <c r="S1145" s="11">
        <f t="shared" si="273"/>
        <v>0</v>
      </c>
      <c r="T1145" s="11">
        <f t="shared" si="274"/>
        <v>1666.6666666666667</v>
      </c>
      <c r="U1145" s="11">
        <f t="shared" si="275"/>
        <v>0</v>
      </c>
      <c r="V1145" s="24">
        <f t="shared" si="276"/>
        <v>0</v>
      </c>
      <c r="W1145" s="11">
        <f>IF(V1145&lt;=40000,0,
IF(V1145&lt;=55000,(V1145-40000)*10%,
IF(V1145&lt;=70000,(V1145-55000)*15%+1500,
IF(V1145&lt;=200000,(V1145-70000)*20%+1500+2250,
IF(V1145&lt;=400000,(V1145-200000)*22.5%+1500+2250+26000,
IF(V1145&lt;=600000,(V1145-400000)*25%+1500+2250+26000+45000,
IF(AND(V1145&gt;600000,V1145&lt;=1200000),(V1145-400000)*25%+1500+2250+26000+45000
+IFERROR(LOOKUP(V1145,{600001;700001;800001;900001},{4000;6750;10250;15250}),0),IF(V1145&gt;1200000,((V1145-1200000)*27.5%)+300000,0)
)))))))</f>
        <v>0</v>
      </c>
      <c r="X1145" s="12">
        <f t="shared" si="277"/>
        <v>0</v>
      </c>
      <c r="Y1145" s="12">
        <f t="shared" si="278"/>
        <v>0</v>
      </c>
      <c r="Z1145" s="11"/>
      <c r="AA1145" s="13">
        <f t="shared" si="279"/>
        <v>0</v>
      </c>
      <c r="AB1145" s="12">
        <f t="shared" si="280"/>
        <v>0</v>
      </c>
      <c r="AC1145" s="14">
        <f t="shared" si="268"/>
        <v>0</v>
      </c>
      <c r="AE1145" s="19">
        <f t="shared" si="281"/>
        <v>0</v>
      </c>
      <c r="AF1145" s="19"/>
      <c r="AG1145" s="17"/>
      <c r="AK1145" s="7"/>
      <c r="AL1145" s="108">
        <f t="shared" si="269"/>
        <v>0</v>
      </c>
      <c r="AM1145" s="108">
        <f t="shared" si="270"/>
        <v>0</v>
      </c>
      <c r="AN1145" s="113"/>
    </row>
    <row r="1146" spans="2:40" x14ac:dyDescent="0.2">
      <c r="B1146" s="7"/>
      <c r="C1146" s="8"/>
      <c r="D1146" s="8"/>
      <c r="E1146" s="9"/>
      <c r="F1146" s="6"/>
      <c r="G1146" s="8"/>
      <c r="H1146" s="32"/>
      <c r="I1146" s="10" t="str">
        <f t="shared" si="267"/>
        <v>21</v>
      </c>
      <c r="J1146" s="11">
        <v>1</v>
      </c>
      <c r="K1146" s="11"/>
      <c r="L1146" s="11"/>
      <c r="M1146" s="11">
        <f t="shared" si="271"/>
        <v>0</v>
      </c>
      <c r="N1146" s="11"/>
      <c r="O1146" s="11">
        <f t="shared" si="272"/>
        <v>0</v>
      </c>
      <c r="P1146" s="11"/>
      <c r="Q1146" s="11"/>
      <c r="R1146" s="11"/>
      <c r="S1146" s="11">
        <f t="shared" si="273"/>
        <v>0</v>
      </c>
      <c r="T1146" s="11">
        <f t="shared" si="274"/>
        <v>1666.6666666666667</v>
      </c>
      <c r="U1146" s="11">
        <f t="shared" si="275"/>
        <v>0</v>
      </c>
      <c r="V1146" s="24">
        <f t="shared" si="276"/>
        <v>0</v>
      </c>
      <c r="W1146" s="11">
        <f>IF(V1146&lt;=40000,0,
IF(V1146&lt;=55000,(V1146-40000)*10%,
IF(V1146&lt;=70000,(V1146-55000)*15%+1500,
IF(V1146&lt;=200000,(V1146-70000)*20%+1500+2250,
IF(V1146&lt;=400000,(V1146-200000)*22.5%+1500+2250+26000,
IF(V1146&lt;=600000,(V1146-400000)*25%+1500+2250+26000+45000,
IF(AND(V1146&gt;600000,V1146&lt;=1200000),(V1146-400000)*25%+1500+2250+26000+45000
+IFERROR(LOOKUP(V1146,{600001;700001;800001;900001},{4000;6750;10250;15250}),0),IF(V1146&gt;1200000,((V1146-1200000)*27.5%)+300000,0)
)))))))</f>
        <v>0</v>
      </c>
      <c r="X1146" s="12">
        <f t="shared" si="277"/>
        <v>0</v>
      </c>
      <c r="Y1146" s="12">
        <f t="shared" si="278"/>
        <v>0</v>
      </c>
      <c r="Z1146" s="11"/>
      <c r="AA1146" s="13">
        <f t="shared" si="279"/>
        <v>0</v>
      </c>
      <c r="AB1146" s="12">
        <f t="shared" si="280"/>
        <v>0</v>
      </c>
      <c r="AC1146" s="14">
        <f t="shared" si="268"/>
        <v>0</v>
      </c>
      <c r="AE1146" s="19">
        <f t="shared" si="281"/>
        <v>0</v>
      </c>
      <c r="AF1146" s="19"/>
      <c r="AG1146" s="17"/>
      <c r="AK1146" s="7"/>
      <c r="AL1146" s="108">
        <f t="shared" si="269"/>
        <v>0</v>
      </c>
      <c r="AM1146" s="108">
        <f t="shared" si="270"/>
        <v>0</v>
      </c>
      <c r="AN1146" s="113"/>
    </row>
    <row r="1147" spans="2:40" x14ac:dyDescent="0.2">
      <c r="B1147" s="7"/>
      <c r="C1147" s="8"/>
      <c r="D1147" s="8"/>
      <c r="E1147" s="9"/>
      <c r="F1147" s="6"/>
      <c r="G1147" s="8"/>
      <c r="H1147" s="32"/>
      <c r="I1147" s="10" t="str">
        <f t="shared" si="267"/>
        <v>21</v>
      </c>
      <c r="J1147" s="11">
        <v>1</v>
      </c>
      <c r="K1147" s="11"/>
      <c r="L1147" s="11"/>
      <c r="M1147" s="11">
        <f t="shared" si="271"/>
        <v>0</v>
      </c>
      <c r="N1147" s="11"/>
      <c r="O1147" s="11">
        <f t="shared" si="272"/>
        <v>0</v>
      </c>
      <c r="P1147" s="11"/>
      <c r="Q1147" s="11"/>
      <c r="R1147" s="11"/>
      <c r="S1147" s="11">
        <f t="shared" si="273"/>
        <v>0</v>
      </c>
      <c r="T1147" s="11">
        <f t="shared" si="274"/>
        <v>1666.6666666666667</v>
      </c>
      <c r="U1147" s="11">
        <f t="shared" si="275"/>
        <v>0</v>
      </c>
      <c r="V1147" s="24">
        <f t="shared" si="276"/>
        <v>0</v>
      </c>
      <c r="W1147" s="11">
        <f>IF(V1147&lt;=40000,0,
IF(V1147&lt;=55000,(V1147-40000)*10%,
IF(V1147&lt;=70000,(V1147-55000)*15%+1500,
IF(V1147&lt;=200000,(V1147-70000)*20%+1500+2250,
IF(V1147&lt;=400000,(V1147-200000)*22.5%+1500+2250+26000,
IF(V1147&lt;=600000,(V1147-400000)*25%+1500+2250+26000+45000,
IF(AND(V1147&gt;600000,V1147&lt;=1200000),(V1147-400000)*25%+1500+2250+26000+45000
+IFERROR(LOOKUP(V1147,{600001;700001;800001;900001},{4000;6750;10250;15250}),0),IF(V1147&gt;1200000,((V1147-1200000)*27.5%)+300000,0)
)))))))</f>
        <v>0</v>
      </c>
      <c r="X1147" s="12">
        <f t="shared" si="277"/>
        <v>0</v>
      </c>
      <c r="Y1147" s="12">
        <f t="shared" si="278"/>
        <v>0</v>
      </c>
      <c r="Z1147" s="11"/>
      <c r="AA1147" s="13">
        <f t="shared" si="279"/>
        <v>0</v>
      </c>
      <c r="AB1147" s="12">
        <f t="shared" si="280"/>
        <v>0</v>
      </c>
      <c r="AC1147" s="14">
        <f t="shared" si="268"/>
        <v>0</v>
      </c>
      <c r="AE1147" s="19">
        <f t="shared" si="281"/>
        <v>0</v>
      </c>
      <c r="AF1147" s="19"/>
      <c r="AG1147" s="17"/>
      <c r="AK1147" s="7"/>
      <c r="AL1147" s="108">
        <f t="shared" si="269"/>
        <v>0</v>
      </c>
      <c r="AM1147" s="108">
        <f t="shared" si="270"/>
        <v>0</v>
      </c>
      <c r="AN1147" s="113"/>
    </row>
    <row r="1148" spans="2:40" x14ac:dyDescent="0.2">
      <c r="B1148" s="7"/>
      <c r="C1148" s="8"/>
      <c r="D1148" s="8"/>
      <c r="E1148" s="9"/>
      <c r="F1148" s="6"/>
      <c r="G1148" s="8"/>
      <c r="H1148" s="32"/>
      <c r="I1148" s="10" t="str">
        <f t="shared" si="267"/>
        <v>21</v>
      </c>
      <c r="J1148" s="11">
        <v>1</v>
      </c>
      <c r="K1148" s="11"/>
      <c r="L1148" s="11"/>
      <c r="M1148" s="11">
        <f t="shared" si="271"/>
        <v>0</v>
      </c>
      <c r="N1148" s="11"/>
      <c r="O1148" s="11">
        <f t="shared" si="272"/>
        <v>0</v>
      </c>
      <c r="P1148" s="11"/>
      <c r="Q1148" s="11"/>
      <c r="R1148" s="11"/>
      <c r="S1148" s="11">
        <f t="shared" si="273"/>
        <v>0</v>
      </c>
      <c r="T1148" s="11">
        <f t="shared" si="274"/>
        <v>1666.6666666666667</v>
      </c>
      <c r="U1148" s="11">
        <f t="shared" si="275"/>
        <v>0</v>
      </c>
      <c r="V1148" s="24">
        <f t="shared" si="276"/>
        <v>0</v>
      </c>
      <c r="W1148" s="11">
        <f>IF(V1148&lt;=40000,0,
IF(V1148&lt;=55000,(V1148-40000)*10%,
IF(V1148&lt;=70000,(V1148-55000)*15%+1500,
IF(V1148&lt;=200000,(V1148-70000)*20%+1500+2250,
IF(V1148&lt;=400000,(V1148-200000)*22.5%+1500+2250+26000,
IF(V1148&lt;=600000,(V1148-400000)*25%+1500+2250+26000+45000,
IF(AND(V1148&gt;600000,V1148&lt;=1200000),(V1148-400000)*25%+1500+2250+26000+45000
+IFERROR(LOOKUP(V1148,{600001;700001;800001;900001},{4000;6750;10250;15250}),0),IF(V1148&gt;1200000,((V1148-1200000)*27.5%)+300000,0)
)))))))</f>
        <v>0</v>
      </c>
      <c r="X1148" s="12">
        <f t="shared" si="277"/>
        <v>0</v>
      </c>
      <c r="Y1148" s="12">
        <f t="shared" si="278"/>
        <v>0</v>
      </c>
      <c r="Z1148" s="11"/>
      <c r="AA1148" s="13">
        <f t="shared" si="279"/>
        <v>0</v>
      </c>
      <c r="AB1148" s="12">
        <f t="shared" si="280"/>
        <v>0</v>
      </c>
      <c r="AC1148" s="14">
        <f t="shared" si="268"/>
        <v>0</v>
      </c>
      <c r="AE1148" s="19">
        <f t="shared" si="281"/>
        <v>0</v>
      </c>
      <c r="AF1148" s="19"/>
      <c r="AG1148" s="17"/>
      <c r="AK1148" s="7"/>
      <c r="AL1148" s="108">
        <f t="shared" si="269"/>
        <v>0</v>
      </c>
      <c r="AM1148" s="108">
        <f t="shared" si="270"/>
        <v>0</v>
      </c>
      <c r="AN1148" s="113"/>
    </row>
    <row r="1149" spans="2:40" x14ac:dyDescent="0.2">
      <c r="B1149" s="7"/>
      <c r="C1149" s="8"/>
      <c r="D1149" s="8"/>
      <c r="E1149" s="9"/>
      <c r="F1149" s="6"/>
      <c r="G1149" s="8"/>
      <c r="H1149" s="32"/>
      <c r="I1149" s="10" t="str">
        <f t="shared" si="267"/>
        <v>21</v>
      </c>
      <c r="J1149" s="11">
        <v>1</v>
      </c>
      <c r="K1149" s="11"/>
      <c r="L1149" s="11"/>
      <c r="M1149" s="11">
        <f t="shared" si="271"/>
        <v>0</v>
      </c>
      <c r="N1149" s="11"/>
      <c r="O1149" s="11">
        <f t="shared" si="272"/>
        <v>0</v>
      </c>
      <c r="P1149" s="11"/>
      <c r="Q1149" s="11"/>
      <c r="R1149" s="11"/>
      <c r="S1149" s="11">
        <f t="shared" si="273"/>
        <v>0</v>
      </c>
      <c r="T1149" s="11">
        <f t="shared" si="274"/>
        <v>1666.6666666666667</v>
      </c>
      <c r="U1149" s="11">
        <f t="shared" si="275"/>
        <v>0</v>
      </c>
      <c r="V1149" s="24">
        <f t="shared" si="276"/>
        <v>0</v>
      </c>
      <c r="W1149" s="11">
        <f>IF(V1149&lt;=40000,0,
IF(V1149&lt;=55000,(V1149-40000)*10%,
IF(V1149&lt;=70000,(V1149-55000)*15%+1500,
IF(V1149&lt;=200000,(V1149-70000)*20%+1500+2250,
IF(V1149&lt;=400000,(V1149-200000)*22.5%+1500+2250+26000,
IF(V1149&lt;=600000,(V1149-400000)*25%+1500+2250+26000+45000,
IF(AND(V1149&gt;600000,V1149&lt;=1200000),(V1149-400000)*25%+1500+2250+26000+45000
+IFERROR(LOOKUP(V1149,{600001;700001;800001;900001},{4000;6750;10250;15250}),0),IF(V1149&gt;1200000,((V1149-1200000)*27.5%)+300000,0)
)))))))</f>
        <v>0</v>
      </c>
      <c r="X1149" s="12">
        <f t="shared" si="277"/>
        <v>0</v>
      </c>
      <c r="Y1149" s="12">
        <f t="shared" si="278"/>
        <v>0</v>
      </c>
      <c r="Z1149" s="11"/>
      <c r="AA1149" s="13">
        <f t="shared" si="279"/>
        <v>0</v>
      </c>
      <c r="AB1149" s="12">
        <f t="shared" si="280"/>
        <v>0</v>
      </c>
      <c r="AC1149" s="14">
        <f t="shared" si="268"/>
        <v>0</v>
      </c>
      <c r="AE1149" s="19">
        <f t="shared" si="281"/>
        <v>0</v>
      </c>
      <c r="AF1149" s="19"/>
      <c r="AG1149" s="17"/>
      <c r="AK1149" s="7"/>
      <c r="AL1149" s="108">
        <f t="shared" si="269"/>
        <v>0</v>
      </c>
      <c r="AM1149" s="108">
        <f t="shared" si="270"/>
        <v>0</v>
      </c>
      <c r="AN1149" s="113"/>
    </row>
    <row r="1150" spans="2:40" x14ac:dyDescent="0.2">
      <c r="B1150" s="7"/>
      <c r="C1150" s="8"/>
      <c r="D1150" s="8"/>
      <c r="E1150" s="9"/>
      <c r="F1150" s="6"/>
      <c r="G1150" s="8"/>
      <c r="H1150" s="32"/>
      <c r="I1150" s="10" t="str">
        <f t="shared" si="267"/>
        <v>21</v>
      </c>
      <c r="J1150" s="11">
        <v>1</v>
      </c>
      <c r="K1150" s="11"/>
      <c r="L1150" s="11"/>
      <c r="M1150" s="11">
        <f t="shared" si="271"/>
        <v>0</v>
      </c>
      <c r="N1150" s="11"/>
      <c r="O1150" s="11">
        <f t="shared" si="272"/>
        <v>0</v>
      </c>
      <c r="P1150" s="11"/>
      <c r="Q1150" s="11"/>
      <c r="R1150" s="11"/>
      <c r="S1150" s="11">
        <f t="shared" si="273"/>
        <v>0</v>
      </c>
      <c r="T1150" s="11">
        <f t="shared" si="274"/>
        <v>1666.6666666666667</v>
      </c>
      <c r="U1150" s="11">
        <f t="shared" si="275"/>
        <v>0</v>
      </c>
      <c r="V1150" s="24">
        <f t="shared" si="276"/>
        <v>0</v>
      </c>
      <c r="W1150" s="11">
        <f>IF(V1150&lt;=40000,0,
IF(V1150&lt;=55000,(V1150-40000)*10%,
IF(V1150&lt;=70000,(V1150-55000)*15%+1500,
IF(V1150&lt;=200000,(V1150-70000)*20%+1500+2250,
IF(V1150&lt;=400000,(V1150-200000)*22.5%+1500+2250+26000,
IF(V1150&lt;=600000,(V1150-400000)*25%+1500+2250+26000+45000,
IF(AND(V1150&gt;600000,V1150&lt;=1200000),(V1150-400000)*25%+1500+2250+26000+45000
+IFERROR(LOOKUP(V1150,{600001;700001;800001;900001},{4000;6750;10250;15250}),0),IF(V1150&gt;1200000,((V1150-1200000)*27.5%)+300000,0)
)))))))</f>
        <v>0</v>
      </c>
      <c r="X1150" s="12">
        <f t="shared" si="277"/>
        <v>0</v>
      </c>
      <c r="Y1150" s="12">
        <f t="shared" si="278"/>
        <v>0</v>
      </c>
      <c r="Z1150" s="11"/>
      <c r="AA1150" s="13">
        <f t="shared" si="279"/>
        <v>0</v>
      </c>
      <c r="AB1150" s="12">
        <f t="shared" si="280"/>
        <v>0</v>
      </c>
      <c r="AC1150" s="14">
        <f t="shared" si="268"/>
        <v>0</v>
      </c>
      <c r="AE1150" s="19">
        <f t="shared" si="281"/>
        <v>0</v>
      </c>
      <c r="AF1150" s="19"/>
      <c r="AG1150" s="17"/>
      <c r="AK1150" s="7"/>
      <c r="AL1150" s="108">
        <f t="shared" si="269"/>
        <v>0</v>
      </c>
      <c r="AM1150" s="108">
        <f t="shared" si="270"/>
        <v>0</v>
      </c>
      <c r="AN1150" s="113"/>
    </row>
    <row r="1151" spans="2:40" x14ac:dyDescent="0.2">
      <c r="B1151" s="7"/>
      <c r="C1151" s="8"/>
      <c r="D1151" s="8"/>
      <c r="E1151" s="9"/>
      <c r="F1151" s="6"/>
      <c r="G1151" s="8"/>
      <c r="H1151" s="32"/>
      <c r="I1151" s="10" t="str">
        <f t="shared" si="267"/>
        <v>21</v>
      </c>
      <c r="J1151" s="11">
        <v>1</v>
      </c>
      <c r="K1151" s="11"/>
      <c r="L1151" s="11"/>
      <c r="M1151" s="11">
        <f t="shared" si="271"/>
        <v>0</v>
      </c>
      <c r="N1151" s="11"/>
      <c r="O1151" s="11">
        <f t="shared" si="272"/>
        <v>0</v>
      </c>
      <c r="P1151" s="11"/>
      <c r="Q1151" s="11"/>
      <c r="R1151" s="11"/>
      <c r="S1151" s="11">
        <f t="shared" si="273"/>
        <v>0</v>
      </c>
      <c r="T1151" s="11">
        <f t="shared" si="274"/>
        <v>1666.6666666666667</v>
      </c>
      <c r="U1151" s="11">
        <f t="shared" si="275"/>
        <v>0</v>
      </c>
      <c r="V1151" s="24">
        <f t="shared" si="276"/>
        <v>0</v>
      </c>
      <c r="W1151" s="11">
        <f>IF(V1151&lt;=40000,0,
IF(V1151&lt;=55000,(V1151-40000)*10%,
IF(V1151&lt;=70000,(V1151-55000)*15%+1500,
IF(V1151&lt;=200000,(V1151-70000)*20%+1500+2250,
IF(V1151&lt;=400000,(V1151-200000)*22.5%+1500+2250+26000,
IF(V1151&lt;=600000,(V1151-400000)*25%+1500+2250+26000+45000,
IF(AND(V1151&gt;600000,V1151&lt;=1200000),(V1151-400000)*25%+1500+2250+26000+45000
+IFERROR(LOOKUP(V1151,{600001;700001;800001;900001},{4000;6750;10250;15250}),0),IF(V1151&gt;1200000,((V1151-1200000)*27.5%)+300000,0)
)))))))</f>
        <v>0</v>
      </c>
      <c r="X1151" s="12">
        <f t="shared" si="277"/>
        <v>0</v>
      </c>
      <c r="Y1151" s="12">
        <f t="shared" si="278"/>
        <v>0</v>
      </c>
      <c r="Z1151" s="11"/>
      <c r="AA1151" s="13">
        <f t="shared" si="279"/>
        <v>0</v>
      </c>
      <c r="AB1151" s="12">
        <f t="shared" si="280"/>
        <v>0</v>
      </c>
      <c r="AC1151" s="14">
        <f t="shared" si="268"/>
        <v>0</v>
      </c>
      <c r="AE1151" s="19">
        <f t="shared" si="281"/>
        <v>0</v>
      </c>
      <c r="AF1151" s="19"/>
      <c r="AG1151" s="17"/>
      <c r="AK1151" s="7"/>
      <c r="AL1151" s="108">
        <f t="shared" si="269"/>
        <v>0</v>
      </c>
      <c r="AM1151" s="108">
        <f t="shared" si="270"/>
        <v>0</v>
      </c>
      <c r="AN1151" s="113"/>
    </row>
    <row r="1152" spans="2:40" x14ac:dyDescent="0.2">
      <c r="B1152" s="7"/>
      <c r="C1152" s="8"/>
      <c r="D1152" s="8"/>
      <c r="E1152" s="9"/>
      <c r="F1152" s="6"/>
      <c r="G1152" s="8"/>
      <c r="H1152" s="32"/>
      <c r="I1152" s="10" t="str">
        <f t="shared" si="267"/>
        <v>21</v>
      </c>
      <c r="J1152" s="11">
        <v>1</v>
      </c>
      <c r="K1152" s="11"/>
      <c r="L1152" s="11"/>
      <c r="M1152" s="11">
        <f t="shared" si="271"/>
        <v>0</v>
      </c>
      <c r="N1152" s="11"/>
      <c r="O1152" s="11">
        <f t="shared" si="272"/>
        <v>0</v>
      </c>
      <c r="P1152" s="11"/>
      <c r="Q1152" s="11"/>
      <c r="R1152" s="11"/>
      <c r="S1152" s="11">
        <f t="shared" si="273"/>
        <v>0</v>
      </c>
      <c r="T1152" s="11">
        <f t="shared" si="274"/>
        <v>1666.6666666666667</v>
      </c>
      <c r="U1152" s="11">
        <f t="shared" si="275"/>
        <v>0</v>
      </c>
      <c r="V1152" s="24">
        <f t="shared" si="276"/>
        <v>0</v>
      </c>
      <c r="W1152" s="11">
        <f>IF(V1152&lt;=40000,0,
IF(V1152&lt;=55000,(V1152-40000)*10%,
IF(V1152&lt;=70000,(V1152-55000)*15%+1500,
IF(V1152&lt;=200000,(V1152-70000)*20%+1500+2250,
IF(V1152&lt;=400000,(V1152-200000)*22.5%+1500+2250+26000,
IF(V1152&lt;=600000,(V1152-400000)*25%+1500+2250+26000+45000,
IF(AND(V1152&gt;600000,V1152&lt;=1200000),(V1152-400000)*25%+1500+2250+26000+45000
+IFERROR(LOOKUP(V1152,{600001;700001;800001;900001},{4000;6750;10250;15250}),0),IF(V1152&gt;1200000,((V1152-1200000)*27.5%)+300000,0)
)))))))</f>
        <v>0</v>
      </c>
      <c r="X1152" s="12">
        <f t="shared" si="277"/>
        <v>0</v>
      </c>
      <c r="Y1152" s="12">
        <f t="shared" si="278"/>
        <v>0</v>
      </c>
      <c r="Z1152" s="11"/>
      <c r="AA1152" s="13">
        <f t="shared" si="279"/>
        <v>0</v>
      </c>
      <c r="AB1152" s="12">
        <f t="shared" si="280"/>
        <v>0</v>
      </c>
      <c r="AC1152" s="14">
        <f t="shared" si="268"/>
        <v>0</v>
      </c>
      <c r="AE1152" s="19">
        <f t="shared" si="281"/>
        <v>0</v>
      </c>
      <c r="AF1152" s="19"/>
      <c r="AG1152" s="17"/>
      <c r="AK1152" s="7"/>
      <c r="AL1152" s="108">
        <f t="shared" si="269"/>
        <v>0</v>
      </c>
      <c r="AM1152" s="108">
        <f t="shared" si="270"/>
        <v>0</v>
      </c>
      <c r="AN1152" s="113"/>
    </row>
    <row r="1153" spans="2:40" x14ac:dyDescent="0.2">
      <c r="B1153" s="7"/>
      <c r="C1153" s="8"/>
      <c r="D1153" s="8"/>
      <c r="E1153" s="9"/>
      <c r="F1153" s="6"/>
      <c r="G1153" s="8"/>
      <c r="H1153" s="32"/>
      <c r="I1153" s="10" t="str">
        <f t="shared" si="267"/>
        <v>21</v>
      </c>
      <c r="J1153" s="11">
        <v>1</v>
      </c>
      <c r="K1153" s="11"/>
      <c r="L1153" s="11"/>
      <c r="M1153" s="11">
        <f t="shared" si="271"/>
        <v>0</v>
      </c>
      <c r="N1153" s="11"/>
      <c r="O1153" s="11">
        <f t="shared" si="272"/>
        <v>0</v>
      </c>
      <c r="P1153" s="11"/>
      <c r="Q1153" s="11"/>
      <c r="R1153" s="11"/>
      <c r="S1153" s="11">
        <f t="shared" si="273"/>
        <v>0</v>
      </c>
      <c r="T1153" s="11">
        <f t="shared" si="274"/>
        <v>1666.6666666666667</v>
      </c>
      <c r="U1153" s="11">
        <f t="shared" si="275"/>
        <v>0</v>
      </c>
      <c r="V1153" s="24">
        <f t="shared" si="276"/>
        <v>0</v>
      </c>
      <c r="W1153" s="11">
        <f>IF(V1153&lt;=40000,0,
IF(V1153&lt;=55000,(V1153-40000)*10%,
IF(V1153&lt;=70000,(V1153-55000)*15%+1500,
IF(V1153&lt;=200000,(V1153-70000)*20%+1500+2250,
IF(V1153&lt;=400000,(V1153-200000)*22.5%+1500+2250+26000,
IF(V1153&lt;=600000,(V1153-400000)*25%+1500+2250+26000+45000,
IF(AND(V1153&gt;600000,V1153&lt;=1200000),(V1153-400000)*25%+1500+2250+26000+45000
+IFERROR(LOOKUP(V1153,{600001;700001;800001;900001},{4000;6750;10250;15250}),0),IF(V1153&gt;1200000,((V1153-1200000)*27.5%)+300000,0)
)))))))</f>
        <v>0</v>
      </c>
      <c r="X1153" s="12">
        <f t="shared" si="277"/>
        <v>0</v>
      </c>
      <c r="Y1153" s="12">
        <f t="shared" si="278"/>
        <v>0</v>
      </c>
      <c r="Z1153" s="11"/>
      <c r="AA1153" s="13">
        <f t="shared" si="279"/>
        <v>0</v>
      </c>
      <c r="AB1153" s="12">
        <f t="shared" si="280"/>
        <v>0</v>
      </c>
      <c r="AC1153" s="14">
        <f t="shared" si="268"/>
        <v>0</v>
      </c>
      <c r="AE1153" s="19">
        <f t="shared" si="281"/>
        <v>0</v>
      </c>
      <c r="AF1153" s="19"/>
      <c r="AG1153" s="17"/>
      <c r="AK1153" s="7"/>
      <c r="AL1153" s="108">
        <f t="shared" si="269"/>
        <v>0</v>
      </c>
      <c r="AM1153" s="108">
        <f t="shared" si="270"/>
        <v>0</v>
      </c>
      <c r="AN1153" s="113"/>
    </row>
    <row r="1154" spans="2:40" x14ac:dyDescent="0.2">
      <c r="B1154" s="7"/>
      <c r="C1154" s="8"/>
      <c r="D1154" s="8"/>
      <c r="E1154" s="9"/>
      <c r="F1154" s="6"/>
      <c r="G1154" s="8"/>
      <c r="H1154" s="32"/>
      <c r="I1154" s="10" t="str">
        <f t="shared" si="267"/>
        <v>21</v>
      </c>
      <c r="J1154" s="11">
        <v>1</v>
      </c>
      <c r="K1154" s="11"/>
      <c r="L1154" s="11"/>
      <c r="M1154" s="11">
        <f t="shared" si="271"/>
        <v>0</v>
      </c>
      <c r="N1154" s="11"/>
      <c r="O1154" s="11">
        <f t="shared" si="272"/>
        <v>0</v>
      </c>
      <c r="P1154" s="11"/>
      <c r="Q1154" s="11"/>
      <c r="R1154" s="11"/>
      <c r="S1154" s="11">
        <f t="shared" si="273"/>
        <v>0</v>
      </c>
      <c r="T1154" s="11">
        <f t="shared" si="274"/>
        <v>1666.6666666666667</v>
      </c>
      <c r="U1154" s="11">
        <f t="shared" si="275"/>
        <v>0</v>
      </c>
      <c r="V1154" s="24">
        <f t="shared" si="276"/>
        <v>0</v>
      </c>
      <c r="W1154" s="11">
        <f>IF(V1154&lt;=40000,0,
IF(V1154&lt;=55000,(V1154-40000)*10%,
IF(V1154&lt;=70000,(V1154-55000)*15%+1500,
IF(V1154&lt;=200000,(V1154-70000)*20%+1500+2250,
IF(V1154&lt;=400000,(V1154-200000)*22.5%+1500+2250+26000,
IF(V1154&lt;=600000,(V1154-400000)*25%+1500+2250+26000+45000,
IF(AND(V1154&gt;600000,V1154&lt;=1200000),(V1154-400000)*25%+1500+2250+26000+45000
+IFERROR(LOOKUP(V1154,{600001;700001;800001;900001},{4000;6750;10250;15250}),0),IF(V1154&gt;1200000,((V1154-1200000)*27.5%)+300000,0)
)))))))</f>
        <v>0</v>
      </c>
      <c r="X1154" s="12">
        <f t="shared" si="277"/>
        <v>0</v>
      </c>
      <c r="Y1154" s="12">
        <f t="shared" si="278"/>
        <v>0</v>
      </c>
      <c r="Z1154" s="11"/>
      <c r="AA1154" s="13">
        <f t="shared" si="279"/>
        <v>0</v>
      </c>
      <c r="AB1154" s="12">
        <f t="shared" si="280"/>
        <v>0</v>
      </c>
      <c r="AC1154" s="14">
        <f t="shared" si="268"/>
        <v>0</v>
      </c>
      <c r="AE1154" s="19">
        <f t="shared" si="281"/>
        <v>0</v>
      </c>
      <c r="AF1154" s="19"/>
      <c r="AG1154" s="17"/>
      <c r="AK1154" s="7"/>
      <c r="AL1154" s="108">
        <f t="shared" si="269"/>
        <v>0</v>
      </c>
      <c r="AM1154" s="108">
        <f t="shared" si="270"/>
        <v>0</v>
      </c>
      <c r="AN1154" s="113"/>
    </row>
    <row r="1155" spans="2:40" x14ac:dyDescent="0.2">
      <c r="B1155" s="7"/>
      <c r="C1155" s="8"/>
      <c r="D1155" s="8"/>
      <c r="E1155" s="9"/>
      <c r="F1155" s="6"/>
      <c r="G1155" s="8"/>
      <c r="H1155" s="32"/>
      <c r="I1155" s="10" t="str">
        <f t="shared" si="267"/>
        <v>21</v>
      </c>
      <c r="J1155" s="11">
        <v>1</v>
      </c>
      <c r="K1155" s="11"/>
      <c r="L1155" s="11"/>
      <c r="M1155" s="11">
        <f t="shared" si="271"/>
        <v>0</v>
      </c>
      <c r="N1155" s="11"/>
      <c r="O1155" s="11">
        <f t="shared" si="272"/>
        <v>0</v>
      </c>
      <c r="P1155" s="11"/>
      <c r="Q1155" s="11"/>
      <c r="R1155" s="11"/>
      <c r="S1155" s="11">
        <f t="shared" si="273"/>
        <v>0</v>
      </c>
      <c r="T1155" s="11">
        <f t="shared" si="274"/>
        <v>1666.6666666666667</v>
      </c>
      <c r="U1155" s="11">
        <f t="shared" si="275"/>
        <v>0</v>
      </c>
      <c r="V1155" s="24">
        <f t="shared" si="276"/>
        <v>0</v>
      </c>
      <c r="W1155" s="11">
        <f>IF(V1155&lt;=40000,0,
IF(V1155&lt;=55000,(V1155-40000)*10%,
IF(V1155&lt;=70000,(V1155-55000)*15%+1500,
IF(V1155&lt;=200000,(V1155-70000)*20%+1500+2250,
IF(V1155&lt;=400000,(V1155-200000)*22.5%+1500+2250+26000,
IF(V1155&lt;=600000,(V1155-400000)*25%+1500+2250+26000+45000,
IF(AND(V1155&gt;600000,V1155&lt;=1200000),(V1155-400000)*25%+1500+2250+26000+45000
+IFERROR(LOOKUP(V1155,{600001;700001;800001;900001},{4000;6750;10250;15250}),0),IF(V1155&gt;1200000,((V1155-1200000)*27.5%)+300000,0)
)))))))</f>
        <v>0</v>
      </c>
      <c r="X1155" s="12">
        <f t="shared" si="277"/>
        <v>0</v>
      </c>
      <c r="Y1155" s="12">
        <f t="shared" si="278"/>
        <v>0</v>
      </c>
      <c r="Z1155" s="11"/>
      <c r="AA1155" s="13">
        <f t="shared" si="279"/>
        <v>0</v>
      </c>
      <c r="AB1155" s="12">
        <f t="shared" si="280"/>
        <v>0</v>
      </c>
      <c r="AC1155" s="14">
        <f t="shared" si="268"/>
        <v>0</v>
      </c>
      <c r="AE1155" s="19">
        <f t="shared" si="281"/>
        <v>0</v>
      </c>
      <c r="AF1155" s="19"/>
      <c r="AG1155" s="17"/>
      <c r="AK1155" s="7"/>
      <c r="AL1155" s="108">
        <f t="shared" si="269"/>
        <v>0</v>
      </c>
      <c r="AM1155" s="108">
        <f t="shared" si="270"/>
        <v>0</v>
      </c>
      <c r="AN1155" s="113"/>
    </row>
    <row r="1156" spans="2:40" x14ac:dyDescent="0.2">
      <c r="B1156" s="7"/>
      <c r="C1156" s="8"/>
      <c r="D1156" s="8"/>
      <c r="E1156" s="9"/>
      <c r="F1156" s="6"/>
      <c r="G1156" s="8"/>
      <c r="H1156" s="32"/>
      <c r="I1156" s="10" t="str">
        <f t="shared" si="267"/>
        <v>21</v>
      </c>
      <c r="J1156" s="11">
        <v>1</v>
      </c>
      <c r="K1156" s="11"/>
      <c r="L1156" s="11"/>
      <c r="M1156" s="11">
        <f t="shared" si="271"/>
        <v>0</v>
      </c>
      <c r="N1156" s="11"/>
      <c r="O1156" s="11">
        <f t="shared" si="272"/>
        <v>0</v>
      </c>
      <c r="P1156" s="11"/>
      <c r="Q1156" s="11"/>
      <c r="R1156" s="11"/>
      <c r="S1156" s="11">
        <f t="shared" si="273"/>
        <v>0</v>
      </c>
      <c r="T1156" s="11">
        <f t="shared" si="274"/>
        <v>1666.6666666666667</v>
      </c>
      <c r="U1156" s="11">
        <f t="shared" si="275"/>
        <v>0</v>
      </c>
      <c r="V1156" s="24">
        <f t="shared" si="276"/>
        <v>0</v>
      </c>
      <c r="W1156" s="11">
        <f>IF(V1156&lt;=40000,0,
IF(V1156&lt;=55000,(V1156-40000)*10%,
IF(V1156&lt;=70000,(V1156-55000)*15%+1500,
IF(V1156&lt;=200000,(V1156-70000)*20%+1500+2250,
IF(V1156&lt;=400000,(V1156-200000)*22.5%+1500+2250+26000,
IF(V1156&lt;=600000,(V1156-400000)*25%+1500+2250+26000+45000,
IF(AND(V1156&gt;600000,V1156&lt;=1200000),(V1156-400000)*25%+1500+2250+26000+45000
+IFERROR(LOOKUP(V1156,{600001;700001;800001;900001},{4000;6750;10250;15250}),0),IF(V1156&gt;1200000,((V1156-1200000)*27.5%)+300000,0)
)))))))</f>
        <v>0</v>
      </c>
      <c r="X1156" s="12">
        <f t="shared" si="277"/>
        <v>0</v>
      </c>
      <c r="Y1156" s="12">
        <f t="shared" si="278"/>
        <v>0</v>
      </c>
      <c r="Z1156" s="11"/>
      <c r="AA1156" s="13">
        <f t="shared" si="279"/>
        <v>0</v>
      </c>
      <c r="AB1156" s="12">
        <f t="shared" si="280"/>
        <v>0</v>
      </c>
      <c r="AC1156" s="14">
        <f t="shared" si="268"/>
        <v>0</v>
      </c>
      <c r="AE1156" s="19">
        <f t="shared" si="281"/>
        <v>0</v>
      </c>
      <c r="AF1156" s="19"/>
      <c r="AG1156" s="17"/>
      <c r="AK1156" s="7"/>
      <c r="AL1156" s="108">
        <f t="shared" si="269"/>
        <v>0</v>
      </c>
      <c r="AM1156" s="108">
        <f t="shared" si="270"/>
        <v>0</v>
      </c>
      <c r="AN1156" s="113"/>
    </row>
    <row r="1157" spans="2:40" x14ac:dyDescent="0.2">
      <c r="B1157" s="7"/>
      <c r="C1157" s="8"/>
      <c r="D1157" s="8"/>
      <c r="E1157" s="9"/>
      <c r="F1157" s="6"/>
      <c r="G1157" s="8"/>
      <c r="H1157" s="32"/>
      <c r="I1157" s="10" t="str">
        <f t="shared" ref="I1157:I1220" si="282">IF(G1157&gt;0,"1","21")</f>
        <v>21</v>
      </c>
      <c r="J1157" s="11">
        <v>1</v>
      </c>
      <c r="K1157" s="11"/>
      <c r="L1157" s="11"/>
      <c r="M1157" s="11">
        <f t="shared" si="271"/>
        <v>0</v>
      </c>
      <c r="N1157" s="11"/>
      <c r="O1157" s="11">
        <f t="shared" si="272"/>
        <v>0</v>
      </c>
      <c r="P1157" s="11"/>
      <c r="Q1157" s="11"/>
      <c r="R1157" s="11"/>
      <c r="S1157" s="11">
        <f t="shared" si="273"/>
        <v>0</v>
      </c>
      <c r="T1157" s="11">
        <f t="shared" si="274"/>
        <v>1666.6666666666667</v>
      </c>
      <c r="U1157" s="11">
        <f t="shared" si="275"/>
        <v>0</v>
      </c>
      <c r="V1157" s="24">
        <f t="shared" si="276"/>
        <v>0</v>
      </c>
      <c r="W1157" s="11">
        <f>IF(V1157&lt;=40000,0,
IF(V1157&lt;=55000,(V1157-40000)*10%,
IF(V1157&lt;=70000,(V1157-55000)*15%+1500,
IF(V1157&lt;=200000,(V1157-70000)*20%+1500+2250,
IF(V1157&lt;=400000,(V1157-200000)*22.5%+1500+2250+26000,
IF(V1157&lt;=600000,(V1157-400000)*25%+1500+2250+26000+45000,
IF(AND(V1157&gt;600000,V1157&lt;=1200000),(V1157-400000)*25%+1500+2250+26000+45000
+IFERROR(LOOKUP(V1157,{600001;700001;800001;900001},{4000;6750;10250;15250}),0),IF(V1157&gt;1200000,((V1157-1200000)*27.5%)+300000,0)
)))))))</f>
        <v>0</v>
      </c>
      <c r="X1157" s="12">
        <f t="shared" si="277"/>
        <v>0</v>
      </c>
      <c r="Y1157" s="12">
        <f t="shared" si="278"/>
        <v>0</v>
      </c>
      <c r="Z1157" s="11"/>
      <c r="AA1157" s="13">
        <f t="shared" si="279"/>
        <v>0</v>
      </c>
      <c r="AB1157" s="12">
        <f t="shared" si="280"/>
        <v>0</v>
      </c>
      <c r="AC1157" s="14">
        <f t="shared" ref="AC1157:AC1220" si="283">+M1157-P1157-Y1157</f>
        <v>0</v>
      </c>
      <c r="AE1157" s="19">
        <f t="shared" si="281"/>
        <v>0</v>
      </c>
      <c r="AF1157" s="19"/>
      <c r="AG1157" s="17"/>
      <c r="AK1157" s="7"/>
      <c r="AL1157" s="108">
        <f t="shared" ref="AL1157:AL1220" si="284">+AK1157+AD1157</f>
        <v>0</v>
      </c>
      <c r="AM1157" s="108">
        <f t="shared" ref="AM1157:AM1220" si="285">+AL1157-AC1157</f>
        <v>0</v>
      </c>
      <c r="AN1157" s="113"/>
    </row>
    <row r="1158" spans="2:40" x14ac:dyDescent="0.2">
      <c r="B1158" s="7"/>
      <c r="C1158" s="8"/>
      <c r="D1158" s="8"/>
      <c r="E1158" s="9"/>
      <c r="F1158" s="6"/>
      <c r="G1158" s="8"/>
      <c r="H1158" s="32"/>
      <c r="I1158" s="10" t="str">
        <f t="shared" si="282"/>
        <v>21</v>
      </c>
      <c r="J1158" s="11">
        <v>1</v>
      </c>
      <c r="K1158" s="11"/>
      <c r="L1158" s="11"/>
      <c r="M1158" s="11">
        <f t="shared" si="271"/>
        <v>0</v>
      </c>
      <c r="N1158" s="11"/>
      <c r="O1158" s="11">
        <f t="shared" si="272"/>
        <v>0</v>
      </c>
      <c r="P1158" s="11"/>
      <c r="Q1158" s="11"/>
      <c r="R1158" s="11"/>
      <c r="S1158" s="11">
        <f t="shared" si="273"/>
        <v>0</v>
      </c>
      <c r="T1158" s="11">
        <f t="shared" si="274"/>
        <v>1666.6666666666667</v>
      </c>
      <c r="U1158" s="11">
        <f t="shared" si="275"/>
        <v>0</v>
      </c>
      <c r="V1158" s="24">
        <f t="shared" si="276"/>
        <v>0</v>
      </c>
      <c r="W1158" s="11">
        <f>IF(V1158&lt;=40000,0,
IF(V1158&lt;=55000,(V1158-40000)*10%,
IF(V1158&lt;=70000,(V1158-55000)*15%+1500,
IF(V1158&lt;=200000,(V1158-70000)*20%+1500+2250,
IF(V1158&lt;=400000,(V1158-200000)*22.5%+1500+2250+26000,
IF(V1158&lt;=600000,(V1158-400000)*25%+1500+2250+26000+45000,
IF(AND(V1158&gt;600000,V1158&lt;=1200000),(V1158-400000)*25%+1500+2250+26000+45000
+IFERROR(LOOKUP(V1158,{600001;700001;800001;900001},{4000;6750;10250;15250}),0),IF(V1158&gt;1200000,((V1158-1200000)*27.5%)+300000,0)
)))))))</f>
        <v>0</v>
      </c>
      <c r="X1158" s="12">
        <f t="shared" si="277"/>
        <v>0</v>
      </c>
      <c r="Y1158" s="12">
        <f t="shared" si="278"/>
        <v>0</v>
      </c>
      <c r="Z1158" s="11"/>
      <c r="AA1158" s="13">
        <f t="shared" si="279"/>
        <v>0</v>
      </c>
      <c r="AB1158" s="12">
        <f t="shared" si="280"/>
        <v>0</v>
      </c>
      <c r="AC1158" s="14">
        <f t="shared" si="283"/>
        <v>0</v>
      </c>
      <c r="AE1158" s="19">
        <f t="shared" si="281"/>
        <v>0</v>
      </c>
      <c r="AF1158" s="19"/>
      <c r="AG1158" s="17"/>
      <c r="AK1158" s="7"/>
      <c r="AL1158" s="108">
        <f t="shared" si="284"/>
        <v>0</v>
      </c>
      <c r="AM1158" s="108">
        <f t="shared" si="285"/>
        <v>0</v>
      </c>
      <c r="AN1158" s="113"/>
    </row>
    <row r="1159" spans="2:40" x14ac:dyDescent="0.2">
      <c r="B1159" s="7"/>
      <c r="C1159" s="8"/>
      <c r="D1159" s="8"/>
      <c r="E1159" s="9"/>
      <c r="F1159" s="6"/>
      <c r="G1159" s="8"/>
      <c r="H1159" s="32"/>
      <c r="I1159" s="10" t="str">
        <f t="shared" si="282"/>
        <v>21</v>
      </c>
      <c r="J1159" s="11">
        <v>1</v>
      </c>
      <c r="K1159" s="11"/>
      <c r="L1159" s="11"/>
      <c r="M1159" s="11">
        <f t="shared" si="271"/>
        <v>0</v>
      </c>
      <c r="N1159" s="11"/>
      <c r="O1159" s="11">
        <f t="shared" si="272"/>
        <v>0</v>
      </c>
      <c r="P1159" s="11"/>
      <c r="Q1159" s="11"/>
      <c r="R1159" s="11"/>
      <c r="S1159" s="11">
        <f t="shared" si="273"/>
        <v>0</v>
      </c>
      <c r="T1159" s="11">
        <f t="shared" si="274"/>
        <v>1666.6666666666667</v>
      </c>
      <c r="U1159" s="11">
        <f t="shared" si="275"/>
        <v>0</v>
      </c>
      <c r="V1159" s="24">
        <f t="shared" si="276"/>
        <v>0</v>
      </c>
      <c r="W1159" s="11">
        <f>IF(V1159&lt;=40000,0,
IF(V1159&lt;=55000,(V1159-40000)*10%,
IF(V1159&lt;=70000,(V1159-55000)*15%+1500,
IF(V1159&lt;=200000,(V1159-70000)*20%+1500+2250,
IF(V1159&lt;=400000,(V1159-200000)*22.5%+1500+2250+26000,
IF(V1159&lt;=600000,(V1159-400000)*25%+1500+2250+26000+45000,
IF(AND(V1159&gt;600000,V1159&lt;=1200000),(V1159-400000)*25%+1500+2250+26000+45000
+IFERROR(LOOKUP(V1159,{600001;700001;800001;900001},{4000;6750;10250;15250}),0),IF(V1159&gt;1200000,((V1159-1200000)*27.5%)+300000,0)
)))))))</f>
        <v>0</v>
      </c>
      <c r="X1159" s="12">
        <f t="shared" si="277"/>
        <v>0</v>
      </c>
      <c r="Y1159" s="12">
        <f t="shared" si="278"/>
        <v>0</v>
      </c>
      <c r="Z1159" s="11"/>
      <c r="AA1159" s="13">
        <f t="shared" si="279"/>
        <v>0</v>
      </c>
      <c r="AB1159" s="12">
        <f t="shared" si="280"/>
        <v>0</v>
      </c>
      <c r="AC1159" s="14">
        <f t="shared" si="283"/>
        <v>0</v>
      </c>
      <c r="AE1159" s="19">
        <f t="shared" si="281"/>
        <v>0</v>
      </c>
      <c r="AF1159" s="19"/>
      <c r="AG1159" s="17"/>
      <c r="AK1159" s="7"/>
      <c r="AL1159" s="108">
        <f t="shared" si="284"/>
        <v>0</v>
      </c>
      <c r="AM1159" s="108">
        <f t="shared" si="285"/>
        <v>0</v>
      </c>
      <c r="AN1159" s="113"/>
    </row>
    <row r="1160" spans="2:40" x14ac:dyDescent="0.2">
      <c r="B1160" s="7"/>
      <c r="C1160" s="8"/>
      <c r="D1160" s="8"/>
      <c r="E1160" s="9"/>
      <c r="F1160" s="6"/>
      <c r="G1160" s="8"/>
      <c r="H1160" s="32"/>
      <c r="I1160" s="10" t="str">
        <f t="shared" si="282"/>
        <v>21</v>
      </c>
      <c r="J1160" s="11">
        <v>1</v>
      </c>
      <c r="K1160" s="11"/>
      <c r="L1160" s="11"/>
      <c r="M1160" s="11">
        <f t="shared" si="271"/>
        <v>0</v>
      </c>
      <c r="N1160" s="11"/>
      <c r="O1160" s="11">
        <f t="shared" si="272"/>
        <v>0</v>
      </c>
      <c r="P1160" s="11"/>
      <c r="Q1160" s="11"/>
      <c r="R1160" s="11"/>
      <c r="S1160" s="11">
        <f t="shared" si="273"/>
        <v>0</v>
      </c>
      <c r="T1160" s="11">
        <f t="shared" si="274"/>
        <v>1666.6666666666667</v>
      </c>
      <c r="U1160" s="11">
        <f t="shared" si="275"/>
        <v>0</v>
      </c>
      <c r="V1160" s="24">
        <f t="shared" si="276"/>
        <v>0</v>
      </c>
      <c r="W1160" s="11">
        <f>IF(V1160&lt;=40000,0,
IF(V1160&lt;=55000,(V1160-40000)*10%,
IF(V1160&lt;=70000,(V1160-55000)*15%+1500,
IF(V1160&lt;=200000,(V1160-70000)*20%+1500+2250,
IF(V1160&lt;=400000,(V1160-200000)*22.5%+1500+2250+26000,
IF(V1160&lt;=600000,(V1160-400000)*25%+1500+2250+26000+45000,
IF(AND(V1160&gt;600000,V1160&lt;=1200000),(V1160-400000)*25%+1500+2250+26000+45000
+IFERROR(LOOKUP(V1160,{600001;700001;800001;900001},{4000;6750;10250;15250}),0),IF(V1160&gt;1200000,((V1160-1200000)*27.5%)+300000,0)
)))))))</f>
        <v>0</v>
      </c>
      <c r="X1160" s="12">
        <f t="shared" si="277"/>
        <v>0</v>
      </c>
      <c r="Y1160" s="12">
        <f t="shared" si="278"/>
        <v>0</v>
      </c>
      <c r="Z1160" s="11"/>
      <c r="AA1160" s="13">
        <f t="shared" si="279"/>
        <v>0</v>
      </c>
      <c r="AB1160" s="12">
        <f t="shared" si="280"/>
        <v>0</v>
      </c>
      <c r="AC1160" s="14">
        <f t="shared" si="283"/>
        <v>0</v>
      </c>
      <c r="AE1160" s="19">
        <f t="shared" si="281"/>
        <v>0</v>
      </c>
      <c r="AF1160" s="19"/>
      <c r="AG1160" s="17"/>
      <c r="AK1160" s="7"/>
      <c r="AL1160" s="108">
        <f t="shared" si="284"/>
        <v>0</v>
      </c>
      <c r="AM1160" s="108">
        <f t="shared" si="285"/>
        <v>0</v>
      </c>
      <c r="AN1160" s="113"/>
    </row>
    <row r="1161" spans="2:40" x14ac:dyDescent="0.2">
      <c r="B1161" s="7"/>
      <c r="C1161" s="8"/>
      <c r="D1161" s="8"/>
      <c r="E1161" s="9"/>
      <c r="F1161" s="6"/>
      <c r="G1161" s="8"/>
      <c r="H1161" s="32"/>
      <c r="I1161" s="10" t="str">
        <f t="shared" si="282"/>
        <v>21</v>
      </c>
      <c r="J1161" s="11">
        <v>1</v>
      </c>
      <c r="K1161" s="11"/>
      <c r="L1161" s="11"/>
      <c r="M1161" s="11">
        <f t="shared" si="271"/>
        <v>0</v>
      </c>
      <c r="N1161" s="11"/>
      <c r="O1161" s="11">
        <f t="shared" si="272"/>
        <v>0</v>
      </c>
      <c r="P1161" s="11"/>
      <c r="Q1161" s="11"/>
      <c r="R1161" s="11"/>
      <c r="S1161" s="11">
        <f t="shared" si="273"/>
        <v>0</v>
      </c>
      <c r="T1161" s="11">
        <f t="shared" si="274"/>
        <v>1666.6666666666667</v>
      </c>
      <c r="U1161" s="11">
        <f t="shared" si="275"/>
        <v>0</v>
      </c>
      <c r="V1161" s="24">
        <f t="shared" si="276"/>
        <v>0</v>
      </c>
      <c r="W1161" s="11">
        <f>IF(V1161&lt;=40000,0,
IF(V1161&lt;=55000,(V1161-40000)*10%,
IF(V1161&lt;=70000,(V1161-55000)*15%+1500,
IF(V1161&lt;=200000,(V1161-70000)*20%+1500+2250,
IF(V1161&lt;=400000,(V1161-200000)*22.5%+1500+2250+26000,
IF(V1161&lt;=600000,(V1161-400000)*25%+1500+2250+26000+45000,
IF(AND(V1161&gt;600000,V1161&lt;=1200000),(V1161-400000)*25%+1500+2250+26000+45000
+IFERROR(LOOKUP(V1161,{600001;700001;800001;900001},{4000;6750;10250;15250}),0),IF(V1161&gt;1200000,((V1161-1200000)*27.5%)+300000,0)
)))))))</f>
        <v>0</v>
      </c>
      <c r="X1161" s="12">
        <f t="shared" si="277"/>
        <v>0</v>
      </c>
      <c r="Y1161" s="12">
        <f t="shared" si="278"/>
        <v>0</v>
      </c>
      <c r="Z1161" s="11"/>
      <c r="AA1161" s="13">
        <f t="shared" si="279"/>
        <v>0</v>
      </c>
      <c r="AB1161" s="12">
        <f t="shared" si="280"/>
        <v>0</v>
      </c>
      <c r="AC1161" s="14">
        <f t="shared" si="283"/>
        <v>0</v>
      </c>
      <c r="AE1161" s="19">
        <f t="shared" si="281"/>
        <v>0</v>
      </c>
      <c r="AF1161" s="19"/>
      <c r="AG1161" s="17"/>
      <c r="AK1161" s="7"/>
      <c r="AL1161" s="108">
        <f t="shared" si="284"/>
        <v>0</v>
      </c>
      <c r="AM1161" s="108">
        <f t="shared" si="285"/>
        <v>0</v>
      </c>
      <c r="AN1161" s="113"/>
    </row>
    <row r="1162" spans="2:40" x14ac:dyDescent="0.2">
      <c r="B1162" s="7"/>
      <c r="C1162" s="8"/>
      <c r="D1162" s="8"/>
      <c r="E1162" s="9"/>
      <c r="F1162" s="6"/>
      <c r="G1162" s="8"/>
      <c r="H1162" s="32"/>
      <c r="I1162" s="10" t="str">
        <f t="shared" si="282"/>
        <v>21</v>
      </c>
      <c r="J1162" s="11">
        <v>1</v>
      </c>
      <c r="K1162" s="11"/>
      <c r="L1162" s="11"/>
      <c r="M1162" s="11">
        <f t="shared" si="271"/>
        <v>0</v>
      </c>
      <c r="N1162" s="11"/>
      <c r="O1162" s="11">
        <f t="shared" si="272"/>
        <v>0</v>
      </c>
      <c r="P1162" s="11"/>
      <c r="Q1162" s="11"/>
      <c r="R1162" s="11"/>
      <c r="S1162" s="11">
        <f t="shared" si="273"/>
        <v>0</v>
      </c>
      <c r="T1162" s="11">
        <f t="shared" si="274"/>
        <v>1666.6666666666667</v>
      </c>
      <c r="U1162" s="11">
        <f t="shared" si="275"/>
        <v>0</v>
      </c>
      <c r="V1162" s="24">
        <f t="shared" si="276"/>
        <v>0</v>
      </c>
      <c r="W1162" s="11">
        <f>IF(V1162&lt;=40000,0,
IF(V1162&lt;=55000,(V1162-40000)*10%,
IF(V1162&lt;=70000,(V1162-55000)*15%+1500,
IF(V1162&lt;=200000,(V1162-70000)*20%+1500+2250,
IF(V1162&lt;=400000,(V1162-200000)*22.5%+1500+2250+26000,
IF(V1162&lt;=600000,(V1162-400000)*25%+1500+2250+26000+45000,
IF(AND(V1162&gt;600000,V1162&lt;=1200000),(V1162-400000)*25%+1500+2250+26000+45000
+IFERROR(LOOKUP(V1162,{600001;700001;800001;900001},{4000;6750;10250;15250}),0),IF(V1162&gt;1200000,((V1162-1200000)*27.5%)+300000,0)
)))))))</f>
        <v>0</v>
      </c>
      <c r="X1162" s="12">
        <f t="shared" si="277"/>
        <v>0</v>
      </c>
      <c r="Y1162" s="12">
        <f t="shared" si="278"/>
        <v>0</v>
      </c>
      <c r="Z1162" s="11"/>
      <c r="AA1162" s="13">
        <f t="shared" si="279"/>
        <v>0</v>
      </c>
      <c r="AB1162" s="12">
        <f t="shared" si="280"/>
        <v>0</v>
      </c>
      <c r="AC1162" s="14">
        <f t="shared" si="283"/>
        <v>0</v>
      </c>
      <c r="AE1162" s="19">
        <f t="shared" si="281"/>
        <v>0</v>
      </c>
      <c r="AF1162" s="19"/>
      <c r="AG1162" s="17"/>
      <c r="AK1162" s="7"/>
      <c r="AL1162" s="108">
        <f t="shared" si="284"/>
        <v>0</v>
      </c>
      <c r="AM1162" s="108">
        <f t="shared" si="285"/>
        <v>0</v>
      </c>
      <c r="AN1162" s="113"/>
    </row>
    <row r="1163" spans="2:40" x14ac:dyDescent="0.2">
      <c r="B1163" s="7"/>
      <c r="C1163" s="8"/>
      <c r="D1163" s="8"/>
      <c r="E1163" s="9"/>
      <c r="F1163" s="6"/>
      <c r="G1163" s="8"/>
      <c r="H1163" s="32"/>
      <c r="I1163" s="10" t="str">
        <f t="shared" si="282"/>
        <v>21</v>
      </c>
      <c r="J1163" s="11">
        <v>1</v>
      </c>
      <c r="K1163" s="11"/>
      <c r="L1163" s="11"/>
      <c r="M1163" s="11">
        <f t="shared" si="271"/>
        <v>0</v>
      </c>
      <c r="N1163" s="11"/>
      <c r="O1163" s="11">
        <f t="shared" si="272"/>
        <v>0</v>
      </c>
      <c r="P1163" s="11"/>
      <c r="Q1163" s="11"/>
      <c r="R1163" s="11"/>
      <c r="S1163" s="11">
        <f t="shared" si="273"/>
        <v>0</v>
      </c>
      <c r="T1163" s="11">
        <f t="shared" si="274"/>
        <v>1666.6666666666667</v>
      </c>
      <c r="U1163" s="11">
        <f t="shared" si="275"/>
        <v>0</v>
      </c>
      <c r="V1163" s="24">
        <f t="shared" si="276"/>
        <v>0</v>
      </c>
      <c r="W1163" s="11">
        <f>IF(V1163&lt;=40000,0,
IF(V1163&lt;=55000,(V1163-40000)*10%,
IF(V1163&lt;=70000,(V1163-55000)*15%+1500,
IF(V1163&lt;=200000,(V1163-70000)*20%+1500+2250,
IF(V1163&lt;=400000,(V1163-200000)*22.5%+1500+2250+26000,
IF(V1163&lt;=600000,(V1163-400000)*25%+1500+2250+26000+45000,
IF(AND(V1163&gt;600000,V1163&lt;=1200000),(V1163-400000)*25%+1500+2250+26000+45000
+IFERROR(LOOKUP(V1163,{600001;700001;800001;900001},{4000;6750;10250;15250}),0),IF(V1163&gt;1200000,((V1163-1200000)*27.5%)+300000,0)
)))))))</f>
        <v>0</v>
      </c>
      <c r="X1163" s="12">
        <f t="shared" si="277"/>
        <v>0</v>
      </c>
      <c r="Y1163" s="12">
        <f t="shared" si="278"/>
        <v>0</v>
      </c>
      <c r="Z1163" s="11"/>
      <c r="AA1163" s="13">
        <f t="shared" si="279"/>
        <v>0</v>
      </c>
      <c r="AB1163" s="12">
        <f t="shared" si="280"/>
        <v>0</v>
      </c>
      <c r="AC1163" s="14">
        <f t="shared" si="283"/>
        <v>0</v>
      </c>
      <c r="AE1163" s="19">
        <f t="shared" si="281"/>
        <v>0</v>
      </c>
      <c r="AF1163" s="19"/>
      <c r="AG1163" s="17"/>
      <c r="AK1163" s="7"/>
      <c r="AL1163" s="108">
        <f t="shared" si="284"/>
        <v>0</v>
      </c>
      <c r="AM1163" s="108">
        <f t="shared" si="285"/>
        <v>0</v>
      </c>
      <c r="AN1163" s="113"/>
    </row>
    <row r="1164" spans="2:40" x14ac:dyDescent="0.2">
      <c r="B1164" s="7"/>
      <c r="C1164" s="8"/>
      <c r="D1164" s="8"/>
      <c r="E1164" s="9"/>
      <c r="F1164" s="6"/>
      <c r="G1164" s="8"/>
      <c r="H1164" s="32"/>
      <c r="I1164" s="10" t="str">
        <f t="shared" si="282"/>
        <v>21</v>
      </c>
      <c r="J1164" s="11">
        <v>1</v>
      </c>
      <c r="K1164" s="11"/>
      <c r="L1164" s="11"/>
      <c r="M1164" s="11">
        <f t="shared" si="271"/>
        <v>0</v>
      </c>
      <c r="N1164" s="11"/>
      <c r="O1164" s="11">
        <f t="shared" si="272"/>
        <v>0</v>
      </c>
      <c r="P1164" s="11"/>
      <c r="Q1164" s="11"/>
      <c r="R1164" s="11"/>
      <c r="S1164" s="11">
        <f t="shared" si="273"/>
        <v>0</v>
      </c>
      <c r="T1164" s="11">
        <f t="shared" si="274"/>
        <v>1666.6666666666667</v>
      </c>
      <c r="U1164" s="11">
        <f t="shared" si="275"/>
        <v>0</v>
      </c>
      <c r="V1164" s="24">
        <f t="shared" si="276"/>
        <v>0</v>
      </c>
      <c r="W1164" s="11">
        <f>IF(V1164&lt;=40000,0,
IF(V1164&lt;=55000,(V1164-40000)*10%,
IF(V1164&lt;=70000,(V1164-55000)*15%+1500,
IF(V1164&lt;=200000,(V1164-70000)*20%+1500+2250,
IF(V1164&lt;=400000,(V1164-200000)*22.5%+1500+2250+26000,
IF(V1164&lt;=600000,(V1164-400000)*25%+1500+2250+26000+45000,
IF(AND(V1164&gt;600000,V1164&lt;=1200000),(V1164-400000)*25%+1500+2250+26000+45000
+IFERROR(LOOKUP(V1164,{600001;700001;800001;900001},{4000;6750;10250;15250}),0),IF(V1164&gt;1200000,((V1164-1200000)*27.5%)+300000,0)
)))))))</f>
        <v>0</v>
      </c>
      <c r="X1164" s="12">
        <f t="shared" si="277"/>
        <v>0</v>
      </c>
      <c r="Y1164" s="12">
        <f t="shared" si="278"/>
        <v>0</v>
      </c>
      <c r="Z1164" s="11"/>
      <c r="AA1164" s="13">
        <f t="shared" si="279"/>
        <v>0</v>
      </c>
      <c r="AB1164" s="12">
        <f t="shared" si="280"/>
        <v>0</v>
      </c>
      <c r="AC1164" s="14">
        <f t="shared" si="283"/>
        <v>0</v>
      </c>
      <c r="AE1164" s="19">
        <f t="shared" si="281"/>
        <v>0</v>
      </c>
      <c r="AF1164" s="19"/>
      <c r="AG1164" s="17"/>
      <c r="AK1164" s="7"/>
      <c r="AL1164" s="108">
        <f t="shared" si="284"/>
        <v>0</v>
      </c>
      <c r="AM1164" s="108">
        <f t="shared" si="285"/>
        <v>0</v>
      </c>
      <c r="AN1164" s="113"/>
    </row>
    <row r="1165" spans="2:40" x14ac:dyDescent="0.2">
      <c r="B1165" s="7"/>
      <c r="C1165" s="8"/>
      <c r="D1165" s="8"/>
      <c r="E1165" s="9"/>
      <c r="F1165" s="6"/>
      <c r="G1165" s="8"/>
      <c r="H1165" s="32"/>
      <c r="I1165" s="10" t="str">
        <f t="shared" si="282"/>
        <v>21</v>
      </c>
      <c r="J1165" s="11">
        <v>1</v>
      </c>
      <c r="K1165" s="11"/>
      <c r="L1165" s="11"/>
      <c r="M1165" s="11">
        <f t="shared" si="271"/>
        <v>0</v>
      </c>
      <c r="N1165" s="11"/>
      <c r="O1165" s="11">
        <f t="shared" si="272"/>
        <v>0</v>
      </c>
      <c r="P1165" s="11"/>
      <c r="Q1165" s="11"/>
      <c r="R1165" s="11"/>
      <c r="S1165" s="11">
        <f t="shared" si="273"/>
        <v>0</v>
      </c>
      <c r="T1165" s="11">
        <f t="shared" si="274"/>
        <v>1666.6666666666667</v>
      </c>
      <c r="U1165" s="11">
        <f t="shared" si="275"/>
        <v>0</v>
      </c>
      <c r="V1165" s="24">
        <f t="shared" si="276"/>
        <v>0</v>
      </c>
      <c r="W1165" s="11">
        <f>IF(V1165&lt;=40000,0,
IF(V1165&lt;=55000,(V1165-40000)*10%,
IF(V1165&lt;=70000,(V1165-55000)*15%+1500,
IF(V1165&lt;=200000,(V1165-70000)*20%+1500+2250,
IF(V1165&lt;=400000,(V1165-200000)*22.5%+1500+2250+26000,
IF(V1165&lt;=600000,(V1165-400000)*25%+1500+2250+26000+45000,
IF(AND(V1165&gt;600000,V1165&lt;=1200000),(V1165-400000)*25%+1500+2250+26000+45000
+IFERROR(LOOKUP(V1165,{600001;700001;800001;900001},{4000;6750;10250;15250}),0),IF(V1165&gt;1200000,((V1165-1200000)*27.5%)+300000,0)
)))))))</f>
        <v>0</v>
      </c>
      <c r="X1165" s="12">
        <f t="shared" si="277"/>
        <v>0</v>
      </c>
      <c r="Y1165" s="12">
        <f t="shared" si="278"/>
        <v>0</v>
      </c>
      <c r="Z1165" s="11"/>
      <c r="AA1165" s="13">
        <f t="shared" si="279"/>
        <v>0</v>
      </c>
      <c r="AB1165" s="12">
        <f t="shared" si="280"/>
        <v>0</v>
      </c>
      <c r="AC1165" s="14">
        <f t="shared" si="283"/>
        <v>0</v>
      </c>
      <c r="AE1165" s="19">
        <f t="shared" si="281"/>
        <v>0</v>
      </c>
      <c r="AF1165" s="19"/>
      <c r="AG1165" s="17"/>
      <c r="AK1165" s="7"/>
      <c r="AL1165" s="108">
        <f t="shared" si="284"/>
        <v>0</v>
      </c>
      <c r="AM1165" s="108">
        <f t="shared" si="285"/>
        <v>0</v>
      </c>
      <c r="AN1165" s="113"/>
    </row>
    <row r="1166" spans="2:40" x14ac:dyDescent="0.2">
      <c r="B1166" s="7"/>
      <c r="C1166" s="8"/>
      <c r="D1166" s="8"/>
      <c r="E1166" s="9"/>
      <c r="F1166" s="6"/>
      <c r="G1166" s="8"/>
      <c r="H1166" s="32"/>
      <c r="I1166" s="10" t="str">
        <f t="shared" si="282"/>
        <v>21</v>
      </c>
      <c r="J1166" s="11">
        <v>1</v>
      </c>
      <c r="K1166" s="11"/>
      <c r="L1166" s="11"/>
      <c r="M1166" s="11">
        <f t="shared" si="271"/>
        <v>0</v>
      </c>
      <c r="N1166" s="11"/>
      <c r="O1166" s="11">
        <f t="shared" si="272"/>
        <v>0</v>
      </c>
      <c r="P1166" s="11"/>
      <c r="Q1166" s="11"/>
      <c r="R1166" s="11"/>
      <c r="S1166" s="11">
        <f t="shared" si="273"/>
        <v>0</v>
      </c>
      <c r="T1166" s="11">
        <f t="shared" si="274"/>
        <v>1666.6666666666667</v>
      </c>
      <c r="U1166" s="11">
        <f t="shared" si="275"/>
        <v>0</v>
      </c>
      <c r="V1166" s="24">
        <f t="shared" si="276"/>
        <v>0</v>
      </c>
      <c r="W1166" s="11">
        <f>IF(V1166&lt;=40000,0,
IF(V1166&lt;=55000,(V1166-40000)*10%,
IF(V1166&lt;=70000,(V1166-55000)*15%+1500,
IF(V1166&lt;=200000,(V1166-70000)*20%+1500+2250,
IF(V1166&lt;=400000,(V1166-200000)*22.5%+1500+2250+26000,
IF(V1166&lt;=600000,(V1166-400000)*25%+1500+2250+26000+45000,
IF(AND(V1166&gt;600000,V1166&lt;=1200000),(V1166-400000)*25%+1500+2250+26000+45000
+IFERROR(LOOKUP(V1166,{600001;700001;800001;900001},{4000;6750;10250;15250}),0),IF(V1166&gt;1200000,((V1166-1200000)*27.5%)+300000,0)
)))))))</f>
        <v>0</v>
      </c>
      <c r="X1166" s="12">
        <f t="shared" si="277"/>
        <v>0</v>
      </c>
      <c r="Y1166" s="12">
        <f t="shared" si="278"/>
        <v>0</v>
      </c>
      <c r="Z1166" s="11"/>
      <c r="AA1166" s="13">
        <f t="shared" si="279"/>
        <v>0</v>
      </c>
      <c r="AB1166" s="12">
        <f t="shared" si="280"/>
        <v>0</v>
      </c>
      <c r="AC1166" s="14">
        <f t="shared" si="283"/>
        <v>0</v>
      </c>
      <c r="AE1166" s="19">
        <f t="shared" si="281"/>
        <v>0</v>
      </c>
      <c r="AF1166" s="19"/>
      <c r="AG1166" s="17"/>
      <c r="AK1166" s="7"/>
      <c r="AL1166" s="108">
        <f t="shared" si="284"/>
        <v>0</v>
      </c>
      <c r="AM1166" s="108">
        <f t="shared" si="285"/>
        <v>0</v>
      </c>
      <c r="AN1166" s="113"/>
    </row>
    <row r="1167" spans="2:40" x14ac:dyDescent="0.2">
      <c r="B1167" s="7"/>
      <c r="C1167" s="8"/>
      <c r="D1167" s="8"/>
      <c r="E1167" s="9"/>
      <c r="F1167" s="6"/>
      <c r="G1167" s="8"/>
      <c r="H1167" s="32"/>
      <c r="I1167" s="10" t="str">
        <f t="shared" si="282"/>
        <v>21</v>
      </c>
      <c r="J1167" s="11">
        <v>1</v>
      </c>
      <c r="K1167" s="11"/>
      <c r="L1167" s="11"/>
      <c r="M1167" s="11">
        <f t="shared" si="271"/>
        <v>0</v>
      </c>
      <c r="N1167" s="11"/>
      <c r="O1167" s="11">
        <f t="shared" si="272"/>
        <v>0</v>
      </c>
      <c r="P1167" s="11"/>
      <c r="Q1167" s="11"/>
      <c r="R1167" s="11"/>
      <c r="S1167" s="11">
        <f t="shared" si="273"/>
        <v>0</v>
      </c>
      <c r="T1167" s="11">
        <f t="shared" si="274"/>
        <v>1666.6666666666667</v>
      </c>
      <c r="U1167" s="11">
        <f t="shared" si="275"/>
        <v>0</v>
      </c>
      <c r="V1167" s="24">
        <f t="shared" si="276"/>
        <v>0</v>
      </c>
      <c r="W1167" s="11">
        <f>IF(V1167&lt;=40000,0,
IF(V1167&lt;=55000,(V1167-40000)*10%,
IF(V1167&lt;=70000,(V1167-55000)*15%+1500,
IF(V1167&lt;=200000,(V1167-70000)*20%+1500+2250,
IF(V1167&lt;=400000,(V1167-200000)*22.5%+1500+2250+26000,
IF(V1167&lt;=600000,(V1167-400000)*25%+1500+2250+26000+45000,
IF(AND(V1167&gt;600000,V1167&lt;=1200000),(V1167-400000)*25%+1500+2250+26000+45000
+IFERROR(LOOKUP(V1167,{600001;700001;800001;900001},{4000;6750;10250;15250}),0),IF(V1167&gt;1200000,((V1167-1200000)*27.5%)+300000,0)
)))))))</f>
        <v>0</v>
      </c>
      <c r="X1167" s="12">
        <f t="shared" si="277"/>
        <v>0</v>
      </c>
      <c r="Y1167" s="12">
        <f t="shared" si="278"/>
        <v>0</v>
      </c>
      <c r="Z1167" s="11"/>
      <c r="AA1167" s="13">
        <f t="shared" si="279"/>
        <v>0</v>
      </c>
      <c r="AB1167" s="12">
        <f t="shared" si="280"/>
        <v>0</v>
      </c>
      <c r="AC1167" s="14">
        <f t="shared" si="283"/>
        <v>0</v>
      </c>
      <c r="AE1167" s="19">
        <f t="shared" si="281"/>
        <v>0</v>
      </c>
      <c r="AF1167" s="19"/>
      <c r="AG1167" s="17"/>
      <c r="AK1167" s="7"/>
      <c r="AL1167" s="108">
        <f t="shared" si="284"/>
        <v>0</v>
      </c>
      <c r="AM1167" s="108">
        <f t="shared" si="285"/>
        <v>0</v>
      </c>
      <c r="AN1167" s="113"/>
    </row>
    <row r="1168" spans="2:40" x14ac:dyDescent="0.2">
      <c r="B1168" s="7"/>
      <c r="C1168" s="8"/>
      <c r="D1168" s="8"/>
      <c r="E1168" s="9"/>
      <c r="F1168" s="6"/>
      <c r="G1168" s="8"/>
      <c r="H1168" s="32"/>
      <c r="I1168" s="10" t="str">
        <f t="shared" si="282"/>
        <v>21</v>
      </c>
      <c r="J1168" s="11">
        <v>1</v>
      </c>
      <c r="K1168" s="11"/>
      <c r="L1168" s="11"/>
      <c r="M1168" s="11">
        <f t="shared" si="271"/>
        <v>0</v>
      </c>
      <c r="N1168" s="11"/>
      <c r="O1168" s="11">
        <f t="shared" si="272"/>
        <v>0</v>
      </c>
      <c r="P1168" s="11"/>
      <c r="Q1168" s="11"/>
      <c r="R1168" s="11"/>
      <c r="S1168" s="11">
        <f t="shared" si="273"/>
        <v>0</v>
      </c>
      <c r="T1168" s="11">
        <f t="shared" si="274"/>
        <v>1666.6666666666667</v>
      </c>
      <c r="U1168" s="11">
        <f t="shared" si="275"/>
        <v>0</v>
      </c>
      <c r="V1168" s="24">
        <f t="shared" si="276"/>
        <v>0</v>
      </c>
      <c r="W1168" s="11">
        <f>IF(V1168&lt;=40000,0,
IF(V1168&lt;=55000,(V1168-40000)*10%,
IF(V1168&lt;=70000,(V1168-55000)*15%+1500,
IF(V1168&lt;=200000,(V1168-70000)*20%+1500+2250,
IF(V1168&lt;=400000,(V1168-200000)*22.5%+1500+2250+26000,
IF(V1168&lt;=600000,(V1168-400000)*25%+1500+2250+26000+45000,
IF(AND(V1168&gt;600000,V1168&lt;=1200000),(V1168-400000)*25%+1500+2250+26000+45000
+IFERROR(LOOKUP(V1168,{600001;700001;800001;900001},{4000;6750;10250;15250}),0),IF(V1168&gt;1200000,((V1168-1200000)*27.5%)+300000,0)
)))))))</f>
        <v>0</v>
      </c>
      <c r="X1168" s="12">
        <f t="shared" si="277"/>
        <v>0</v>
      </c>
      <c r="Y1168" s="12">
        <f t="shared" si="278"/>
        <v>0</v>
      </c>
      <c r="Z1168" s="11"/>
      <c r="AA1168" s="13">
        <f t="shared" si="279"/>
        <v>0</v>
      </c>
      <c r="AB1168" s="12">
        <f t="shared" si="280"/>
        <v>0</v>
      </c>
      <c r="AC1168" s="14">
        <f t="shared" si="283"/>
        <v>0</v>
      </c>
      <c r="AE1168" s="19">
        <f t="shared" si="281"/>
        <v>0</v>
      </c>
      <c r="AF1168" s="19"/>
      <c r="AG1168" s="17"/>
      <c r="AK1168" s="7"/>
      <c r="AL1168" s="108">
        <f t="shared" si="284"/>
        <v>0</v>
      </c>
      <c r="AM1168" s="108">
        <f t="shared" si="285"/>
        <v>0</v>
      </c>
      <c r="AN1168" s="113"/>
    </row>
    <row r="1169" spans="2:40" x14ac:dyDescent="0.2">
      <c r="B1169" s="7"/>
      <c r="C1169" s="8"/>
      <c r="D1169" s="8"/>
      <c r="E1169" s="9"/>
      <c r="F1169" s="6"/>
      <c r="G1169" s="8"/>
      <c r="H1169" s="32"/>
      <c r="I1169" s="10" t="str">
        <f t="shared" si="282"/>
        <v>21</v>
      </c>
      <c r="J1169" s="11">
        <v>1</v>
      </c>
      <c r="K1169" s="11"/>
      <c r="L1169" s="11"/>
      <c r="M1169" s="11">
        <f t="shared" si="271"/>
        <v>0</v>
      </c>
      <c r="N1169" s="11"/>
      <c r="O1169" s="11">
        <f t="shared" si="272"/>
        <v>0</v>
      </c>
      <c r="P1169" s="11"/>
      <c r="Q1169" s="11"/>
      <c r="R1169" s="11"/>
      <c r="S1169" s="11">
        <f t="shared" si="273"/>
        <v>0</v>
      </c>
      <c r="T1169" s="11">
        <f t="shared" si="274"/>
        <v>1666.6666666666667</v>
      </c>
      <c r="U1169" s="11">
        <f t="shared" si="275"/>
        <v>0</v>
      </c>
      <c r="V1169" s="24">
        <f t="shared" si="276"/>
        <v>0</v>
      </c>
      <c r="W1169" s="11">
        <f>IF(V1169&lt;=40000,0,
IF(V1169&lt;=55000,(V1169-40000)*10%,
IF(V1169&lt;=70000,(V1169-55000)*15%+1500,
IF(V1169&lt;=200000,(V1169-70000)*20%+1500+2250,
IF(V1169&lt;=400000,(V1169-200000)*22.5%+1500+2250+26000,
IF(V1169&lt;=600000,(V1169-400000)*25%+1500+2250+26000+45000,
IF(AND(V1169&gt;600000,V1169&lt;=1200000),(V1169-400000)*25%+1500+2250+26000+45000
+IFERROR(LOOKUP(V1169,{600001;700001;800001;900001},{4000;6750;10250;15250}),0),IF(V1169&gt;1200000,((V1169-1200000)*27.5%)+300000,0)
)))))))</f>
        <v>0</v>
      </c>
      <c r="X1169" s="12">
        <f t="shared" si="277"/>
        <v>0</v>
      </c>
      <c r="Y1169" s="12">
        <f t="shared" si="278"/>
        <v>0</v>
      </c>
      <c r="Z1169" s="11"/>
      <c r="AA1169" s="13">
        <f t="shared" si="279"/>
        <v>0</v>
      </c>
      <c r="AB1169" s="12">
        <f t="shared" si="280"/>
        <v>0</v>
      </c>
      <c r="AC1169" s="14">
        <f t="shared" si="283"/>
        <v>0</v>
      </c>
      <c r="AE1169" s="19">
        <f t="shared" si="281"/>
        <v>0</v>
      </c>
      <c r="AF1169" s="19"/>
      <c r="AG1169" s="17"/>
      <c r="AK1169" s="7"/>
      <c r="AL1169" s="108">
        <f t="shared" si="284"/>
        <v>0</v>
      </c>
      <c r="AM1169" s="108">
        <f t="shared" si="285"/>
        <v>0</v>
      </c>
      <c r="AN1169" s="113"/>
    </row>
    <row r="1170" spans="2:40" x14ac:dyDescent="0.2">
      <c r="B1170" s="7"/>
      <c r="C1170" s="8"/>
      <c r="D1170" s="8"/>
      <c r="E1170" s="9"/>
      <c r="F1170" s="6"/>
      <c r="G1170" s="8"/>
      <c r="H1170" s="32"/>
      <c r="I1170" s="10" t="str">
        <f t="shared" si="282"/>
        <v>21</v>
      </c>
      <c r="J1170" s="11">
        <v>1</v>
      </c>
      <c r="K1170" s="11"/>
      <c r="L1170" s="11"/>
      <c r="M1170" s="11">
        <f t="shared" si="271"/>
        <v>0</v>
      </c>
      <c r="N1170" s="11"/>
      <c r="O1170" s="11">
        <f t="shared" si="272"/>
        <v>0</v>
      </c>
      <c r="P1170" s="11"/>
      <c r="Q1170" s="11"/>
      <c r="R1170" s="11"/>
      <c r="S1170" s="11">
        <f t="shared" si="273"/>
        <v>0</v>
      </c>
      <c r="T1170" s="11">
        <f t="shared" si="274"/>
        <v>1666.6666666666667</v>
      </c>
      <c r="U1170" s="11">
        <f t="shared" si="275"/>
        <v>0</v>
      </c>
      <c r="V1170" s="24">
        <f t="shared" si="276"/>
        <v>0</v>
      </c>
      <c r="W1170" s="11">
        <f>IF(V1170&lt;=40000,0,
IF(V1170&lt;=55000,(V1170-40000)*10%,
IF(V1170&lt;=70000,(V1170-55000)*15%+1500,
IF(V1170&lt;=200000,(V1170-70000)*20%+1500+2250,
IF(V1170&lt;=400000,(V1170-200000)*22.5%+1500+2250+26000,
IF(V1170&lt;=600000,(V1170-400000)*25%+1500+2250+26000+45000,
IF(AND(V1170&gt;600000,V1170&lt;=1200000),(V1170-400000)*25%+1500+2250+26000+45000
+IFERROR(LOOKUP(V1170,{600001;700001;800001;900001},{4000;6750;10250;15250}),0),IF(V1170&gt;1200000,((V1170-1200000)*27.5%)+300000,0)
)))))))</f>
        <v>0</v>
      </c>
      <c r="X1170" s="12">
        <f t="shared" si="277"/>
        <v>0</v>
      </c>
      <c r="Y1170" s="12">
        <f t="shared" si="278"/>
        <v>0</v>
      </c>
      <c r="Z1170" s="11"/>
      <c r="AA1170" s="13">
        <f t="shared" si="279"/>
        <v>0</v>
      </c>
      <c r="AB1170" s="12">
        <f t="shared" si="280"/>
        <v>0</v>
      </c>
      <c r="AC1170" s="14">
        <f t="shared" si="283"/>
        <v>0</v>
      </c>
      <c r="AE1170" s="19">
        <f t="shared" si="281"/>
        <v>0</v>
      </c>
      <c r="AF1170" s="19"/>
      <c r="AG1170" s="17"/>
      <c r="AK1170" s="7"/>
      <c r="AL1170" s="108">
        <f t="shared" si="284"/>
        <v>0</v>
      </c>
      <c r="AM1170" s="108">
        <f t="shared" si="285"/>
        <v>0</v>
      </c>
      <c r="AN1170" s="113"/>
    </row>
    <row r="1171" spans="2:40" x14ac:dyDescent="0.2">
      <c r="B1171" s="7"/>
      <c r="C1171" s="8"/>
      <c r="D1171" s="8"/>
      <c r="E1171" s="9"/>
      <c r="F1171" s="6"/>
      <c r="G1171" s="8"/>
      <c r="H1171" s="32"/>
      <c r="I1171" s="10" t="str">
        <f t="shared" si="282"/>
        <v>21</v>
      </c>
      <c r="J1171" s="11">
        <v>1</v>
      </c>
      <c r="K1171" s="11"/>
      <c r="L1171" s="11"/>
      <c r="M1171" s="11">
        <f t="shared" si="271"/>
        <v>0</v>
      </c>
      <c r="N1171" s="11"/>
      <c r="O1171" s="11">
        <f t="shared" si="272"/>
        <v>0</v>
      </c>
      <c r="P1171" s="11"/>
      <c r="Q1171" s="11"/>
      <c r="R1171" s="11"/>
      <c r="S1171" s="11">
        <f t="shared" si="273"/>
        <v>0</v>
      </c>
      <c r="T1171" s="11">
        <f t="shared" si="274"/>
        <v>1666.6666666666667</v>
      </c>
      <c r="U1171" s="11">
        <f t="shared" si="275"/>
        <v>0</v>
      </c>
      <c r="V1171" s="24">
        <f t="shared" si="276"/>
        <v>0</v>
      </c>
      <c r="W1171" s="11">
        <f>IF(V1171&lt;=40000,0,
IF(V1171&lt;=55000,(V1171-40000)*10%,
IF(V1171&lt;=70000,(V1171-55000)*15%+1500,
IF(V1171&lt;=200000,(V1171-70000)*20%+1500+2250,
IF(V1171&lt;=400000,(V1171-200000)*22.5%+1500+2250+26000,
IF(V1171&lt;=600000,(V1171-400000)*25%+1500+2250+26000+45000,
IF(AND(V1171&gt;600000,V1171&lt;=1200000),(V1171-400000)*25%+1500+2250+26000+45000
+IFERROR(LOOKUP(V1171,{600001;700001;800001;900001},{4000;6750;10250;15250}),0),IF(V1171&gt;1200000,((V1171-1200000)*27.5%)+300000,0)
)))))))</f>
        <v>0</v>
      </c>
      <c r="X1171" s="12">
        <f t="shared" si="277"/>
        <v>0</v>
      </c>
      <c r="Y1171" s="12">
        <f t="shared" si="278"/>
        <v>0</v>
      </c>
      <c r="Z1171" s="11"/>
      <c r="AA1171" s="13">
        <f t="shared" si="279"/>
        <v>0</v>
      </c>
      <c r="AB1171" s="12">
        <f t="shared" si="280"/>
        <v>0</v>
      </c>
      <c r="AC1171" s="14">
        <f t="shared" si="283"/>
        <v>0</v>
      </c>
      <c r="AE1171" s="19">
        <f t="shared" si="281"/>
        <v>0</v>
      </c>
      <c r="AF1171" s="19"/>
      <c r="AG1171" s="17"/>
      <c r="AK1171" s="7"/>
      <c r="AL1171" s="108">
        <f t="shared" si="284"/>
        <v>0</v>
      </c>
      <c r="AM1171" s="108">
        <f t="shared" si="285"/>
        <v>0</v>
      </c>
      <c r="AN1171" s="113"/>
    </row>
    <row r="1172" spans="2:40" x14ac:dyDescent="0.2">
      <c r="B1172" s="7"/>
      <c r="C1172" s="8"/>
      <c r="D1172" s="8"/>
      <c r="E1172" s="9"/>
      <c r="F1172" s="6"/>
      <c r="G1172" s="8"/>
      <c r="H1172" s="32"/>
      <c r="I1172" s="10" t="str">
        <f t="shared" si="282"/>
        <v>21</v>
      </c>
      <c r="J1172" s="11">
        <v>1</v>
      </c>
      <c r="K1172" s="11"/>
      <c r="L1172" s="11"/>
      <c r="M1172" s="11">
        <f t="shared" si="271"/>
        <v>0</v>
      </c>
      <c r="N1172" s="11"/>
      <c r="O1172" s="11">
        <f t="shared" si="272"/>
        <v>0</v>
      </c>
      <c r="P1172" s="11"/>
      <c r="Q1172" s="11"/>
      <c r="R1172" s="11"/>
      <c r="S1172" s="11">
        <f t="shared" si="273"/>
        <v>0</v>
      </c>
      <c r="T1172" s="11">
        <f t="shared" si="274"/>
        <v>1666.6666666666667</v>
      </c>
      <c r="U1172" s="11">
        <f t="shared" si="275"/>
        <v>0</v>
      </c>
      <c r="V1172" s="24">
        <f t="shared" si="276"/>
        <v>0</v>
      </c>
      <c r="W1172" s="11">
        <f>IF(V1172&lt;=40000,0,
IF(V1172&lt;=55000,(V1172-40000)*10%,
IF(V1172&lt;=70000,(V1172-55000)*15%+1500,
IF(V1172&lt;=200000,(V1172-70000)*20%+1500+2250,
IF(V1172&lt;=400000,(V1172-200000)*22.5%+1500+2250+26000,
IF(V1172&lt;=600000,(V1172-400000)*25%+1500+2250+26000+45000,
IF(AND(V1172&gt;600000,V1172&lt;=1200000),(V1172-400000)*25%+1500+2250+26000+45000
+IFERROR(LOOKUP(V1172,{600001;700001;800001;900001},{4000;6750;10250;15250}),0),IF(V1172&gt;1200000,((V1172-1200000)*27.5%)+300000,0)
)))))))</f>
        <v>0</v>
      </c>
      <c r="X1172" s="12">
        <f t="shared" si="277"/>
        <v>0</v>
      </c>
      <c r="Y1172" s="12">
        <f t="shared" si="278"/>
        <v>0</v>
      </c>
      <c r="Z1172" s="11"/>
      <c r="AA1172" s="13">
        <f t="shared" si="279"/>
        <v>0</v>
      </c>
      <c r="AB1172" s="12">
        <f t="shared" si="280"/>
        <v>0</v>
      </c>
      <c r="AC1172" s="14">
        <f t="shared" si="283"/>
        <v>0</v>
      </c>
      <c r="AE1172" s="19">
        <f t="shared" si="281"/>
        <v>0</v>
      </c>
      <c r="AF1172" s="19"/>
      <c r="AG1172" s="17"/>
      <c r="AK1172" s="7"/>
      <c r="AL1172" s="108">
        <f t="shared" si="284"/>
        <v>0</v>
      </c>
      <c r="AM1172" s="108">
        <f t="shared" si="285"/>
        <v>0</v>
      </c>
      <c r="AN1172" s="113"/>
    </row>
    <row r="1173" spans="2:40" x14ac:dyDescent="0.2">
      <c r="B1173" s="7"/>
      <c r="C1173" s="8"/>
      <c r="D1173" s="8"/>
      <c r="E1173" s="9"/>
      <c r="F1173" s="6"/>
      <c r="G1173" s="8"/>
      <c r="H1173" s="32"/>
      <c r="I1173" s="10" t="str">
        <f t="shared" si="282"/>
        <v>21</v>
      </c>
      <c r="J1173" s="11">
        <v>1</v>
      </c>
      <c r="K1173" s="11"/>
      <c r="L1173" s="11"/>
      <c r="M1173" s="11">
        <f t="shared" si="271"/>
        <v>0</v>
      </c>
      <c r="N1173" s="11"/>
      <c r="O1173" s="11">
        <f t="shared" si="272"/>
        <v>0</v>
      </c>
      <c r="P1173" s="11"/>
      <c r="Q1173" s="11"/>
      <c r="R1173" s="11"/>
      <c r="S1173" s="11">
        <f t="shared" si="273"/>
        <v>0</v>
      </c>
      <c r="T1173" s="11">
        <f t="shared" si="274"/>
        <v>1666.6666666666667</v>
      </c>
      <c r="U1173" s="11">
        <f t="shared" si="275"/>
        <v>0</v>
      </c>
      <c r="V1173" s="24">
        <f t="shared" si="276"/>
        <v>0</v>
      </c>
      <c r="W1173" s="11">
        <f>IF(V1173&lt;=40000,0,
IF(V1173&lt;=55000,(V1173-40000)*10%,
IF(V1173&lt;=70000,(V1173-55000)*15%+1500,
IF(V1173&lt;=200000,(V1173-70000)*20%+1500+2250,
IF(V1173&lt;=400000,(V1173-200000)*22.5%+1500+2250+26000,
IF(V1173&lt;=600000,(V1173-400000)*25%+1500+2250+26000+45000,
IF(AND(V1173&gt;600000,V1173&lt;=1200000),(V1173-400000)*25%+1500+2250+26000+45000
+IFERROR(LOOKUP(V1173,{600001;700001;800001;900001},{4000;6750;10250;15250}),0),IF(V1173&gt;1200000,((V1173-1200000)*27.5%)+300000,0)
)))))))</f>
        <v>0</v>
      </c>
      <c r="X1173" s="12">
        <f t="shared" si="277"/>
        <v>0</v>
      </c>
      <c r="Y1173" s="12">
        <f t="shared" si="278"/>
        <v>0</v>
      </c>
      <c r="Z1173" s="11"/>
      <c r="AA1173" s="13">
        <f t="shared" si="279"/>
        <v>0</v>
      </c>
      <c r="AB1173" s="12">
        <f t="shared" si="280"/>
        <v>0</v>
      </c>
      <c r="AC1173" s="14">
        <f t="shared" si="283"/>
        <v>0</v>
      </c>
      <c r="AE1173" s="19">
        <f t="shared" si="281"/>
        <v>0</v>
      </c>
      <c r="AF1173" s="19"/>
      <c r="AG1173" s="17"/>
      <c r="AK1173" s="7"/>
      <c r="AL1173" s="108">
        <f t="shared" si="284"/>
        <v>0</v>
      </c>
      <c r="AM1173" s="108">
        <f t="shared" si="285"/>
        <v>0</v>
      </c>
      <c r="AN1173" s="113"/>
    </row>
    <row r="1174" spans="2:40" x14ac:dyDescent="0.2">
      <c r="B1174" s="7"/>
      <c r="C1174" s="8"/>
      <c r="D1174" s="8"/>
      <c r="E1174" s="9"/>
      <c r="F1174" s="6"/>
      <c r="G1174" s="8"/>
      <c r="H1174" s="32"/>
      <c r="I1174" s="10" t="str">
        <f t="shared" si="282"/>
        <v>21</v>
      </c>
      <c r="J1174" s="11">
        <v>1</v>
      </c>
      <c r="K1174" s="11"/>
      <c r="L1174" s="11"/>
      <c r="M1174" s="11">
        <f t="shared" si="271"/>
        <v>0</v>
      </c>
      <c r="N1174" s="11"/>
      <c r="O1174" s="11">
        <f t="shared" si="272"/>
        <v>0</v>
      </c>
      <c r="P1174" s="11"/>
      <c r="Q1174" s="11"/>
      <c r="R1174" s="11"/>
      <c r="S1174" s="11">
        <f t="shared" si="273"/>
        <v>0</v>
      </c>
      <c r="T1174" s="11">
        <f t="shared" si="274"/>
        <v>1666.6666666666667</v>
      </c>
      <c r="U1174" s="11">
        <f t="shared" si="275"/>
        <v>0</v>
      </c>
      <c r="V1174" s="24">
        <f t="shared" si="276"/>
        <v>0</v>
      </c>
      <c r="W1174" s="11">
        <f>IF(V1174&lt;=40000,0,
IF(V1174&lt;=55000,(V1174-40000)*10%,
IF(V1174&lt;=70000,(V1174-55000)*15%+1500,
IF(V1174&lt;=200000,(V1174-70000)*20%+1500+2250,
IF(V1174&lt;=400000,(V1174-200000)*22.5%+1500+2250+26000,
IF(V1174&lt;=600000,(V1174-400000)*25%+1500+2250+26000+45000,
IF(AND(V1174&gt;600000,V1174&lt;=1200000),(V1174-400000)*25%+1500+2250+26000+45000
+IFERROR(LOOKUP(V1174,{600001;700001;800001;900001},{4000;6750;10250;15250}),0),IF(V1174&gt;1200000,((V1174-1200000)*27.5%)+300000,0)
)))))))</f>
        <v>0</v>
      </c>
      <c r="X1174" s="12">
        <f t="shared" si="277"/>
        <v>0</v>
      </c>
      <c r="Y1174" s="12">
        <f t="shared" si="278"/>
        <v>0</v>
      </c>
      <c r="Z1174" s="11"/>
      <c r="AA1174" s="13">
        <f t="shared" si="279"/>
        <v>0</v>
      </c>
      <c r="AB1174" s="12">
        <f t="shared" si="280"/>
        <v>0</v>
      </c>
      <c r="AC1174" s="14">
        <f t="shared" si="283"/>
        <v>0</v>
      </c>
      <c r="AE1174" s="19">
        <f t="shared" si="281"/>
        <v>0</v>
      </c>
      <c r="AF1174" s="19"/>
      <c r="AG1174" s="17"/>
      <c r="AK1174" s="7"/>
      <c r="AL1174" s="108">
        <f t="shared" si="284"/>
        <v>0</v>
      </c>
      <c r="AM1174" s="108">
        <f t="shared" si="285"/>
        <v>0</v>
      </c>
      <c r="AN1174" s="113"/>
    </row>
    <row r="1175" spans="2:40" x14ac:dyDescent="0.2">
      <c r="B1175" s="7"/>
      <c r="C1175" s="8"/>
      <c r="D1175" s="8"/>
      <c r="E1175" s="9"/>
      <c r="F1175" s="6"/>
      <c r="G1175" s="8"/>
      <c r="H1175" s="32"/>
      <c r="I1175" s="10" t="str">
        <f t="shared" si="282"/>
        <v>21</v>
      </c>
      <c r="J1175" s="11">
        <v>1</v>
      </c>
      <c r="K1175" s="11"/>
      <c r="L1175" s="11"/>
      <c r="M1175" s="11">
        <f t="shared" si="271"/>
        <v>0</v>
      </c>
      <c r="N1175" s="11"/>
      <c r="O1175" s="11">
        <f t="shared" si="272"/>
        <v>0</v>
      </c>
      <c r="P1175" s="11"/>
      <c r="Q1175" s="11"/>
      <c r="R1175" s="11"/>
      <c r="S1175" s="11">
        <f t="shared" si="273"/>
        <v>0</v>
      </c>
      <c r="T1175" s="11">
        <f t="shared" si="274"/>
        <v>1666.6666666666667</v>
      </c>
      <c r="U1175" s="11">
        <f t="shared" si="275"/>
        <v>0</v>
      </c>
      <c r="V1175" s="24">
        <f t="shared" si="276"/>
        <v>0</v>
      </c>
      <c r="W1175" s="11">
        <f>IF(V1175&lt;=40000,0,
IF(V1175&lt;=55000,(V1175-40000)*10%,
IF(V1175&lt;=70000,(V1175-55000)*15%+1500,
IF(V1175&lt;=200000,(V1175-70000)*20%+1500+2250,
IF(V1175&lt;=400000,(V1175-200000)*22.5%+1500+2250+26000,
IF(V1175&lt;=600000,(V1175-400000)*25%+1500+2250+26000+45000,
IF(AND(V1175&gt;600000,V1175&lt;=1200000),(V1175-400000)*25%+1500+2250+26000+45000
+IFERROR(LOOKUP(V1175,{600001;700001;800001;900001},{4000;6750;10250;15250}),0),IF(V1175&gt;1200000,((V1175-1200000)*27.5%)+300000,0)
)))))))</f>
        <v>0</v>
      </c>
      <c r="X1175" s="12">
        <f t="shared" si="277"/>
        <v>0</v>
      </c>
      <c r="Y1175" s="12">
        <f t="shared" si="278"/>
        <v>0</v>
      </c>
      <c r="Z1175" s="11"/>
      <c r="AA1175" s="13">
        <f t="shared" si="279"/>
        <v>0</v>
      </c>
      <c r="AB1175" s="12">
        <f t="shared" si="280"/>
        <v>0</v>
      </c>
      <c r="AC1175" s="14">
        <f t="shared" si="283"/>
        <v>0</v>
      </c>
      <c r="AE1175" s="19">
        <f t="shared" si="281"/>
        <v>0</v>
      </c>
      <c r="AF1175" s="19"/>
      <c r="AG1175" s="17"/>
      <c r="AK1175" s="7"/>
      <c r="AL1175" s="108">
        <f t="shared" si="284"/>
        <v>0</v>
      </c>
      <c r="AM1175" s="108">
        <f t="shared" si="285"/>
        <v>0</v>
      </c>
      <c r="AN1175" s="113"/>
    </row>
    <row r="1176" spans="2:40" x14ac:dyDescent="0.2">
      <c r="B1176" s="7"/>
      <c r="C1176" s="8"/>
      <c r="D1176" s="8"/>
      <c r="E1176" s="9"/>
      <c r="F1176" s="6"/>
      <c r="G1176" s="8"/>
      <c r="H1176" s="32"/>
      <c r="I1176" s="10" t="str">
        <f t="shared" si="282"/>
        <v>21</v>
      </c>
      <c r="J1176" s="11">
        <v>1</v>
      </c>
      <c r="K1176" s="11"/>
      <c r="L1176" s="11"/>
      <c r="M1176" s="11">
        <f t="shared" si="271"/>
        <v>0</v>
      </c>
      <c r="N1176" s="11"/>
      <c r="O1176" s="11">
        <f t="shared" si="272"/>
        <v>0</v>
      </c>
      <c r="P1176" s="11"/>
      <c r="Q1176" s="11"/>
      <c r="R1176" s="11"/>
      <c r="S1176" s="11">
        <f t="shared" si="273"/>
        <v>0</v>
      </c>
      <c r="T1176" s="11">
        <f t="shared" si="274"/>
        <v>1666.6666666666667</v>
      </c>
      <c r="U1176" s="11">
        <f t="shared" si="275"/>
        <v>0</v>
      </c>
      <c r="V1176" s="24">
        <f t="shared" si="276"/>
        <v>0</v>
      </c>
      <c r="W1176" s="11">
        <f>IF(V1176&lt;=40000,0,
IF(V1176&lt;=55000,(V1176-40000)*10%,
IF(V1176&lt;=70000,(V1176-55000)*15%+1500,
IF(V1176&lt;=200000,(V1176-70000)*20%+1500+2250,
IF(V1176&lt;=400000,(V1176-200000)*22.5%+1500+2250+26000,
IF(V1176&lt;=600000,(V1176-400000)*25%+1500+2250+26000+45000,
IF(AND(V1176&gt;600000,V1176&lt;=1200000),(V1176-400000)*25%+1500+2250+26000+45000
+IFERROR(LOOKUP(V1176,{600001;700001;800001;900001},{4000;6750;10250;15250}),0),IF(V1176&gt;1200000,((V1176-1200000)*27.5%)+300000,0)
)))))))</f>
        <v>0</v>
      </c>
      <c r="X1176" s="12">
        <f t="shared" si="277"/>
        <v>0</v>
      </c>
      <c r="Y1176" s="12">
        <f t="shared" si="278"/>
        <v>0</v>
      </c>
      <c r="Z1176" s="11"/>
      <c r="AA1176" s="13">
        <f t="shared" si="279"/>
        <v>0</v>
      </c>
      <c r="AB1176" s="12">
        <f t="shared" si="280"/>
        <v>0</v>
      </c>
      <c r="AC1176" s="14">
        <f t="shared" si="283"/>
        <v>0</v>
      </c>
      <c r="AE1176" s="19">
        <f t="shared" si="281"/>
        <v>0</v>
      </c>
      <c r="AF1176" s="19"/>
      <c r="AG1176" s="17"/>
      <c r="AK1176" s="7"/>
      <c r="AL1176" s="108">
        <f t="shared" si="284"/>
        <v>0</v>
      </c>
      <c r="AM1176" s="108">
        <f t="shared" si="285"/>
        <v>0</v>
      </c>
      <c r="AN1176" s="113"/>
    </row>
    <row r="1177" spans="2:40" x14ac:dyDescent="0.2">
      <c r="B1177" s="7"/>
      <c r="C1177" s="8"/>
      <c r="D1177" s="8"/>
      <c r="E1177" s="9"/>
      <c r="F1177" s="6"/>
      <c r="G1177" s="8"/>
      <c r="H1177" s="32"/>
      <c r="I1177" s="10" t="str">
        <f t="shared" si="282"/>
        <v>21</v>
      </c>
      <c r="J1177" s="11">
        <v>1</v>
      </c>
      <c r="K1177" s="11"/>
      <c r="L1177" s="11"/>
      <c r="M1177" s="11">
        <f t="shared" si="271"/>
        <v>0</v>
      </c>
      <c r="N1177" s="11"/>
      <c r="O1177" s="11">
        <f t="shared" si="272"/>
        <v>0</v>
      </c>
      <c r="P1177" s="11"/>
      <c r="Q1177" s="11"/>
      <c r="R1177" s="11"/>
      <c r="S1177" s="11">
        <f t="shared" si="273"/>
        <v>0</v>
      </c>
      <c r="T1177" s="11">
        <f t="shared" si="274"/>
        <v>1666.6666666666667</v>
      </c>
      <c r="U1177" s="11">
        <f t="shared" si="275"/>
        <v>0</v>
      </c>
      <c r="V1177" s="24">
        <f t="shared" si="276"/>
        <v>0</v>
      </c>
      <c r="W1177" s="11">
        <f>IF(V1177&lt;=40000,0,
IF(V1177&lt;=55000,(V1177-40000)*10%,
IF(V1177&lt;=70000,(V1177-55000)*15%+1500,
IF(V1177&lt;=200000,(V1177-70000)*20%+1500+2250,
IF(V1177&lt;=400000,(V1177-200000)*22.5%+1500+2250+26000,
IF(V1177&lt;=600000,(V1177-400000)*25%+1500+2250+26000+45000,
IF(AND(V1177&gt;600000,V1177&lt;=1200000),(V1177-400000)*25%+1500+2250+26000+45000
+IFERROR(LOOKUP(V1177,{600001;700001;800001;900001},{4000;6750;10250;15250}),0),IF(V1177&gt;1200000,((V1177-1200000)*27.5%)+300000,0)
)))))))</f>
        <v>0</v>
      </c>
      <c r="X1177" s="12">
        <f t="shared" si="277"/>
        <v>0</v>
      </c>
      <c r="Y1177" s="12">
        <f t="shared" si="278"/>
        <v>0</v>
      </c>
      <c r="Z1177" s="11"/>
      <c r="AA1177" s="13">
        <f t="shared" si="279"/>
        <v>0</v>
      </c>
      <c r="AB1177" s="12">
        <f t="shared" si="280"/>
        <v>0</v>
      </c>
      <c r="AC1177" s="14">
        <f t="shared" si="283"/>
        <v>0</v>
      </c>
      <c r="AE1177" s="19">
        <f t="shared" si="281"/>
        <v>0</v>
      </c>
      <c r="AF1177" s="19"/>
      <c r="AG1177" s="17"/>
      <c r="AK1177" s="7"/>
      <c r="AL1177" s="108">
        <f t="shared" si="284"/>
        <v>0</v>
      </c>
      <c r="AM1177" s="108">
        <f t="shared" si="285"/>
        <v>0</v>
      </c>
      <c r="AN1177" s="113"/>
    </row>
    <row r="1178" spans="2:40" x14ac:dyDescent="0.2">
      <c r="B1178" s="7"/>
      <c r="C1178" s="8"/>
      <c r="D1178" s="8"/>
      <c r="E1178" s="9"/>
      <c r="F1178" s="6"/>
      <c r="G1178" s="8"/>
      <c r="H1178" s="32"/>
      <c r="I1178" s="10" t="str">
        <f t="shared" si="282"/>
        <v>21</v>
      </c>
      <c r="J1178" s="11">
        <v>1</v>
      </c>
      <c r="K1178" s="11"/>
      <c r="L1178" s="11"/>
      <c r="M1178" s="11">
        <f t="shared" si="271"/>
        <v>0</v>
      </c>
      <c r="N1178" s="11"/>
      <c r="O1178" s="11">
        <f t="shared" si="272"/>
        <v>0</v>
      </c>
      <c r="P1178" s="11"/>
      <c r="Q1178" s="11"/>
      <c r="R1178" s="11"/>
      <c r="S1178" s="11">
        <f t="shared" si="273"/>
        <v>0</v>
      </c>
      <c r="T1178" s="11">
        <f t="shared" si="274"/>
        <v>1666.6666666666667</v>
      </c>
      <c r="U1178" s="11">
        <f t="shared" si="275"/>
        <v>0</v>
      </c>
      <c r="V1178" s="24">
        <f t="shared" si="276"/>
        <v>0</v>
      </c>
      <c r="W1178" s="11">
        <f>IF(V1178&lt;=40000,0,
IF(V1178&lt;=55000,(V1178-40000)*10%,
IF(V1178&lt;=70000,(V1178-55000)*15%+1500,
IF(V1178&lt;=200000,(V1178-70000)*20%+1500+2250,
IF(V1178&lt;=400000,(V1178-200000)*22.5%+1500+2250+26000,
IF(V1178&lt;=600000,(V1178-400000)*25%+1500+2250+26000+45000,
IF(AND(V1178&gt;600000,V1178&lt;=1200000),(V1178-400000)*25%+1500+2250+26000+45000
+IFERROR(LOOKUP(V1178,{600001;700001;800001;900001},{4000;6750;10250;15250}),0),IF(V1178&gt;1200000,((V1178-1200000)*27.5%)+300000,0)
)))))))</f>
        <v>0</v>
      </c>
      <c r="X1178" s="12">
        <f t="shared" si="277"/>
        <v>0</v>
      </c>
      <c r="Y1178" s="12">
        <f t="shared" si="278"/>
        <v>0</v>
      </c>
      <c r="Z1178" s="11"/>
      <c r="AA1178" s="13">
        <f t="shared" si="279"/>
        <v>0</v>
      </c>
      <c r="AB1178" s="12">
        <f t="shared" si="280"/>
        <v>0</v>
      </c>
      <c r="AC1178" s="14">
        <f t="shared" si="283"/>
        <v>0</v>
      </c>
      <c r="AE1178" s="19">
        <f t="shared" si="281"/>
        <v>0</v>
      </c>
      <c r="AF1178" s="19"/>
      <c r="AG1178" s="17"/>
      <c r="AK1178" s="7"/>
      <c r="AL1178" s="108">
        <f t="shared" si="284"/>
        <v>0</v>
      </c>
      <c r="AM1178" s="108">
        <f t="shared" si="285"/>
        <v>0</v>
      </c>
      <c r="AN1178" s="113"/>
    </row>
    <row r="1179" spans="2:40" x14ac:dyDescent="0.2">
      <c r="B1179" s="7"/>
      <c r="C1179" s="8"/>
      <c r="D1179" s="8"/>
      <c r="E1179" s="9"/>
      <c r="F1179" s="6"/>
      <c r="G1179" s="8"/>
      <c r="H1179" s="32"/>
      <c r="I1179" s="10" t="str">
        <f t="shared" si="282"/>
        <v>21</v>
      </c>
      <c r="J1179" s="11">
        <v>1</v>
      </c>
      <c r="K1179" s="11"/>
      <c r="L1179" s="11"/>
      <c r="M1179" s="11">
        <f t="shared" si="271"/>
        <v>0</v>
      </c>
      <c r="N1179" s="11"/>
      <c r="O1179" s="11">
        <f t="shared" si="272"/>
        <v>0</v>
      </c>
      <c r="P1179" s="11"/>
      <c r="Q1179" s="11"/>
      <c r="R1179" s="11"/>
      <c r="S1179" s="11">
        <f t="shared" si="273"/>
        <v>0</v>
      </c>
      <c r="T1179" s="11">
        <f t="shared" si="274"/>
        <v>1666.6666666666667</v>
      </c>
      <c r="U1179" s="11">
        <f t="shared" si="275"/>
        <v>0</v>
      </c>
      <c r="V1179" s="24">
        <f t="shared" si="276"/>
        <v>0</v>
      </c>
      <c r="W1179" s="11">
        <f>IF(V1179&lt;=40000,0,
IF(V1179&lt;=55000,(V1179-40000)*10%,
IF(V1179&lt;=70000,(V1179-55000)*15%+1500,
IF(V1179&lt;=200000,(V1179-70000)*20%+1500+2250,
IF(V1179&lt;=400000,(V1179-200000)*22.5%+1500+2250+26000,
IF(V1179&lt;=600000,(V1179-400000)*25%+1500+2250+26000+45000,
IF(AND(V1179&gt;600000,V1179&lt;=1200000),(V1179-400000)*25%+1500+2250+26000+45000
+IFERROR(LOOKUP(V1179,{600001;700001;800001;900001},{4000;6750;10250;15250}),0),IF(V1179&gt;1200000,((V1179-1200000)*27.5%)+300000,0)
)))))))</f>
        <v>0</v>
      </c>
      <c r="X1179" s="12">
        <f t="shared" si="277"/>
        <v>0</v>
      </c>
      <c r="Y1179" s="12">
        <f t="shared" si="278"/>
        <v>0</v>
      </c>
      <c r="Z1179" s="11"/>
      <c r="AA1179" s="13">
        <f t="shared" si="279"/>
        <v>0</v>
      </c>
      <c r="AB1179" s="12">
        <f t="shared" si="280"/>
        <v>0</v>
      </c>
      <c r="AC1179" s="14">
        <f t="shared" si="283"/>
        <v>0</v>
      </c>
      <c r="AE1179" s="19">
        <f t="shared" si="281"/>
        <v>0</v>
      </c>
      <c r="AF1179" s="19"/>
      <c r="AG1179" s="17"/>
      <c r="AK1179" s="7"/>
      <c r="AL1179" s="108">
        <f t="shared" si="284"/>
        <v>0</v>
      </c>
      <c r="AM1179" s="108">
        <f t="shared" si="285"/>
        <v>0</v>
      </c>
      <c r="AN1179" s="113"/>
    </row>
    <row r="1180" spans="2:40" x14ac:dyDescent="0.2">
      <c r="B1180" s="7"/>
      <c r="C1180" s="8"/>
      <c r="D1180" s="8"/>
      <c r="E1180" s="9"/>
      <c r="F1180" s="6"/>
      <c r="G1180" s="8"/>
      <c r="H1180" s="32"/>
      <c r="I1180" s="10" t="str">
        <f t="shared" si="282"/>
        <v>21</v>
      </c>
      <c r="J1180" s="11">
        <v>1</v>
      </c>
      <c r="K1180" s="11"/>
      <c r="L1180" s="11"/>
      <c r="M1180" s="11">
        <f t="shared" si="271"/>
        <v>0</v>
      </c>
      <c r="N1180" s="11"/>
      <c r="O1180" s="11">
        <f t="shared" si="272"/>
        <v>0</v>
      </c>
      <c r="P1180" s="11"/>
      <c r="Q1180" s="11"/>
      <c r="R1180" s="11"/>
      <c r="S1180" s="11">
        <f t="shared" si="273"/>
        <v>0</v>
      </c>
      <c r="T1180" s="11">
        <f t="shared" si="274"/>
        <v>1666.6666666666667</v>
      </c>
      <c r="U1180" s="11">
        <f t="shared" si="275"/>
        <v>0</v>
      </c>
      <c r="V1180" s="24">
        <f t="shared" si="276"/>
        <v>0</v>
      </c>
      <c r="W1180" s="11">
        <f>IF(V1180&lt;=40000,0,
IF(V1180&lt;=55000,(V1180-40000)*10%,
IF(V1180&lt;=70000,(V1180-55000)*15%+1500,
IF(V1180&lt;=200000,(V1180-70000)*20%+1500+2250,
IF(V1180&lt;=400000,(V1180-200000)*22.5%+1500+2250+26000,
IF(V1180&lt;=600000,(V1180-400000)*25%+1500+2250+26000+45000,
IF(AND(V1180&gt;600000,V1180&lt;=1200000),(V1180-400000)*25%+1500+2250+26000+45000
+IFERROR(LOOKUP(V1180,{600001;700001;800001;900001},{4000;6750;10250;15250}),0),IF(V1180&gt;1200000,((V1180-1200000)*27.5%)+300000,0)
)))))))</f>
        <v>0</v>
      </c>
      <c r="X1180" s="12">
        <f t="shared" si="277"/>
        <v>0</v>
      </c>
      <c r="Y1180" s="12">
        <f t="shared" si="278"/>
        <v>0</v>
      </c>
      <c r="Z1180" s="11"/>
      <c r="AA1180" s="13">
        <f t="shared" si="279"/>
        <v>0</v>
      </c>
      <c r="AB1180" s="12">
        <f t="shared" si="280"/>
        <v>0</v>
      </c>
      <c r="AC1180" s="14">
        <f t="shared" si="283"/>
        <v>0</v>
      </c>
      <c r="AE1180" s="19">
        <f t="shared" si="281"/>
        <v>0</v>
      </c>
      <c r="AF1180" s="19"/>
      <c r="AG1180" s="17"/>
      <c r="AK1180" s="7"/>
      <c r="AL1180" s="108">
        <f t="shared" si="284"/>
        <v>0</v>
      </c>
      <c r="AM1180" s="108">
        <f t="shared" si="285"/>
        <v>0</v>
      </c>
      <c r="AN1180" s="113"/>
    </row>
    <row r="1181" spans="2:40" x14ac:dyDescent="0.2">
      <c r="B1181" s="7"/>
      <c r="C1181" s="8"/>
      <c r="D1181" s="8"/>
      <c r="E1181" s="9"/>
      <c r="F1181" s="6"/>
      <c r="G1181" s="8"/>
      <c r="H1181" s="32"/>
      <c r="I1181" s="10" t="str">
        <f t="shared" si="282"/>
        <v>21</v>
      </c>
      <c r="J1181" s="11">
        <v>1</v>
      </c>
      <c r="K1181" s="11"/>
      <c r="L1181" s="11"/>
      <c r="M1181" s="11">
        <f t="shared" ref="M1181:M1244" si="286">SUM(K1181:L1181)</f>
        <v>0</v>
      </c>
      <c r="N1181" s="11"/>
      <c r="O1181" s="11">
        <f t="shared" ref="O1181:O1244" si="287">+N1181+M1181</f>
        <v>0</v>
      </c>
      <c r="P1181" s="11"/>
      <c r="Q1181" s="11"/>
      <c r="R1181" s="11"/>
      <c r="S1181" s="11">
        <f t="shared" ref="S1181:S1244" si="288">O1181-P1181-Q1181-R1181</f>
        <v>0</v>
      </c>
      <c r="T1181" s="11">
        <f t="shared" ref="T1181:T1244" si="289">IF(J1181&gt;0,(20000/12*J1181),0)</f>
        <v>1666.6666666666667</v>
      </c>
      <c r="U1181" s="11">
        <f t="shared" ref="U1181:U1244" si="290">IF(AND(J1181&gt;0,S1181-T1181&gt;0),S1181-T1181,0)</f>
        <v>0</v>
      </c>
      <c r="V1181" s="24">
        <f t="shared" ref="V1181:V1244" si="291">IF(J1181=0,0,(U1181/J1181*12))</f>
        <v>0</v>
      </c>
      <c r="W1181" s="11">
        <f>IF(V1181&lt;=40000,0,
IF(V1181&lt;=55000,(V1181-40000)*10%,
IF(V1181&lt;=70000,(V1181-55000)*15%+1500,
IF(V1181&lt;=200000,(V1181-70000)*20%+1500+2250,
IF(V1181&lt;=400000,(V1181-200000)*22.5%+1500+2250+26000,
IF(V1181&lt;=600000,(V1181-400000)*25%+1500+2250+26000+45000,
IF(AND(V1181&gt;600000,V1181&lt;=1200000),(V1181-400000)*25%+1500+2250+26000+45000
+IFERROR(LOOKUP(V1181,{600001;700001;800001;900001},{4000;6750;10250;15250}),0),IF(V1181&gt;1200000,((V1181-1200000)*27.5%)+300000,0)
)))))))</f>
        <v>0</v>
      </c>
      <c r="X1181" s="12">
        <f t="shared" ref="X1181:X1244" si="292">N1181*0.1</f>
        <v>0</v>
      </c>
      <c r="Y1181" s="12">
        <f t="shared" ref="Y1181:Y1244" si="293">(W1181/12*J1181)-X1181</f>
        <v>0</v>
      </c>
      <c r="Z1181" s="11"/>
      <c r="AA1181" s="13">
        <f t="shared" ref="AA1181:AA1244" si="294">+O1181-P1181-Y1181-Z1181</f>
        <v>0</v>
      </c>
      <c r="AB1181" s="12">
        <f t="shared" ref="AB1181:AB1244" si="295">(P1181/0.11)*18.75%</f>
        <v>0</v>
      </c>
      <c r="AC1181" s="14">
        <f t="shared" si="283"/>
        <v>0</v>
      </c>
      <c r="AE1181" s="19">
        <f t="shared" ref="AE1181:AE1244" si="296">+AD1181-AC1181</f>
        <v>0</v>
      </c>
      <c r="AF1181" s="19"/>
      <c r="AG1181" s="17"/>
      <c r="AK1181" s="7"/>
      <c r="AL1181" s="108">
        <f t="shared" si="284"/>
        <v>0</v>
      </c>
      <c r="AM1181" s="108">
        <f t="shared" si="285"/>
        <v>0</v>
      </c>
      <c r="AN1181" s="113"/>
    </row>
    <row r="1182" spans="2:40" x14ac:dyDescent="0.2">
      <c r="B1182" s="7"/>
      <c r="C1182" s="8"/>
      <c r="D1182" s="8"/>
      <c r="E1182" s="9"/>
      <c r="F1182" s="6"/>
      <c r="G1182" s="8"/>
      <c r="H1182" s="32"/>
      <c r="I1182" s="10" t="str">
        <f t="shared" si="282"/>
        <v>21</v>
      </c>
      <c r="J1182" s="11">
        <v>1</v>
      </c>
      <c r="K1182" s="11"/>
      <c r="L1182" s="11"/>
      <c r="M1182" s="11">
        <f t="shared" si="286"/>
        <v>0</v>
      </c>
      <c r="N1182" s="11"/>
      <c r="O1182" s="11">
        <f t="shared" si="287"/>
        <v>0</v>
      </c>
      <c r="P1182" s="11"/>
      <c r="Q1182" s="11"/>
      <c r="R1182" s="11"/>
      <c r="S1182" s="11">
        <f t="shared" si="288"/>
        <v>0</v>
      </c>
      <c r="T1182" s="11">
        <f t="shared" si="289"/>
        <v>1666.6666666666667</v>
      </c>
      <c r="U1182" s="11">
        <f t="shared" si="290"/>
        <v>0</v>
      </c>
      <c r="V1182" s="24">
        <f t="shared" si="291"/>
        <v>0</v>
      </c>
      <c r="W1182" s="11">
        <f>IF(V1182&lt;=40000,0,
IF(V1182&lt;=55000,(V1182-40000)*10%,
IF(V1182&lt;=70000,(V1182-55000)*15%+1500,
IF(V1182&lt;=200000,(V1182-70000)*20%+1500+2250,
IF(V1182&lt;=400000,(V1182-200000)*22.5%+1500+2250+26000,
IF(V1182&lt;=600000,(V1182-400000)*25%+1500+2250+26000+45000,
IF(AND(V1182&gt;600000,V1182&lt;=1200000),(V1182-400000)*25%+1500+2250+26000+45000
+IFERROR(LOOKUP(V1182,{600001;700001;800001;900001},{4000;6750;10250;15250}),0),IF(V1182&gt;1200000,((V1182-1200000)*27.5%)+300000,0)
)))))))</f>
        <v>0</v>
      </c>
      <c r="X1182" s="12">
        <f t="shared" si="292"/>
        <v>0</v>
      </c>
      <c r="Y1182" s="12">
        <f t="shared" si="293"/>
        <v>0</v>
      </c>
      <c r="Z1182" s="11"/>
      <c r="AA1182" s="13">
        <f t="shared" si="294"/>
        <v>0</v>
      </c>
      <c r="AB1182" s="12">
        <f t="shared" si="295"/>
        <v>0</v>
      </c>
      <c r="AC1182" s="14">
        <f t="shared" si="283"/>
        <v>0</v>
      </c>
      <c r="AE1182" s="19">
        <f t="shared" si="296"/>
        <v>0</v>
      </c>
      <c r="AF1182" s="19"/>
      <c r="AG1182" s="17"/>
      <c r="AK1182" s="7"/>
      <c r="AL1182" s="108">
        <f t="shared" si="284"/>
        <v>0</v>
      </c>
      <c r="AM1182" s="108">
        <f t="shared" si="285"/>
        <v>0</v>
      </c>
      <c r="AN1182" s="113"/>
    </row>
    <row r="1183" spans="2:40" x14ac:dyDescent="0.2">
      <c r="B1183" s="7"/>
      <c r="C1183" s="8"/>
      <c r="D1183" s="8"/>
      <c r="E1183" s="9"/>
      <c r="F1183" s="6"/>
      <c r="G1183" s="8"/>
      <c r="H1183" s="32"/>
      <c r="I1183" s="10" t="str">
        <f t="shared" si="282"/>
        <v>21</v>
      </c>
      <c r="J1183" s="11">
        <v>1</v>
      </c>
      <c r="K1183" s="11"/>
      <c r="L1183" s="11"/>
      <c r="M1183" s="11">
        <f t="shared" si="286"/>
        <v>0</v>
      </c>
      <c r="N1183" s="11"/>
      <c r="O1183" s="11">
        <f t="shared" si="287"/>
        <v>0</v>
      </c>
      <c r="P1183" s="11"/>
      <c r="Q1183" s="11"/>
      <c r="R1183" s="11"/>
      <c r="S1183" s="11">
        <f t="shared" si="288"/>
        <v>0</v>
      </c>
      <c r="T1183" s="11">
        <f t="shared" si="289"/>
        <v>1666.6666666666667</v>
      </c>
      <c r="U1183" s="11">
        <f t="shared" si="290"/>
        <v>0</v>
      </c>
      <c r="V1183" s="24">
        <f t="shared" si="291"/>
        <v>0</v>
      </c>
      <c r="W1183" s="11">
        <f>IF(V1183&lt;=40000,0,
IF(V1183&lt;=55000,(V1183-40000)*10%,
IF(V1183&lt;=70000,(V1183-55000)*15%+1500,
IF(V1183&lt;=200000,(V1183-70000)*20%+1500+2250,
IF(V1183&lt;=400000,(V1183-200000)*22.5%+1500+2250+26000,
IF(V1183&lt;=600000,(V1183-400000)*25%+1500+2250+26000+45000,
IF(AND(V1183&gt;600000,V1183&lt;=1200000),(V1183-400000)*25%+1500+2250+26000+45000
+IFERROR(LOOKUP(V1183,{600001;700001;800001;900001},{4000;6750;10250;15250}),0),IF(V1183&gt;1200000,((V1183-1200000)*27.5%)+300000,0)
)))))))</f>
        <v>0</v>
      </c>
      <c r="X1183" s="12">
        <f t="shared" si="292"/>
        <v>0</v>
      </c>
      <c r="Y1183" s="12">
        <f t="shared" si="293"/>
        <v>0</v>
      </c>
      <c r="Z1183" s="11"/>
      <c r="AA1183" s="13">
        <f t="shared" si="294"/>
        <v>0</v>
      </c>
      <c r="AB1183" s="12">
        <f t="shared" si="295"/>
        <v>0</v>
      </c>
      <c r="AC1183" s="14">
        <f t="shared" si="283"/>
        <v>0</v>
      </c>
      <c r="AE1183" s="19">
        <f t="shared" si="296"/>
        <v>0</v>
      </c>
      <c r="AF1183" s="19"/>
      <c r="AG1183" s="17"/>
      <c r="AK1183" s="7"/>
      <c r="AL1183" s="108">
        <f t="shared" si="284"/>
        <v>0</v>
      </c>
      <c r="AM1183" s="108">
        <f t="shared" si="285"/>
        <v>0</v>
      </c>
      <c r="AN1183" s="113"/>
    </row>
    <row r="1184" spans="2:40" x14ac:dyDescent="0.2">
      <c r="B1184" s="7"/>
      <c r="C1184" s="8"/>
      <c r="D1184" s="8"/>
      <c r="E1184" s="9"/>
      <c r="F1184" s="6"/>
      <c r="G1184" s="8"/>
      <c r="H1184" s="32"/>
      <c r="I1184" s="10" t="str">
        <f t="shared" si="282"/>
        <v>21</v>
      </c>
      <c r="J1184" s="11">
        <v>1</v>
      </c>
      <c r="K1184" s="11"/>
      <c r="L1184" s="11"/>
      <c r="M1184" s="11">
        <f t="shared" si="286"/>
        <v>0</v>
      </c>
      <c r="N1184" s="11"/>
      <c r="O1184" s="11">
        <f t="shared" si="287"/>
        <v>0</v>
      </c>
      <c r="P1184" s="11"/>
      <c r="Q1184" s="11"/>
      <c r="R1184" s="11"/>
      <c r="S1184" s="11">
        <f t="shared" si="288"/>
        <v>0</v>
      </c>
      <c r="T1184" s="11">
        <f t="shared" si="289"/>
        <v>1666.6666666666667</v>
      </c>
      <c r="U1184" s="11">
        <f t="shared" si="290"/>
        <v>0</v>
      </c>
      <c r="V1184" s="24">
        <f t="shared" si="291"/>
        <v>0</v>
      </c>
      <c r="W1184" s="11">
        <f>IF(V1184&lt;=40000,0,
IF(V1184&lt;=55000,(V1184-40000)*10%,
IF(V1184&lt;=70000,(V1184-55000)*15%+1500,
IF(V1184&lt;=200000,(V1184-70000)*20%+1500+2250,
IF(V1184&lt;=400000,(V1184-200000)*22.5%+1500+2250+26000,
IF(V1184&lt;=600000,(V1184-400000)*25%+1500+2250+26000+45000,
IF(AND(V1184&gt;600000,V1184&lt;=1200000),(V1184-400000)*25%+1500+2250+26000+45000
+IFERROR(LOOKUP(V1184,{600001;700001;800001;900001},{4000;6750;10250;15250}),0),IF(V1184&gt;1200000,((V1184-1200000)*27.5%)+300000,0)
)))))))</f>
        <v>0</v>
      </c>
      <c r="X1184" s="12">
        <f t="shared" si="292"/>
        <v>0</v>
      </c>
      <c r="Y1184" s="12">
        <f t="shared" si="293"/>
        <v>0</v>
      </c>
      <c r="Z1184" s="11"/>
      <c r="AA1184" s="13">
        <f t="shared" si="294"/>
        <v>0</v>
      </c>
      <c r="AB1184" s="12">
        <f t="shared" si="295"/>
        <v>0</v>
      </c>
      <c r="AC1184" s="14">
        <f t="shared" si="283"/>
        <v>0</v>
      </c>
      <c r="AE1184" s="19">
        <f t="shared" si="296"/>
        <v>0</v>
      </c>
      <c r="AF1184" s="19"/>
      <c r="AG1184" s="17"/>
      <c r="AK1184" s="7"/>
      <c r="AL1184" s="108">
        <f t="shared" si="284"/>
        <v>0</v>
      </c>
      <c r="AM1184" s="108">
        <f t="shared" si="285"/>
        <v>0</v>
      </c>
      <c r="AN1184" s="113"/>
    </row>
    <row r="1185" spans="2:40" x14ac:dyDescent="0.2">
      <c r="B1185" s="7"/>
      <c r="C1185" s="8"/>
      <c r="D1185" s="8"/>
      <c r="E1185" s="9"/>
      <c r="F1185" s="6"/>
      <c r="G1185" s="8"/>
      <c r="H1185" s="32"/>
      <c r="I1185" s="10" t="str">
        <f t="shared" si="282"/>
        <v>21</v>
      </c>
      <c r="J1185" s="11">
        <v>1</v>
      </c>
      <c r="K1185" s="11"/>
      <c r="L1185" s="11"/>
      <c r="M1185" s="11">
        <f t="shared" si="286"/>
        <v>0</v>
      </c>
      <c r="N1185" s="11"/>
      <c r="O1185" s="11">
        <f t="shared" si="287"/>
        <v>0</v>
      </c>
      <c r="P1185" s="11"/>
      <c r="Q1185" s="11"/>
      <c r="R1185" s="11"/>
      <c r="S1185" s="11">
        <f t="shared" si="288"/>
        <v>0</v>
      </c>
      <c r="T1185" s="11">
        <f t="shared" si="289"/>
        <v>1666.6666666666667</v>
      </c>
      <c r="U1185" s="11">
        <f t="shared" si="290"/>
        <v>0</v>
      </c>
      <c r="V1185" s="24">
        <f t="shared" si="291"/>
        <v>0</v>
      </c>
      <c r="W1185" s="11">
        <f>IF(V1185&lt;=40000,0,
IF(V1185&lt;=55000,(V1185-40000)*10%,
IF(V1185&lt;=70000,(V1185-55000)*15%+1500,
IF(V1185&lt;=200000,(V1185-70000)*20%+1500+2250,
IF(V1185&lt;=400000,(V1185-200000)*22.5%+1500+2250+26000,
IF(V1185&lt;=600000,(V1185-400000)*25%+1500+2250+26000+45000,
IF(AND(V1185&gt;600000,V1185&lt;=1200000),(V1185-400000)*25%+1500+2250+26000+45000
+IFERROR(LOOKUP(V1185,{600001;700001;800001;900001},{4000;6750;10250;15250}),0),IF(V1185&gt;1200000,((V1185-1200000)*27.5%)+300000,0)
)))))))</f>
        <v>0</v>
      </c>
      <c r="X1185" s="12">
        <f t="shared" si="292"/>
        <v>0</v>
      </c>
      <c r="Y1185" s="12">
        <f t="shared" si="293"/>
        <v>0</v>
      </c>
      <c r="Z1185" s="11"/>
      <c r="AA1185" s="13">
        <f t="shared" si="294"/>
        <v>0</v>
      </c>
      <c r="AB1185" s="12">
        <f t="shared" si="295"/>
        <v>0</v>
      </c>
      <c r="AC1185" s="14">
        <f t="shared" si="283"/>
        <v>0</v>
      </c>
      <c r="AE1185" s="19">
        <f t="shared" si="296"/>
        <v>0</v>
      </c>
      <c r="AF1185" s="19"/>
      <c r="AG1185" s="17"/>
      <c r="AK1185" s="7"/>
      <c r="AL1185" s="108">
        <f t="shared" si="284"/>
        <v>0</v>
      </c>
      <c r="AM1185" s="108">
        <f t="shared" si="285"/>
        <v>0</v>
      </c>
      <c r="AN1185" s="113"/>
    </row>
    <row r="1186" spans="2:40" x14ac:dyDescent="0.2">
      <c r="B1186" s="7"/>
      <c r="C1186" s="8"/>
      <c r="D1186" s="8"/>
      <c r="E1186" s="9"/>
      <c r="F1186" s="6"/>
      <c r="G1186" s="8"/>
      <c r="H1186" s="32"/>
      <c r="I1186" s="10" t="str">
        <f t="shared" si="282"/>
        <v>21</v>
      </c>
      <c r="J1186" s="11">
        <v>1</v>
      </c>
      <c r="K1186" s="11"/>
      <c r="L1186" s="11"/>
      <c r="M1186" s="11">
        <f t="shared" si="286"/>
        <v>0</v>
      </c>
      <c r="N1186" s="11"/>
      <c r="O1186" s="11">
        <f t="shared" si="287"/>
        <v>0</v>
      </c>
      <c r="P1186" s="11"/>
      <c r="Q1186" s="11"/>
      <c r="R1186" s="11"/>
      <c r="S1186" s="11">
        <f t="shared" si="288"/>
        <v>0</v>
      </c>
      <c r="T1186" s="11">
        <f t="shared" si="289"/>
        <v>1666.6666666666667</v>
      </c>
      <c r="U1186" s="11">
        <f t="shared" si="290"/>
        <v>0</v>
      </c>
      <c r="V1186" s="24">
        <f t="shared" si="291"/>
        <v>0</v>
      </c>
      <c r="W1186" s="11">
        <f>IF(V1186&lt;=40000,0,
IF(V1186&lt;=55000,(V1186-40000)*10%,
IF(V1186&lt;=70000,(V1186-55000)*15%+1500,
IF(V1186&lt;=200000,(V1186-70000)*20%+1500+2250,
IF(V1186&lt;=400000,(V1186-200000)*22.5%+1500+2250+26000,
IF(V1186&lt;=600000,(V1186-400000)*25%+1500+2250+26000+45000,
IF(AND(V1186&gt;600000,V1186&lt;=1200000),(V1186-400000)*25%+1500+2250+26000+45000
+IFERROR(LOOKUP(V1186,{600001;700001;800001;900001},{4000;6750;10250;15250}),0),IF(V1186&gt;1200000,((V1186-1200000)*27.5%)+300000,0)
)))))))</f>
        <v>0</v>
      </c>
      <c r="X1186" s="12">
        <f t="shared" si="292"/>
        <v>0</v>
      </c>
      <c r="Y1186" s="12">
        <f t="shared" si="293"/>
        <v>0</v>
      </c>
      <c r="Z1186" s="11"/>
      <c r="AA1186" s="13">
        <f t="shared" si="294"/>
        <v>0</v>
      </c>
      <c r="AB1186" s="12">
        <f t="shared" si="295"/>
        <v>0</v>
      </c>
      <c r="AC1186" s="14">
        <f t="shared" si="283"/>
        <v>0</v>
      </c>
      <c r="AE1186" s="19">
        <f t="shared" si="296"/>
        <v>0</v>
      </c>
      <c r="AF1186" s="19"/>
      <c r="AG1186" s="17"/>
      <c r="AK1186" s="7"/>
      <c r="AL1186" s="108">
        <f t="shared" si="284"/>
        <v>0</v>
      </c>
      <c r="AM1186" s="108">
        <f t="shared" si="285"/>
        <v>0</v>
      </c>
      <c r="AN1186" s="113"/>
    </row>
    <row r="1187" spans="2:40" x14ac:dyDescent="0.2">
      <c r="B1187" s="7"/>
      <c r="C1187" s="8"/>
      <c r="D1187" s="8"/>
      <c r="E1187" s="9"/>
      <c r="F1187" s="6"/>
      <c r="G1187" s="8"/>
      <c r="H1187" s="32"/>
      <c r="I1187" s="10" t="str">
        <f t="shared" si="282"/>
        <v>21</v>
      </c>
      <c r="J1187" s="11">
        <v>1</v>
      </c>
      <c r="K1187" s="11"/>
      <c r="L1187" s="11"/>
      <c r="M1187" s="11">
        <f t="shared" si="286"/>
        <v>0</v>
      </c>
      <c r="N1187" s="11"/>
      <c r="O1187" s="11">
        <f t="shared" si="287"/>
        <v>0</v>
      </c>
      <c r="P1187" s="11"/>
      <c r="Q1187" s="11"/>
      <c r="R1187" s="11"/>
      <c r="S1187" s="11">
        <f t="shared" si="288"/>
        <v>0</v>
      </c>
      <c r="T1187" s="11">
        <f t="shared" si="289"/>
        <v>1666.6666666666667</v>
      </c>
      <c r="U1187" s="11">
        <f t="shared" si="290"/>
        <v>0</v>
      </c>
      <c r="V1187" s="24">
        <f t="shared" si="291"/>
        <v>0</v>
      </c>
      <c r="W1187" s="11">
        <f>IF(V1187&lt;=40000,0,
IF(V1187&lt;=55000,(V1187-40000)*10%,
IF(V1187&lt;=70000,(V1187-55000)*15%+1500,
IF(V1187&lt;=200000,(V1187-70000)*20%+1500+2250,
IF(V1187&lt;=400000,(V1187-200000)*22.5%+1500+2250+26000,
IF(V1187&lt;=600000,(V1187-400000)*25%+1500+2250+26000+45000,
IF(AND(V1187&gt;600000,V1187&lt;=1200000),(V1187-400000)*25%+1500+2250+26000+45000
+IFERROR(LOOKUP(V1187,{600001;700001;800001;900001},{4000;6750;10250;15250}),0),IF(V1187&gt;1200000,((V1187-1200000)*27.5%)+300000,0)
)))))))</f>
        <v>0</v>
      </c>
      <c r="X1187" s="12">
        <f t="shared" si="292"/>
        <v>0</v>
      </c>
      <c r="Y1187" s="12">
        <f t="shared" si="293"/>
        <v>0</v>
      </c>
      <c r="Z1187" s="11"/>
      <c r="AA1187" s="13">
        <f t="shared" si="294"/>
        <v>0</v>
      </c>
      <c r="AB1187" s="12">
        <f t="shared" si="295"/>
        <v>0</v>
      </c>
      <c r="AC1187" s="14">
        <f t="shared" si="283"/>
        <v>0</v>
      </c>
      <c r="AE1187" s="19">
        <f t="shared" si="296"/>
        <v>0</v>
      </c>
      <c r="AF1187" s="19"/>
      <c r="AG1187" s="17"/>
      <c r="AK1187" s="7"/>
      <c r="AL1187" s="108">
        <f t="shared" si="284"/>
        <v>0</v>
      </c>
      <c r="AM1187" s="108">
        <f t="shared" si="285"/>
        <v>0</v>
      </c>
      <c r="AN1187" s="113"/>
    </row>
    <row r="1188" spans="2:40" x14ac:dyDescent="0.2">
      <c r="B1188" s="7"/>
      <c r="C1188" s="8"/>
      <c r="D1188" s="8"/>
      <c r="E1188" s="9"/>
      <c r="F1188" s="6"/>
      <c r="G1188" s="8"/>
      <c r="H1188" s="32"/>
      <c r="I1188" s="10" t="str">
        <f t="shared" si="282"/>
        <v>21</v>
      </c>
      <c r="J1188" s="11">
        <v>1</v>
      </c>
      <c r="K1188" s="11"/>
      <c r="L1188" s="11"/>
      <c r="M1188" s="11">
        <f t="shared" si="286"/>
        <v>0</v>
      </c>
      <c r="N1188" s="11"/>
      <c r="O1188" s="11">
        <f t="shared" si="287"/>
        <v>0</v>
      </c>
      <c r="P1188" s="11"/>
      <c r="Q1188" s="11"/>
      <c r="R1188" s="11"/>
      <c r="S1188" s="11">
        <f t="shared" si="288"/>
        <v>0</v>
      </c>
      <c r="T1188" s="11">
        <f t="shared" si="289"/>
        <v>1666.6666666666667</v>
      </c>
      <c r="U1188" s="11">
        <f t="shared" si="290"/>
        <v>0</v>
      </c>
      <c r="V1188" s="24">
        <f t="shared" si="291"/>
        <v>0</v>
      </c>
      <c r="W1188" s="11">
        <f>IF(V1188&lt;=40000,0,
IF(V1188&lt;=55000,(V1188-40000)*10%,
IF(V1188&lt;=70000,(V1188-55000)*15%+1500,
IF(V1188&lt;=200000,(V1188-70000)*20%+1500+2250,
IF(V1188&lt;=400000,(V1188-200000)*22.5%+1500+2250+26000,
IF(V1188&lt;=600000,(V1188-400000)*25%+1500+2250+26000+45000,
IF(AND(V1188&gt;600000,V1188&lt;=1200000),(V1188-400000)*25%+1500+2250+26000+45000
+IFERROR(LOOKUP(V1188,{600001;700001;800001;900001},{4000;6750;10250;15250}),0),IF(V1188&gt;1200000,((V1188-1200000)*27.5%)+300000,0)
)))))))</f>
        <v>0</v>
      </c>
      <c r="X1188" s="12">
        <f t="shared" si="292"/>
        <v>0</v>
      </c>
      <c r="Y1188" s="12">
        <f t="shared" si="293"/>
        <v>0</v>
      </c>
      <c r="Z1188" s="11"/>
      <c r="AA1188" s="13">
        <f t="shared" si="294"/>
        <v>0</v>
      </c>
      <c r="AB1188" s="12">
        <f t="shared" si="295"/>
        <v>0</v>
      </c>
      <c r="AC1188" s="14">
        <f t="shared" si="283"/>
        <v>0</v>
      </c>
      <c r="AE1188" s="19">
        <f t="shared" si="296"/>
        <v>0</v>
      </c>
      <c r="AF1188" s="19"/>
      <c r="AG1188" s="17"/>
      <c r="AK1188" s="7"/>
      <c r="AL1188" s="108">
        <f t="shared" si="284"/>
        <v>0</v>
      </c>
      <c r="AM1188" s="108">
        <f t="shared" si="285"/>
        <v>0</v>
      </c>
      <c r="AN1188" s="113"/>
    </row>
    <row r="1189" spans="2:40" x14ac:dyDescent="0.2">
      <c r="B1189" s="7"/>
      <c r="C1189" s="8"/>
      <c r="D1189" s="8"/>
      <c r="E1189" s="9"/>
      <c r="F1189" s="6"/>
      <c r="G1189" s="8"/>
      <c r="H1189" s="32"/>
      <c r="I1189" s="10" t="str">
        <f t="shared" si="282"/>
        <v>21</v>
      </c>
      <c r="J1189" s="11">
        <v>1</v>
      </c>
      <c r="K1189" s="11"/>
      <c r="L1189" s="11"/>
      <c r="M1189" s="11">
        <f t="shared" si="286"/>
        <v>0</v>
      </c>
      <c r="N1189" s="11"/>
      <c r="O1189" s="11">
        <f t="shared" si="287"/>
        <v>0</v>
      </c>
      <c r="P1189" s="11"/>
      <c r="Q1189" s="11"/>
      <c r="R1189" s="11"/>
      <c r="S1189" s="11">
        <f t="shared" si="288"/>
        <v>0</v>
      </c>
      <c r="T1189" s="11">
        <f t="shared" si="289"/>
        <v>1666.6666666666667</v>
      </c>
      <c r="U1189" s="11">
        <f t="shared" si="290"/>
        <v>0</v>
      </c>
      <c r="V1189" s="24">
        <f t="shared" si="291"/>
        <v>0</v>
      </c>
      <c r="W1189" s="11">
        <f>IF(V1189&lt;=40000,0,
IF(V1189&lt;=55000,(V1189-40000)*10%,
IF(V1189&lt;=70000,(V1189-55000)*15%+1500,
IF(V1189&lt;=200000,(V1189-70000)*20%+1500+2250,
IF(V1189&lt;=400000,(V1189-200000)*22.5%+1500+2250+26000,
IF(V1189&lt;=600000,(V1189-400000)*25%+1500+2250+26000+45000,
IF(AND(V1189&gt;600000,V1189&lt;=1200000),(V1189-400000)*25%+1500+2250+26000+45000
+IFERROR(LOOKUP(V1189,{600001;700001;800001;900001},{4000;6750;10250;15250}),0),IF(V1189&gt;1200000,((V1189-1200000)*27.5%)+300000,0)
)))))))</f>
        <v>0</v>
      </c>
      <c r="X1189" s="12">
        <f t="shared" si="292"/>
        <v>0</v>
      </c>
      <c r="Y1189" s="12">
        <f t="shared" si="293"/>
        <v>0</v>
      </c>
      <c r="Z1189" s="11"/>
      <c r="AA1189" s="13">
        <f t="shared" si="294"/>
        <v>0</v>
      </c>
      <c r="AB1189" s="12">
        <f t="shared" si="295"/>
        <v>0</v>
      </c>
      <c r="AC1189" s="14">
        <f t="shared" si="283"/>
        <v>0</v>
      </c>
      <c r="AE1189" s="19">
        <f t="shared" si="296"/>
        <v>0</v>
      </c>
      <c r="AF1189" s="19"/>
      <c r="AG1189" s="17"/>
      <c r="AK1189" s="7"/>
      <c r="AL1189" s="108">
        <f t="shared" si="284"/>
        <v>0</v>
      </c>
      <c r="AM1189" s="108">
        <f t="shared" si="285"/>
        <v>0</v>
      </c>
      <c r="AN1189" s="113"/>
    </row>
    <row r="1190" spans="2:40" x14ac:dyDescent="0.2">
      <c r="B1190" s="7"/>
      <c r="C1190" s="8"/>
      <c r="D1190" s="8"/>
      <c r="E1190" s="9"/>
      <c r="F1190" s="6"/>
      <c r="G1190" s="8"/>
      <c r="H1190" s="32"/>
      <c r="I1190" s="10" t="str">
        <f t="shared" si="282"/>
        <v>21</v>
      </c>
      <c r="J1190" s="11">
        <v>1</v>
      </c>
      <c r="K1190" s="11"/>
      <c r="L1190" s="11"/>
      <c r="M1190" s="11">
        <f t="shared" si="286"/>
        <v>0</v>
      </c>
      <c r="N1190" s="11"/>
      <c r="O1190" s="11">
        <f t="shared" si="287"/>
        <v>0</v>
      </c>
      <c r="P1190" s="11"/>
      <c r="Q1190" s="11"/>
      <c r="R1190" s="11"/>
      <c r="S1190" s="11">
        <f t="shared" si="288"/>
        <v>0</v>
      </c>
      <c r="T1190" s="11">
        <f t="shared" si="289"/>
        <v>1666.6666666666667</v>
      </c>
      <c r="U1190" s="11">
        <f t="shared" si="290"/>
        <v>0</v>
      </c>
      <c r="V1190" s="24">
        <f t="shared" si="291"/>
        <v>0</v>
      </c>
      <c r="W1190" s="11">
        <f>IF(V1190&lt;=40000,0,
IF(V1190&lt;=55000,(V1190-40000)*10%,
IF(V1190&lt;=70000,(V1190-55000)*15%+1500,
IF(V1190&lt;=200000,(V1190-70000)*20%+1500+2250,
IF(V1190&lt;=400000,(V1190-200000)*22.5%+1500+2250+26000,
IF(V1190&lt;=600000,(V1190-400000)*25%+1500+2250+26000+45000,
IF(AND(V1190&gt;600000,V1190&lt;=1200000),(V1190-400000)*25%+1500+2250+26000+45000
+IFERROR(LOOKUP(V1190,{600001;700001;800001;900001},{4000;6750;10250;15250}),0),IF(V1190&gt;1200000,((V1190-1200000)*27.5%)+300000,0)
)))))))</f>
        <v>0</v>
      </c>
      <c r="X1190" s="12">
        <f t="shared" si="292"/>
        <v>0</v>
      </c>
      <c r="Y1190" s="12">
        <f t="shared" si="293"/>
        <v>0</v>
      </c>
      <c r="Z1190" s="11"/>
      <c r="AA1190" s="13">
        <f t="shared" si="294"/>
        <v>0</v>
      </c>
      <c r="AB1190" s="12">
        <f t="shared" si="295"/>
        <v>0</v>
      </c>
      <c r="AC1190" s="14">
        <f t="shared" si="283"/>
        <v>0</v>
      </c>
      <c r="AE1190" s="19">
        <f t="shared" si="296"/>
        <v>0</v>
      </c>
      <c r="AF1190" s="19"/>
      <c r="AG1190" s="17"/>
      <c r="AK1190" s="7"/>
      <c r="AL1190" s="108">
        <f t="shared" si="284"/>
        <v>0</v>
      </c>
      <c r="AM1190" s="108">
        <f t="shared" si="285"/>
        <v>0</v>
      </c>
      <c r="AN1190" s="113"/>
    </row>
    <row r="1191" spans="2:40" x14ac:dyDescent="0.2">
      <c r="B1191" s="7"/>
      <c r="C1191" s="8"/>
      <c r="D1191" s="8"/>
      <c r="E1191" s="9"/>
      <c r="F1191" s="6"/>
      <c r="G1191" s="8"/>
      <c r="H1191" s="32"/>
      <c r="I1191" s="10" t="str">
        <f t="shared" si="282"/>
        <v>21</v>
      </c>
      <c r="J1191" s="11">
        <v>1</v>
      </c>
      <c r="K1191" s="11"/>
      <c r="L1191" s="11"/>
      <c r="M1191" s="11">
        <f t="shared" si="286"/>
        <v>0</v>
      </c>
      <c r="N1191" s="11"/>
      <c r="O1191" s="11">
        <f t="shared" si="287"/>
        <v>0</v>
      </c>
      <c r="P1191" s="11"/>
      <c r="Q1191" s="11"/>
      <c r="R1191" s="11"/>
      <c r="S1191" s="11">
        <f t="shared" si="288"/>
        <v>0</v>
      </c>
      <c r="T1191" s="11">
        <f t="shared" si="289"/>
        <v>1666.6666666666667</v>
      </c>
      <c r="U1191" s="11">
        <f t="shared" si="290"/>
        <v>0</v>
      </c>
      <c r="V1191" s="24">
        <f t="shared" si="291"/>
        <v>0</v>
      </c>
      <c r="W1191" s="11">
        <f>IF(V1191&lt;=40000,0,
IF(V1191&lt;=55000,(V1191-40000)*10%,
IF(V1191&lt;=70000,(V1191-55000)*15%+1500,
IF(V1191&lt;=200000,(V1191-70000)*20%+1500+2250,
IF(V1191&lt;=400000,(V1191-200000)*22.5%+1500+2250+26000,
IF(V1191&lt;=600000,(V1191-400000)*25%+1500+2250+26000+45000,
IF(AND(V1191&gt;600000,V1191&lt;=1200000),(V1191-400000)*25%+1500+2250+26000+45000
+IFERROR(LOOKUP(V1191,{600001;700001;800001;900001},{4000;6750;10250;15250}),0),IF(V1191&gt;1200000,((V1191-1200000)*27.5%)+300000,0)
)))))))</f>
        <v>0</v>
      </c>
      <c r="X1191" s="12">
        <f t="shared" si="292"/>
        <v>0</v>
      </c>
      <c r="Y1191" s="12">
        <f t="shared" si="293"/>
        <v>0</v>
      </c>
      <c r="Z1191" s="11"/>
      <c r="AA1191" s="13">
        <f t="shared" si="294"/>
        <v>0</v>
      </c>
      <c r="AB1191" s="12">
        <f t="shared" si="295"/>
        <v>0</v>
      </c>
      <c r="AC1191" s="14">
        <f t="shared" si="283"/>
        <v>0</v>
      </c>
      <c r="AE1191" s="19">
        <f t="shared" si="296"/>
        <v>0</v>
      </c>
      <c r="AF1191" s="19"/>
      <c r="AG1191" s="17"/>
      <c r="AK1191" s="7"/>
      <c r="AL1191" s="108">
        <f t="shared" si="284"/>
        <v>0</v>
      </c>
      <c r="AM1191" s="108">
        <f t="shared" si="285"/>
        <v>0</v>
      </c>
      <c r="AN1191" s="113"/>
    </row>
    <row r="1192" spans="2:40" x14ac:dyDescent="0.2">
      <c r="B1192" s="7"/>
      <c r="C1192" s="8"/>
      <c r="D1192" s="8"/>
      <c r="E1192" s="9"/>
      <c r="F1192" s="6"/>
      <c r="G1192" s="8"/>
      <c r="H1192" s="32"/>
      <c r="I1192" s="10" t="str">
        <f t="shared" si="282"/>
        <v>21</v>
      </c>
      <c r="J1192" s="11">
        <v>1</v>
      </c>
      <c r="K1192" s="11"/>
      <c r="L1192" s="11"/>
      <c r="M1192" s="11">
        <f t="shared" si="286"/>
        <v>0</v>
      </c>
      <c r="N1192" s="11"/>
      <c r="O1192" s="11">
        <f t="shared" si="287"/>
        <v>0</v>
      </c>
      <c r="P1192" s="11"/>
      <c r="Q1192" s="11"/>
      <c r="R1192" s="11"/>
      <c r="S1192" s="11">
        <f t="shared" si="288"/>
        <v>0</v>
      </c>
      <c r="T1192" s="11">
        <f t="shared" si="289"/>
        <v>1666.6666666666667</v>
      </c>
      <c r="U1192" s="11">
        <f t="shared" si="290"/>
        <v>0</v>
      </c>
      <c r="V1192" s="24">
        <f t="shared" si="291"/>
        <v>0</v>
      </c>
      <c r="W1192" s="11">
        <f>IF(V1192&lt;=40000,0,
IF(V1192&lt;=55000,(V1192-40000)*10%,
IF(V1192&lt;=70000,(V1192-55000)*15%+1500,
IF(V1192&lt;=200000,(V1192-70000)*20%+1500+2250,
IF(V1192&lt;=400000,(V1192-200000)*22.5%+1500+2250+26000,
IF(V1192&lt;=600000,(V1192-400000)*25%+1500+2250+26000+45000,
IF(AND(V1192&gt;600000,V1192&lt;=1200000),(V1192-400000)*25%+1500+2250+26000+45000
+IFERROR(LOOKUP(V1192,{600001;700001;800001;900001},{4000;6750;10250;15250}),0),IF(V1192&gt;1200000,((V1192-1200000)*27.5%)+300000,0)
)))))))</f>
        <v>0</v>
      </c>
      <c r="X1192" s="12">
        <f t="shared" si="292"/>
        <v>0</v>
      </c>
      <c r="Y1192" s="12">
        <f t="shared" si="293"/>
        <v>0</v>
      </c>
      <c r="Z1192" s="11"/>
      <c r="AA1192" s="13">
        <f t="shared" si="294"/>
        <v>0</v>
      </c>
      <c r="AB1192" s="12">
        <f t="shared" si="295"/>
        <v>0</v>
      </c>
      <c r="AC1192" s="14">
        <f t="shared" si="283"/>
        <v>0</v>
      </c>
      <c r="AE1192" s="19">
        <f t="shared" si="296"/>
        <v>0</v>
      </c>
      <c r="AF1192" s="19"/>
      <c r="AG1192" s="17"/>
      <c r="AK1192" s="7"/>
      <c r="AL1192" s="108">
        <f t="shared" si="284"/>
        <v>0</v>
      </c>
      <c r="AM1192" s="108">
        <f t="shared" si="285"/>
        <v>0</v>
      </c>
      <c r="AN1192" s="113"/>
    </row>
    <row r="1193" spans="2:40" x14ac:dyDescent="0.2">
      <c r="B1193" s="7"/>
      <c r="C1193" s="8"/>
      <c r="D1193" s="8"/>
      <c r="E1193" s="9"/>
      <c r="F1193" s="6"/>
      <c r="G1193" s="8"/>
      <c r="H1193" s="32"/>
      <c r="I1193" s="10" t="str">
        <f t="shared" si="282"/>
        <v>21</v>
      </c>
      <c r="J1193" s="11">
        <v>1</v>
      </c>
      <c r="K1193" s="11"/>
      <c r="L1193" s="11"/>
      <c r="M1193" s="11">
        <f t="shared" si="286"/>
        <v>0</v>
      </c>
      <c r="N1193" s="11"/>
      <c r="O1193" s="11">
        <f t="shared" si="287"/>
        <v>0</v>
      </c>
      <c r="P1193" s="11"/>
      <c r="Q1193" s="11"/>
      <c r="R1193" s="11"/>
      <c r="S1193" s="11">
        <f t="shared" si="288"/>
        <v>0</v>
      </c>
      <c r="T1193" s="11">
        <f t="shared" si="289"/>
        <v>1666.6666666666667</v>
      </c>
      <c r="U1193" s="11">
        <f t="shared" si="290"/>
        <v>0</v>
      </c>
      <c r="V1193" s="24">
        <f t="shared" si="291"/>
        <v>0</v>
      </c>
      <c r="W1193" s="11">
        <f>IF(V1193&lt;=40000,0,
IF(V1193&lt;=55000,(V1193-40000)*10%,
IF(V1193&lt;=70000,(V1193-55000)*15%+1500,
IF(V1193&lt;=200000,(V1193-70000)*20%+1500+2250,
IF(V1193&lt;=400000,(V1193-200000)*22.5%+1500+2250+26000,
IF(V1193&lt;=600000,(V1193-400000)*25%+1500+2250+26000+45000,
IF(AND(V1193&gt;600000,V1193&lt;=1200000),(V1193-400000)*25%+1500+2250+26000+45000
+IFERROR(LOOKUP(V1193,{600001;700001;800001;900001},{4000;6750;10250;15250}),0),IF(V1193&gt;1200000,((V1193-1200000)*27.5%)+300000,0)
)))))))</f>
        <v>0</v>
      </c>
      <c r="X1193" s="12">
        <f t="shared" si="292"/>
        <v>0</v>
      </c>
      <c r="Y1193" s="12">
        <f t="shared" si="293"/>
        <v>0</v>
      </c>
      <c r="Z1193" s="11"/>
      <c r="AA1193" s="13">
        <f t="shared" si="294"/>
        <v>0</v>
      </c>
      <c r="AB1193" s="12">
        <f t="shared" si="295"/>
        <v>0</v>
      </c>
      <c r="AC1193" s="14">
        <f t="shared" si="283"/>
        <v>0</v>
      </c>
      <c r="AE1193" s="19">
        <f t="shared" si="296"/>
        <v>0</v>
      </c>
      <c r="AF1193" s="19"/>
      <c r="AG1193" s="17"/>
      <c r="AK1193" s="7"/>
      <c r="AL1193" s="108">
        <f t="shared" si="284"/>
        <v>0</v>
      </c>
      <c r="AM1193" s="108">
        <f t="shared" si="285"/>
        <v>0</v>
      </c>
      <c r="AN1193" s="113"/>
    </row>
    <row r="1194" spans="2:40" x14ac:dyDescent="0.2">
      <c r="B1194" s="7"/>
      <c r="C1194" s="8"/>
      <c r="D1194" s="8"/>
      <c r="E1194" s="9"/>
      <c r="F1194" s="6"/>
      <c r="G1194" s="8"/>
      <c r="H1194" s="32"/>
      <c r="I1194" s="10" t="str">
        <f t="shared" si="282"/>
        <v>21</v>
      </c>
      <c r="J1194" s="11">
        <v>1</v>
      </c>
      <c r="K1194" s="11"/>
      <c r="L1194" s="11"/>
      <c r="M1194" s="11">
        <f t="shared" si="286"/>
        <v>0</v>
      </c>
      <c r="N1194" s="11"/>
      <c r="O1194" s="11">
        <f t="shared" si="287"/>
        <v>0</v>
      </c>
      <c r="P1194" s="11"/>
      <c r="Q1194" s="11"/>
      <c r="R1194" s="11"/>
      <c r="S1194" s="11">
        <f t="shared" si="288"/>
        <v>0</v>
      </c>
      <c r="T1194" s="11">
        <f t="shared" si="289"/>
        <v>1666.6666666666667</v>
      </c>
      <c r="U1194" s="11">
        <f t="shared" si="290"/>
        <v>0</v>
      </c>
      <c r="V1194" s="24">
        <f t="shared" si="291"/>
        <v>0</v>
      </c>
      <c r="W1194" s="11">
        <f>IF(V1194&lt;=40000,0,
IF(V1194&lt;=55000,(V1194-40000)*10%,
IF(V1194&lt;=70000,(V1194-55000)*15%+1500,
IF(V1194&lt;=200000,(V1194-70000)*20%+1500+2250,
IF(V1194&lt;=400000,(V1194-200000)*22.5%+1500+2250+26000,
IF(V1194&lt;=600000,(V1194-400000)*25%+1500+2250+26000+45000,
IF(AND(V1194&gt;600000,V1194&lt;=1200000),(V1194-400000)*25%+1500+2250+26000+45000
+IFERROR(LOOKUP(V1194,{600001;700001;800001;900001},{4000;6750;10250;15250}),0),IF(V1194&gt;1200000,((V1194-1200000)*27.5%)+300000,0)
)))))))</f>
        <v>0</v>
      </c>
      <c r="X1194" s="12">
        <f t="shared" si="292"/>
        <v>0</v>
      </c>
      <c r="Y1194" s="12">
        <f t="shared" si="293"/>
        <v>0</v>
      </c>
      <c r="Z1194" s="11"/>
      <c r="AA1194" s="13">
        <f t="shared" si="294"/>
        <v>0</v>
      </c>
      <c r="AB1194" s="12">
        <f t="shared" si="295"/>
        <v>0</v>
      </c>
      <c r="AC1194" s="14">
        <f t="shared" si="283"/>
        <v>0</v>
      </c>
      <c r="AE1194" s="19">
        <f t="shared" si="296"/>
        <v>0</v>
      </c>
      <c r="AF1194" s="19"/>
      <c r="AG1194" s="17"/>
      <c r="AK1194" s="7"/>
      <c r="AL1194" s="108">
        <f t="shared" si="284"/>
        <v>0</v>
      </c>
      <c r="AM1194" s="108">
        <f t="shared" si="285"/>
        <v>0</v>
      </c>
      <c r="AN1194" s="113"/>
    </row>
    <row r="1195" spans="2:40" x14ac:dyDescent="0.2">
      <c r="B1195" s="7"/>
      <c r="C1195" s="8"/>
      <c r="D1195" s="8"/>
      <c r="E1195" s="9"/>
      <c r="F1195" s="6"/>
      <c r="G1195" s="8"/>
      <c r="H1195" s="32"/>
      <c r="I1195" s="10" t="str">
        <f t="shared" si="282"/>
        <v>21</v>
      </c>
      <c r="J1195" s="11">
        <v>1</v>
      </c>
      <c r="K1195" s="11"/>
      <c r="L1195" s="11"/>
      <c r="M1195" s="11">
        <f t="shared" si="286"/>
        <v>0</v>
      </c>
      <c r="N1195" s="11"/>
      <c r="O1195" s="11">
        <f t="shared" si="287"/>
        <v>0</v>
      </c>
      <c r="P1195" s="11"/>
      <c r="Q1195" s="11"/>
      <c r="R1195" s="11"/>
      <c r="S1195" s="11">
        <f t="shared" si="288"/>
        <v>0</v>
      </c>
      <c r="T1195" s="11">
        <f t="shared" si="289"/>
        <v>1666.6666666666667</v>
      </c>
      <c r="U1195" s="11">
        <f t="shared" si="290"/>
        <v>0</v>
      </c>
      <c r="V1195" s="24">
        <f t="shared" si="291"/>
        <v>0</v>
      </c>
      <c r="W1195" s="11">
        <f>IF(V1195&lt;=40000,0,
IF(V1195&lt;=55000,(V1195-40000)*10%,
IF(V1195&lt;=70000,(V1195-55000)*15%+1500,
IF(V1195&lt;=200000,(V1195-70000)*20%+1500+2250,
IF(V1195&lt;=400000,(V1195-200000)*22.5%+1500+2250+26000,
IF(V1195&lt;=600000,(V1195-400000)*25%+1500+2250+26000+45000,
IF(AND(V1195&gt;600000,V1195&lt;=1200000),(V1195-400000)*25%+1500+2250+26000+45000
+IFERROR(LOOKUP(V1195,{600001;700001;800001;900001},{4000;6750;10250;15250}),0),IF(V1195&gt;1200000,((V1195-1200000)*27.5%)+300000,0)
)))))))</f>
        <v>0</v>
      </c>
      <c r="X1195" s="12">
        <f t="shared" si="292"/>
        <v>0</v>
      </c>
      <c r="Y1195" s="12">
        <f t="shared" si="293"/>
        <v>0</v>
      </c>
      <c r="Z1195" s="11"/>
      <c r="AA1195" s="13">
        <f t="shared" si="294"/>
        <v>0</v>
      </c>
      <c r="AB1195" s="12">
        <f t="shared" si="295"/>
        <v>0</v>
      </c>
      <c r="AC1195" s="14">
        <f t="shared" si="283"/>
        <v>0</v>
      </c>
      <c r="AE1195" s="19">
        <f t="shared" si="296"/>
        <v>0</v>
      </c>
      <c r="AF1195" s="19"/>
      <c r="AG1195" s="17"/>
      <c r="AK1195" s="7"/>
      <c r="AL1195" s="108">
        <f t="shared" si="284"/>
        <v>0</v>
      </c>
      <c r="AM1195" s="108">
        <f t="shared" si="285"/>
        <v>0</v>
      </c>
      <c r="AN1195" s="113"/>
    </row>
    <row r="1196" spans="2:40" x14ac:dyDescent="0.2">
      <c r="B1196" s="7"/>
      <c r="C1196" s="8"/>
      <c r="D1196" s="8"/>
      <c r="E1196" s="9"/>
      <c r="F1196" s="6"/>
      <c r="G1196" s="8"/>
      <c r="H1196" s="32"/>
      <c r="I1196" s="10" t="str">
        <f t="shared" si="282"/>
        <v>21</v>
      </c>
      <c r="J1196" s="11">
        <v>1</v>
      </c>
      <c r="K1196" s="11"/>
      <c r="L1196" s="11"/>
      <c r="M1196" s="11">
        <f t="shared" si="286"/>
        <v>0</v>
      </c>
      <c r="N1196" s="11"/>
      <c r="O1196" s="11">
        <f t="shared" si="287"/>
        <v>0</v>
      </c>
      <c r="P1196" s="11"/>
      <c r="Q1196" s="11"/>
      <c r="R1196" s="11"/>
      <c r="S1196" s="11">
        <f t="shared" si="288"/>
        <v>0</v>
      </c>
      <c r="T1196" s="11">
        <f t="shared" si="289"/>
        <v>1666.6666666666667</v>
      </c>
      <c r="U1196" s="11">
        <f t="shared" si="290"/>
        <v>0</v>
      </c>
      <c r="V1196" s="24">
        <f t="shared" si="291"/>
        <v>0</v>
      </c>
      <c r="W1196" s="11">
        <f>IF(V1196&lt;=40000,0,
IF(V1196&lt;=55000,(V1196-40000)*10%,
IF(V1196&lt;=70000,(V1196-55000)*15%+1500,
IF(V1196&lt;=200000,(V1196-70000)*20%+1500+2250,
IF(V1196&lt;=400000,(V1196-200000)*22.5%+1500+2250+26000,
IF(V1196&lt;=600000,(V1196-400000)*25%+1500+2250+26000+45000,
IF(AND(V1196&gt;600000,V1196&lt;=1200000),(V1196-400000)*25%+1500+2250+26000+45000
+IFERROR(LOOKUP(V1196,{600001;700001;800001;900001},{4000;6750;10250;15250}),0),IF(V1196&gt;1200000,((V1196-1200000)*27.5%)+300000,0)
)))))))</f>
        <v>0</v>
      </c>
      <c r="X1196" s="12">
        <f t="shared" si="292"/>
        <v>0</v>
      </c>
      <c r="Y1196" s="12">
        <f t="shared" si="293"/>
        <v>0</v>
      </c>
      <c r="Z1196" s="11"/>
      <c r="AA1196" s="13">
        <f t="shared" si="294"/>
        <v>0</v>
      </c>
      <c r="AB1196" s="12">
        <f t="shared" si="295"/>
        <v>0</v>
      </c>
      <c r="AC1196" s="14">
        <f t="shared" si="283"/>
        <v>0</v>
      </c>
      <c r="AE1196" s="19">
        <f t="shared" si="296"/>
        <v>0</v>
      </c>
      <c r="AF1196" s="19"/>
      <c r="AG1196" s="17"/>
      <c r="AK1196" s="7"/>
      <c r="AL1196" s="108">
        <f t="shared" si="284"/>
        <v>0</v>
      </c>
      <c r="AM1196" s="108">
        <f t="shared" si="285"/>
        <v>0</v>
      </c>
      <c r="AN1196" s="113"/>
    </row>
    <row r="1197" spans="2:40" x14ac:dyDescent="0.2">
      <c r="B1197" s="7"/>
      <c r="C1197" s="8"/>
      <c r="D1197" s="8"/>
      <c r="E1197" s="9"/>
      <c r="F1197" s="6"/>
      <c r="G1197" s="8"/>
      <c r="H1197" s="32"/>
      <c r="I1197" s="10" t="str">
        <f t="shared" si="282"/>
        <v>21</v>
      </c>
      <c r="J1197" s="11">
        <v>1</v>
      </c>
      <c r="K1197" s="11"/>
      <c r="L1197" s="11"/>
      <c r="M1197" s="11">
        <f t="shared" si="286"/>
        <v>0</v>
      </c>
      <c r="N1197" s="11"/>
      <c r="O1197" s="11">
        <f t="shared" si="287"/>
        <v>0</v>
      </c>
      <c r="P1197" s="11"/>
      <c r="Q1197" s="11"/>
      <c r="R1197" s="11"/>
      <c r="S1197" s="11">
        <f t="shared" si="288"/>
        <v>0</v>
      </c>
      <c r="T1197" s="11">
        <f t="shared" si="289"/>
        <v>1666.6666666666667</v>
      </c>
      <c r="U1197" s="11">
        <f t="shared" si="290"/>
        <v>0</v>
      </c>
      <c r="V1197" s="24">
        <f t="shared" si="291"/>
        <v>0</v>
      </c>
      <c r="W1197" s="11">
        <f>IF(V1197&lt;=40000,0,
IF(V1197&lt;=55000,(V1197-40000)*10%,
IF(V1197&lt;=70000,(V1197-55000)*15%+1500,
IF(V1197&lt;=200000,(V1197-70000)*20%+1500+2250,
IF(V1197&lt;=400000,(V1197-200000)*22.5%+1500+2250+26000,
IF(V1197&lt;=600000,(V1197-400000)*25%+1500+2250+26000+45000,
IF(AND(V1197&gt;600000,V1197&lt;=1200000),(V1197-400000)*25%+1500+2250+26000+45000
+IFERROR(LOOKUP(V1197,{600001;700001;800001;900001},{4000;6750;10250;15250}),0),IF(V1197&gt;1200000,((V1197-1200000)*27.5%)+300000,0)
)))))))</f>
        <v>0</v>
      </c>
      <c r="X1197" s="12">
        <f t="shared" si="292"/>
        <v>0</v>
      </c>
      <c r="Y1197" s="12">
        <f t="shared" si="293"/>
        <v>0</v>
      </c>
      <c r="Z1197" s="11"/>
      <c r="AA1197" s="13">
        <f t="shared" si="294"/>
        <v>0</v>
      </c>
      <c r="AB1197" s="12">
        <f t="shared" si="295"/>
        <v>0</v>
      </c>
      <c r="AC1197" s="14">
        <f t="shared" si="283"/>
        <v>0</v>
      </c>
      <c r="AE1197" s="19">
        <f t="shared" si="296"/>
        <v>0</v>
      </c>
      <c r="AF1197" s="19"/>
      <c r="AG1197" s="17"/>
      <c r="AK1197" s="7"/>
      <c r="AL1197" s="108">
        <f t="shared" si="284"/>
        <v>0</v>
      </c>
      <c r="AM1197" s="108">
        <f t="shared" si="285"/>
        <v>0</v>
      </c>
      <c r="AN1197" s="113"/>
    </row>
    <row r="1198" spans="2:40" x14ac:dyDescent="0.2">
      <c r="B1198" s="7"/>
      <c r="C1198" s="8"/>
      <c r="D1198" s="8"/>
      <c r="E1198" s="9"/>
      <c r="F1198" s="6"/>
      <c r="G1198" s="8"/>
      <c r="H1198" s="32"/>
      <c r="I1198" s="10" t="str">
        <f t="shared" si="282"/>
        <v>21</v>
      </c>
      <c r="J1198" s="11">
        <v>1</v>
      </c>
      <c r="K1198" s="11"/>
      <c r="L1198" s="11"/>
      <c r="M1198" s="11">
        <f t="shared" si="286"/>
        <v>0</v>
      </c>
      <c r="N1198" s="11"/>
      <c r="O1198" s="11">
        <f t="shared" si="287"/>
        <v>0</v>
      </c>
      <c r="P1198" s="11"/>
      <c r="Q1198" s="11"/>
      <c r="R1198" s="11"/>
      <c r="S1198" s="11">
        <f t="shared" si="288"/>
        <v>0</v>
      </c>
      <c r="T1198" s="11">
        <f t="shared" si="289"/>
        <v>1666.6666666666667</v>
      </c>
      <c r="U1198" s="11">
        <f t="shared" si="290"/>
        <v>0</v>
      </c>
      <c r="V1198" s="24">
        <f t="shared" si="291"/>
        <v>0</v>
      </c>
      <c r="W1198" s="11">
        <f>IF(V1198&lt;=40000,0,
IF(V1198&lt;=55000,(V1198-40000)*10%,
IF(V1198&lt;=70000,(V1198-55000)*15%+1500,
IF(V1198&lt;=200000,(V1198-70000)*20%+1500+2250,
IF(V1198&lt;=400000,(V1198-200000)*22.5%+1500+2250+26000,
IF(V1198&lt;=600000,(V1198-400000)*25%+1500+2250+26000+45000,
IF(AND(V1198&gt;600000,V1198&lt;=1200000),(V1198-400000)*25%+1500+2250+26000+45000
+IFERROR(LOOKUP(V1198,{600001;700001;800001;900001},{4000;6750;10250;15250}),0),IF(V1198&gt;1200000,((V1198-1200000)*27.5%)+300000,0)
)))))))</f>
        <v>0</v>
      </c>
      <c r="X1198" s="12">
        <f t="shared" si="292"/>
        <v>0</v>
      </c>
      <c r="Y1198" s="12">
        <f t="shared" si="293"/>
        <v>0</v>
      </c>
      <c r="Z1198" s="11"/>
      <c r="AA1198" s="13">
        <f t="shared" si="294"/>
        <v>0</v>
      </c>
      <c r="AB1198" s="12">
        <f t="shared" si="295"/>
        <v>0</v>
      </c>
      <c r="AC1198" s="14">
        <f t="shared" si="283"/>
        <v>0</v>
      </c>
      <c r="AE1198" s="19">
        <f t="shared" si="296"/>
        <v>0</v>
      </c>
      <c r="AF1198" s="19"/>
      <c r="AG1198" s="17"/>
      <c r="AK1198" s="7"/>
      <c r="AL1198" s="108">
        <f t="shared" si="284"/>
        <v>0</v>
      </c>
      <c r="AM1198" s="108">
        <f t="shared" si="285"/>
        <v>0</v>
      </c>
      <c r="AN1198" s="113"/>
    </row>
    <row r="1199" spans="2:40" x14ac:dyDescent="0.2">
      <c r="B1199" s="7"/>
      <c r="C1199" s="8"/>
      <c r="D1199" s="8"/>
      <c r="E1199" s="9"/>
      <c r="F1199" s="6"/>
      <c r="G1199" s="8"/>
      <c r="H1199" s="32"/>
      <c r="I1199" s="10" t="str">
        <f t="shared" si="282"/>
        <v>21</v>
      </c>
      <c r="J1199" s="11">
        <v>1</v>
      </c>
      <c r="K1199" s="11"/>
      <c r="L1199" s="11"/>
      <c r="M1199" s="11">
        <f t="shared" si="286"/>
        <v>0</v>
      </c>
      <c r="N1199" s="11"/>
      <c r="O1199" s="11">
        <f t="shared" si="287"/>
        <v>0</v>
      </c>
      <c r="P1199" s="11"/>
      <c r="Q1199" s="11"/>
      <c r="R1199" s="11"/>
      <c r="S1199" s="11">
        <f t="shared" si="288"/>
        <v>0</v>
      </c>
      <c r="T1199" s="11">
        <f t="shared" si="289"/>
        <v>1666.6666666666667</v>
      </c>
      <c r="U1199" s="11">
        <f t="shared" si="290"/>
        <v>0</v>
      </c>
      <c r="V1199" s="24">
        <f t="shared" si="291"/>
        <v>0</v>
      </c>
      <c r="W1199" s="11">
        <f>IF(V1199&lt;=40000,0,
IF(V1199&lt;=55000,(V1199-40000)*10%,
IF(V1199&lt;=70000,(V1199-55000)*15%+1500,
IF(V1199&lt;=200000,(V1199-70000)*20%+1500+2250,
IF(V1199&lt;=400000,(V1199-200000)*22.5%+1500+2250+26000,
IF(V1199&lt;=600000,(V1199-400000)*25%+1500+2250+26000+45000,
IF(AND(V1199&gt;600000,V1199&lt;=1200000),(V1199-400000)*25%+1500+2250+26000+45000
+IFERROR(LOOKUP(V1199,{600001;700001;800001;900001},{4000;6750;10250;15250}),0),IF(V1199&gt;1200000,((V1199-1200000)*27.5%)+300000,0)
)))))))</f>
        <v>0</v>
      </c>
      <c r="X1199" s="12">
        <f t="shared" si="292"/>
        <v>0</v>
      </c>
      <c r="Y1199" s="12">
        <f t="shared" si="293"/>
        <v>0</v>
      </c>
      <c r="Z1199" s="11"/>
      <c r="AA1199" s="13">
        <f t="shared" si="294"/>
        <v>0</v>
      </c>
      <c r="AB1199" s="12">
        <f t="shared" si="295"/>
        <v>0</v>
      </c>
      <c r="AC1199" s="14">
        <f t="shared" si="283"/>
        <v>0</v>
      </c>
      <c r="AE1199" s="19">
        <f t="shared" si="296"/>
        <v>0</v>
      </c>
      <c r="AF1199" s="19"/>
      <c r="AG1199" s="17"/>
      <c r="AK1199" s="7"/>
      <c r="AL1199" s="108">
        <f t="shared" si="284"/>
        <v>0</v>
      </c>
      <c r="AM1199" s="108">
        <f t="shared" si="285"/>
        <v>0</v>
      </c>
      <c r="AN1199" s="113"/>
    </row>
    <row r="1200" spans="2:40" x14ac:dyDescent="0.2">
      <c r="B1200" s="7"/>
      <c r="C1200" s="8"/>
      <c r="D1200" s="8"/>
      <c r="E1200" s="9"/>
      <c r="F1200" s="6"/>
      <c r="G1200" s="8"/>
      <c r="H1200" s="32"/>
      <c r="I1200" s="10" t="str">
        <f t="shared" si="282"/>
        <v>21</v>
      </c>
      <c r="J1200" s="11">
        <v>1</v>
      </c>
      <c r="K1200" s="11"/>
      <c r="L1200" s="11"/>
      <c r="M1200" s="11">
        <f t="shared" si="286"/>
        <v>0</v>
      </c>
      <c r="N1200" s="11"/>
      <c r="O1200" s="11">
        <f t="shared" si="287"/>
        <v>0</v>
      </c>
      <c r="P1200" s="11"/>
      <c r="Q1200" s="11"/>
      <c r="R1200" s="11"/>
      <c r="S1200" s="11">
        <f t="shared" si="288"/>
        <v>0</v>
      </c>
      <c r="T1200" s="11">
        <f t="shared" si="289"/>
        <v>1666.6666666666667</v>
      </c>
      <c r="U1200" s="11">
        <f t="shared" si="290"/>
        <v>0</v>
      </c>
      <c r="V1200" s="24">
        <f t="shared" si="291"/>
        <v>0</v>
      </c>
      <c r="W1200" s="11">
        <f>IF(V1200&lt;=40000,0,
IF(V1200&lt;=55000,(V1200-40000)*10%,
IF(V1200&lt;=70000,(V1200-55000)*15%+1500,
IF(V1200&lt;=200000,(V1200-70000)*20%+1500+2250,
IF(V1200&lt;=400000,(V1200-200000)*22.5%+1500+2250+26000,
IF(V1200&lt;=600000,(V1200-400000)*25%+1500+2250+26000+45000,
IF(AND(V1200&gt;600000,V1200&lt;=1200000),(V1200-400000)*25%+1500+2250+26000+45000
+IFERROR(LOOKUP(V1200,{600001;700001;800001;900001},{4000;6750;10250;15250}),0),IF(V1200&gt;1200000,((V1200-1200000)*27.5%)+300000,0)
)))))))</f>
        <v>0</v>
      </c>
      <c r="X1200" s="12">
        <f t="shared" si="292"/>
        <v>0</v>
      </c>
      <c r="Y1200" s="12">
        <f t="shared" si="293"/>
        <v>0</v>
      </c>
      <c r="Z1200" s="11"/>
      <c r="AA1200" s="13">
        <f t="shared" si="294"/>
        <v>0</v>
      </c>
      <c r="AB1200" s="12">
        <f t="shared" si="295"/>
        <v>0</v>
      </c>
      <c r="AC1200" s="14">
        <f t="shared" si="283"/>
        <v>0</v>
      </c>
      <c r="AE1200" s="19">
        <f t="shared" si="296"/>
        <v>0</v>
      </c>
      <c r="AF1200" s="19"/>
      <c r="AG1200" s="17"/>
      <c r="AK1200" s="7"/>
      <c r="AL1200" s="108">
        <f t="shared" si="284"/>
        <v>0</v>
      </c>
      <c r="AM1200" s="108">
        <f t="shared" si="285"/>
        <v>0</v>
      </c>
      <c r="AN1200" s="113"/>
    </row>
    <row r="1201" spans="2:40" x14ac:dyDescent="0.2">
      <c r="B1201" s="7"/>
      <c r="C1201" s="8"/>
      <c r="D1201" s="8"/>
      <c r="E1201" s="9"/>
      <c r="F1201" s="6"/>
      <c r="G1201" s="8"/>
      <c r="H1201" s="32"/>
      <c r="I1201" s="10" t="str">
        <f t="shared" si="282"/>
        <v>21</v>
      </c>
      <c r="J1201" s="11">
        <v>1</v>
      </c>
      <c r="K1201" s="11"/>
      <c r="L1201" s="11"/>
      <c r="M1201" s="11">
        <f t="shared" si="286"/>
        <v>0</v>
      </c>
      <c r="N1201" s="11"/>
      <c r="O1201" s="11">
        <f t="shared" si="287"/>
        <v>0</v>
      </c>
      <c r="P1201" s="11"/>
      <c r="Q1201" s="11"/>
      <c r="R1201" s="11"/>
      <c r="S1201" s="11">
        <f t="shared" si="288"/>
        <v>0</v>
      </c>
      <c r="T1201" s="11">
        <f t="shared" si="289"/>
        <v>1666.6666666666667</v>
      </c>
      <c r="U1201" s="11">
        <f t="shared" si="290"/>
        <v>0</v>
      </c>
      <c r="V1201" s="24">
        <f t="shared" si="291"/>
        <v>0</v>
      </c>
      <c r="W1201" s="11">
        <f>IF(V1201&lt;=40000,0,
IF(V1201&lt;=55000,(V1201-40000)*10%,
IF(V1201&lt;=70000,(V1201-55000)*15%+1500,
IF(V1201&lt;=200000,(V1201-70000)*20%+1500+2250,
IF(V1201&lt;=400000,(V1201-200000)*22.5%+1500+2250+26000,
IF(V1201&lt;=600000,(V1201-400000)*25%+1500+2250+26000+45000,
IF(AND(V1201&gt;600000,V1201&lt;=1200000),(V1201-400000)*25%+1500+2250+26000+45000
+IFERROR(LOOKUP(V1201,{600001;700001;800001;900001},{4000;6750;10250;15250}),0),IF(V1201&gt;1200000,((V1201-1200000)*27.5%)+300000,0)
)))))))</f>
        <v>0</v>
      </c>
      <c r="X1201" s="12">
        <f t="shared" si="292"/>
        <v>0</v>
      </c>
      <c r="Y1201" s="12">
        <f t="shared" si="293"/>
        <v>0</v>
      </c>
      <c r="Z1201" s="11"/>
      <c r="AA1201" s="13">
        <f t="shared" si="294"/>
        <v>0</v>
      </c>
      <c r="AB1201" s="12">
        <f t="shared" si="295"/>
        <v>0</v>
      </c>
      <c r="AC1201" s="14">
        <f t="shared" si="283"/>
        <v>0</v>
      </c>
      <c r="AE1201" s="19">
        <f t="shared" si="296"/>
        <v>0</v>
      </c>
      <c r="AF1201" s="19"/>
      <c r="AG1201" s="17"/>
      <c r="AK1201" s="7"/>
      <c r="AL1201" s="108">
        <f t="shared" si="284"/>
        <v>0</v>
      </c>
      <c r="AM1201" s="108">
        <f t="shared" si="285"/>
        <v>0</v>
      </c>
      <c r="AN1201" s="113"/>
    </row>
    <row r="1202" spans="2:40" x14ac:dyDescent="0.2">
      <c r="B1202" s="7"/>
      <c r="C1202" s="8"/>
      <c r="D1202" s="8"/>
      <c r="E1202" s="9"/>
      <c r="F1202" s="6"/>
      <c r="G1202" s="8"/>
      <c r="H1202" s="32"/>
      <c r="I1202" s="10" t="str">
        <f t="shared" si="282"/>
        <v>21</v>
      </c>
      <c r="J1202" s="11">
        <v>1</v>
      </c>
      <c r="K1202" s="11"/>
      <c r="L1202" s="11"/>
      <c r="M1202" s="11">
        <f t="shared" si="286"/>
        <v>0</v>
      </c>
      <c r="N1202" s="11"/>
      <c r="O1202" s="11">
        <f t="shared" si="287"/>
        <v>0</v>
      </c>
      <c r="P1202" s="11"/>
      <c r="Q1202" s="11"/>
      <c r="R1202" s="11"/>
      <c r="S1202" s="11">
        <f t="shared" si="288"/>
        <v>0</v>
      </c>
      <c r="T1202" s="11">
        <f t="shared" si="289"/>
        <v>1666.6666666666667</v>
      </c>
      <c r="U1202" s="11">
        <f t="shared" si="290"/>
        <v>0</v>
      </c>
      <c r="V1202" s="24">
        <f t="shared" si="291"/>
        <v>0</v>
      </c>
      <c r="W1202" s="11">
        <f>IF(V1202&lt;=40000,0,
IF(V1202&lt;=55000,(V1202-40000)*10%,
IF(V1202&lt;=70000,(V1202-55000)*15%+1500,
IF(V1202&lt;=200000,(V1202-70000)*20%+1500+2250,
IF(V1202&lt;=400000,(V1202-200000)*22.5%+1500+2250+26000,
IF(V1202&lt;=600000,(V1202-400000)*25%+1500+2250+26000+45000,
IF(AND(V1202&gt;600000,V1202&lt;=1200000),(V1202-400000)*25%+1500+2250+26000+45000
+IFERROR(LOOKUP(V1202,{600001;700001;800001;900001},{4000;6750;10250;15250}),0),IF(V1202&gt;1200000,((V1202-1200000)*27.5%)+300000,0)
)))))))</f>
        <v>0</v>
      </c>
      <c r="X1202" s="12">
        <f t="shared" si="292"/>
        <v>0</v>
      </c>
      <c r="Y1202" s="12">
        <f t="shared" si="293"/>
        <v>0</v>
      </c>
      <c r="Z1202" s="11"/>
      <c r="AA1202" s="13">
        <f t="shared" si="294"/>
        <v>0</v>
      </c>
      <c r="AB1202" s="12">
        <f t="shared" si="295"/>
        <v>0</v>
      </c>
      <c r="AC1202" s="14">
        <f t="shared" si="283"/>
        <v>0</v>
      </c>
      <c r="AE1202" s="19">
        <f t="shared" si="296"/>
        <v>0</v>
      </c>
      <c r="AF1202" s="19"/>
      <c r="AG1202" s="17"/>
      <c r="AK1202" s="7"/>
      <c r="AL1202" s="108">
        <f t="shared" si="284"/>
        <v>0</v>
      </c>
      <c r="AM1202" s="108">
        <f t="shared" si="285"/>
        <v>0</v>
      </c>
      <c r="AN1202" s="113"/>
    </row>
    <row r="1203" spans="2:40" x14ac:dyDescent="0.2">
      <c r="B1203" s="7"/>
      <c r="C1203" s="8"/>
      <c r="D1203" s="8"/>
      <c r="E1203" s="9"/>
      <c r="F1203" s="6"/>
      <c r="G1203" s="8"/>
      <c r="H1203" s="32"/>
      <c r="I1203" s="10" t="str">
        <f t="shared" si="282"/>
        <v>21</v>
      </c>
      <c r="J1203" s="11">
        <v>1</v>
      </c>
      <c r="K1203" s="11"/>
      <c r="L1203" s="11"/>
      <c r="M1203" s="11">
        <f t="shared" si="286"/>
        <v>0</v>
      </c>
      <c r="N1203" s="11"/>
      <c r="O1203" s="11">
        <f t="shared" si="287"/>
        <v>0</v>
      </c>
      <c r="P1203" s="11"/>
      <c r="Q1203" s="11"/>
      <c r="R1203" s="11"/>
      <c r="S1203" s="11">
        <f t="shared" si="288"/>
        <v>0</v>
      </c>
      <c r="T1203" s="11">
        <f t="shared" si="289"/>
        <v>1666.6666666666667</v>
      </c>
      <c r="U1203" s="11">
        <f t="shared" si="290"/>
        <v>0</v>
      </c>
      <c r="V1203" s="24">
        <f t="shared" si="291"/>
        <v>0</v>
      </c>
      <c r="W1203" s="11">
        <f>IF(V1203&lt;=40000,0,
IF(V1203&lt;=55000,(V1203-40000)*10%,
IF(V1203&lt;=70000,(V1203-55000)*15%+1500,
IF(V1203&lt;=200000,(V1203-70000)*20%+1500+2250,
IF(V1203&lt;=400000,(V1203-200000)*22.5%+1500+2250+26000,
IF(V1203&lt;=600000,(V1203-400000)*25%+1500+2250+26000+45000,
IF(AND(V1203&gt;600000,V1203&lt;=1200000),(V1203-400000)*25%+1500+2250+26000+45000
+IFERROR(LOOKUP(V1203,{600001;700001;800001;900001},{4000;6750;10250;15250}),0),IF(V1203&gt;1200000,((V1203-1200000)*27.5%)+300000,0)
)))))))</f>
        <v>0</v>
      </c>
      <c r="X1203" s="12">
        <f t="shared" si="292"/>
        <v>0</v>
      </c>
      <c r="Y1203" s="12">
        <f t="shared" si="293"/>
        <v>0</v>
      </c>
      <c r="Z1203" s="11"/>
      <c r="AA1203" s="13">
        <f t="shared" si="294"/>
        <v>0</v>
      </c>
      <c r="AB1203" s="12">
        <f t="shared" si="295"/>
        <v>0</v>
      </c>
      <c r="AC1203" s="14">
        <f t="shared" si="283"/>
        <v>0</v>
      </c>
      <c r="AE1203" s="19">
        <f t="shared" si="296"/>
        <v>0</v>
      </c>
      <c r="AF1203" s="19"/>
      <c r="AG1203" s="17"/>
      <c r="AK1203" s="7"/>
      <c r="AL1203" s="108">
        <f t="shared" si="284"/>
        <v>0</v>
      </c>
      <c r="AM1203" s="108">
        <f t="shared" si="285"/>
        <v>0</v>
      </c>
      <c r="AN1203" s="113"/>
    </row>
    <row r="1204" spans="2:40" x14ac:dyDescent="0.2">
      <c r="B1204" s="7"/>
      <c r="C1204" s="8"/>
      <c r="D1204" s="8"/>
      <c r="E1204" s="9"/>
      <c r="F1204" s="6"/>
      <c r="G1204" s="8"/>
      <c r="H1204" s="32"/>
      <c r="I1204" s="10" t="str">
        <f t="shared" si="282"/>
        <v>21</v>
      </c>
      <c r="J1204" s="11">
        <v>1</v>
      </c>
      <c r="K1204" s="11"/>
      <c r="L1204" s="11"/>
      <c r="M1204" s="11">
        <f t="shared" si="286"/>
        <v>0</v>
      </c>
      <c r="N1204" s="11"/>
      <c r="O1204" s="11">
        <f t="shared" si="287"/>
        <v>0</v>
      </c>
      <c r="P1204" s="11"/>
      <c r="Q1204" s="11"/>
      <c r="R1204" s="11"/>
      <c r="S1204" s="11">
        <f t="shared" si="288"/>
        <v>0</v>
      </c>
      <c r="T1204" s="11">
        <f t="shared" si="289"/>
        <v>1666.6666666666667</v>
      </c>
      <c r="U1204" s="11">
        <f t="shared" si="290"/>
        <v>0</v>
      </c>
      <c r="V1204" s="24">
        <f t="shared" si="291"/>
        <v>0</v>
      </c>
      <c r="W1204" s="11">
        <f>IF(V1204&lt;=40000,0,
IF(V1204&lt;=55000,(V1204-40000)*10%,
IF(V1204&lt;=70000,(V1204-55000)*15%+1500,
IF(V1204&lt;=200000,(V1204-70000)*20%+1500+2250,
IF(V1204&lt;=400000,(V1204-200000)*22.5%+1500+2250+26000,
IF(V1204&lt;=600000,(V1204-400000)*25%+1500+2250+26000+45000,
IF(AND(V1204&gt;600000,V1204&lt;=1200000),(V1204-400000)*25%+1500+2250+26000+45000
+IFERROR(LOOKUP(V1204,{600001;700001;800001;900001},{4000;6750;10250;15250}),0),IF(V1204&gt;1200000,((V1204-1200000)*27.5%)+300000,0)
)))))))</f>
        <v>0</v>
      </c>
      <c r="X1204" s="12">
        <f t="shared" si="292"/>
        <v>0</v>
      </c>
      <c r="Y1204" s="12">
        <f t="shared" si="293"/>
        <v>0</v>
      </c>
      <c r="Z1204" s="11"/>
      <c r="AA1204" s="13">
        <f t="shared" si="294"/>
        <v>0</v>
      </c>
      <c r="AB1204" s="12">
        <f t="shared" si="295"/>
        <v>0</v>
      </c>
      <c r="AC1204" s="14">
        <f t="shared" si="283"/>
        <v>0</v>
      </c>
      <c r="AE1204" s="19">
        <f t="shared" si="296"/>
        <v>0</v>
      </c>
      <c r="AF1204" s="19"/>
      <c r="AG1204" s="17"/>
      <c r="AK1204" s="7"/>
      <c r="AL1204" s="108">
        <f t="shared" si="284"/>
        <v>0</v>
      </c>
      <c r="AM1204" s="108">
        <f t="shared" si="285"/>
        <v>0</v>
      </c>
      <c r="AN1204" s="113"/>
    </row>
    <row r="1205" spans="2:40" x14ac:dyDescent="0.2">
      <c r="B1205" s="7"/>
      <c r="C1205" s="8"/>
      <c r="D1205" s="8"/>
      <c r="E1205" s="9"/>
      <c r="F1205" s="6"/>
      <c r="G1205" s="8"/>
      <c r="H1205" s="32"/>
      <c r="I1205" s="10" t="str">
        <f t="shared" si="282"/>
        <v>21</v>
      </c>
      <c r="J1205" s="11">
        <v>1</v>
      </c>
      <c r="K1205" s="11"/>
      <c r="L1205" s="11"/>
      <c r="M1205" s="11">
        <f t="shared" si="286"/>
        <v>0</v>
      </c>
      <c r="N1205" s="11"/>
      <c r="O1205" s="11">
        <f t="shared" si="287"/>
        <v>0</v>
      </c>
      <c r="P1205" s="11"/>
      <c r="Q1205" s="11"/>
      <c r="R1205" s="11"/>
      <c r="S1205" s="11">
        <f t="shared" si="288"/>
        <v>0</v>
      </c>
      <c r="T1205" s="11">
        <f t="shared" si="289"/>
        <v>1666.6666666666667</v>
      </c>
      <c r="U1205" s="11">
        <f t="shared" si="290"/>
        <v>0</v>
      </c>
      <c r="V1205" s="24">
        <f t="shared" si="291"/>
        <v>0</v>
      </c>
      <c r="W1205" s="11">
        <f>IF(V1205&lt;=40000,0,
IF(V1205&lt;=55000,(V1205-40000)*10%,
IF(V1205&lt;=70000,(V1205-55000)*15%+1500,
IF(V1205&lt;=200000,(V1205-70000)*20%+1500+2250,
IF(V1205&lt;=400000,(V1205-200000)*22.5%+1500+2250+26000,
IF(V1205&lt;=600000,(V1205-400000)*25%+1500+2250+26000+45000,
IF(AND(V1205&gt;600000,V1205&lt;=1200000),(V1205-400000)*25%+1500+2250+26000+45000
+IFERROR(LOOKUP(V1205,{600001;700001;800001;900001},{4000;6750;10250;15250}),0),IF(V1205&gt;1200000,((V1205-1200000)*27.5%)+300000,0)
)))))))</f>
        <v>0</v>
      </c>
      <c r="X1205" s="12">
        <f t="shared" si="292"/>
        <v>0</v>
      </c>
      <c r="Y1205" s="12">
        <f t="shared" si="293"/>
        <v>0</v>
      </c>
      <c r="Z1205" s="11"/>
      <c r="AA1205" s="13">
        <f t="shared" si="294"/>
        <v>0</v>
      </c>
      <c r="AB1205" s="12">
        <f t="shared" si="295"/>
        <v>0</v>
      </c>
      <c r="AC1205" s="14">
        <f t="shared" si="283"/>
        <v>0</v>
      </c>
      <c r="AE1205" s="19">
        <f t="shared" si="296"/>
        <v>0</v>
      </c>
      <c r="AF1205" s="19"/>
      <c r="AG1205" s="17"/>
      <c r="AK1205" s="7"/>
      <c r="AL1205" s="108">
        <f t="shared" si="284"/>
        <v>0</v>
      </c>
      <c r="AM1205" s="108">
        <f t="shared" si="285"/>
        <v>0</v>
      </c>
      <c r="AN1205" s="113"/>
    </row>
    <row r="1206" spans="2:40" x14ac:dyDescent="0.2">
      <c r="B1206" s="7"/>
      <c r="C1206" s="8"/>
      <c r="D1206" s="8"/>
      <c r="E1206" s="9"/>
      <c r="F1206" s="6"/>
      <c r="G1206" s="8"/>
      <c r="H1206" s="32"/>
      <c r="I1206" s="10" t="str">
        <f t="shared" si="282"/>
        <v>21</v>
      </c>
      <c r="J1206" s="11">
        <v>1</v>
      </c>
      <c r="K1206" s="11"/>
      <c r="L1206" s="11"/>
      <c r="M1206" s="11">
        <f t="shared" si="286"/>
        <v>0</v>
      </c>
      <c r="N1206" s="11"/>
      <c r="O1206" s="11">
        <f t="shared" si="287"/>
        <v>0</v>
      </c>
      <c r="P1206" s="11"/>
      <c r="Q1206" s="11"/>
      <c r="R1206" s="11"/>
      <c r="S1206" s="11">
        <f t="shared" si="288"/>
        <v>0</v>
      </c>
      <c r="T1206" s="11">
        <f t="shared" si="289"/>
        <v>1666.6666666666667</v>
      </c>
      <c r="U1206" s="11">
        <f t="shared" si="290"/>
        <v>0</v>
      </c>
      <c r="V1206" s="24">
        <f t="shared" si="291"/>
        <v>0</v>
      </c>
      <c r="W1206" s="11">
        <f>IF(V1206&lt;=40000,0,
IF(V1206&lt;=55000,(V1206-40000)*10%,
IF(V1206&lt;=70000,(V1206-55000)*15%+1500,
IF(V1206&lt;=200000,(V1206-70000)*20%+1500+2250,
IF(V1206&lt;=400000,(V1206-200000)*22.5%+1500+2250+26000,
IF(V1206&lt;=600000,(V1206-400000)*25%+1500+2250+26000+45000,
IF(AND(V1206&gt;600000,V1206&lt;=1200000),(V1206-400000)*25%+1500+2250+26000+45000
+IFERROR(LOOKUP(V1206,{600001;700001;800001;900001},{4000;6750;10250;15250}),0),IF(V1206&gt;1200000,((V1206-1200000)*27.5%)+300000,0)
)))))))</f>
        <v>0</v>
      </c>
      <c r="X1206" s="12">
        <f t="shared" si="292"/>
        <v>0</v>
      </c>
      <c r="Y1206" s="12">
        <f t="shared" si="293"/>
        <v>0</v>
      </c>
      <c r="Z1206" s="11"/>
      <c r="AA1206" s="13">
        <f t="shared" si="294"/>
        <v>0</v>
      </c>
      <c r="AB1206" s="12">
        <f t="shared" si="295"/>
        <v>0</v>
      </c>
      <c r="AC1206" s="14">
        <f t="shared" si="283"/>
        <v>0</v>
      </c>
      <c r="AE1206" s="19">
        <f t="shared" si="296"/>
        <v>0</v>
      </c>
      <c r="AF1206" s="19"/>
      <c r="AG1206" s="17"/>
      <c r="AK1206" s="7"/>
      <c r="AL1206" s="108">
        <f t="shared" si="284"/>
        <v>0</v>
      </c>
      <c r="AM1206" s="108">
        <f t="shared" si="285"/>
        <v>0</v>
      </c>
      <c r="AN1206" s="113"/>
    </row>
    <row r="1207" spans="2:40" x14ac:dyDescent="0.2">
      <c r="B1207" s="7"/>
      <c r="C1207" s="8"/>
      <c r="D1207" s="8"/>
      <c r="E1207" s="9"/>
      <c r="F1207" s="6"/>
      <c r="G1207" s="8"/>
      <c r="H1207" s="32"/>
      <c r="I1207" s="10" t="str">
        <f t="shared" si="282"/>
        <v>21</v>
      </c>
      <c r="J1207" s="11">
        <v>1</v>
      </c>
      <c r="K1207" s="11"/>
      <c r="L1207" s="11"/>
      <c r="M1207" s="11">
        <f t="shared" si="286"/>
        <v>0</v>
      </c>
      <c r="N1207" s="11"/>
      <c r="O1207" s="11">
        <f t="shared" si="287"/>
        <v>0</v>
      </c>
      <c r="P1207" s="11"/>
      <c r="Q1207" s="11"/>
      <c r="R1207" s="11"/>
      <c r="S1207" s="11">
        <f t="shared" si="288"/>
        <v>0</v>
      </c>
      <c r="T1207" s="11">
        <f t="shared" si="289"/>
        <v>1666.6666666666667</v>
      </c>
      <c r="U1207" s="11">
        <f t="shared" si="290"/>
        <v>0</v>
      </c>
      <c r="V1207" s="24">
        <f t="shared" si="291"/>
        <v>0</v>
      </c>
      <c r="W1207" s="11">
        <f>IF(V1207&lt;=40000,0,
IF(V1207&lt;=55000,(V1207-40000)*10%,
IF(V1207&lt;=70000,(V1207-55000)*15%+1500,
IF(V1207&lt;=200000,(V1207-70000)*20%+1500+2250,
IF(V1207&lt;=400000,(V1207-200000)*22.5%+1500+2250+26000,
IF(V1207&lt;=600000,(V1207-400000)*25%+1500+2250+26000+45000,
IF(AND(V1207&gt;600000,V1207&lt;=1200000),(V1207-400000)*25%+1500+2250+26000+45000
+IFERROR(LOOKUP(V1207,{600001;700001;800001;900001},{4000;6750;10250;15250}),0),IF(V1207&gt;1200000,((V1207-1200000)*27.5%)+300000,0)
)))))))</f>
        <v>0</v>
      </c>
      <c r="X1207" s="12">
        <f t="shared" si="292"/>
        <v>0</v>
      </c>
      <c r="Y1207" s="12">
        <f t="shared" si="293"/>
        <v>0</v>
      </c>
      <c r="Z1207" s="11"/>
      <c r="AA1207" s="13">
        <f t="shared" si="294"/>
        <v>0</v>
      </c>
      <c r="AB1207" s="12">
        <f t="shared" si="295"/>
        <v>0</v>
      </c>
      <c r="AC1207" s="14">
        <f t="shared" si="283"/>
        <v>0</v>
      </c>
      <c r="AE1207" s="19">
        <f t="shared" si="296"/>
        <v>0</v>
      </c>
      <c r="AF1207" s="19"/>
      <c r="AG1207" s="17"/>
      <c r="AK1207" s="7"/>
      <c r="AL1207" s="108">
        <f t="shared" si="284"/>
        <v>0</v>
      </c>
      <c r="AM1207" s="108">
        <f t="shared" si="285"/>
        <v>0</v>
      </c>
      <c r="AN1207" s="113"/>
    </row>
    <row r="1208" spans="2:40" x14ac:dyDescent="0.2">
      <c r="B1208" s="7"/>
      <c r="C1208" s="8"/>
      <c r="D1208" s="8"/>
      <c r="E1208" s="9"/>
      <c r="F1208" s="6"/>
      <c r="G1208" s="8"/>
      <c r="H1208" s="32"/>
      <c r="I1208" s="10" t="str">
        <f t="shared" si="282"/>
        <v>21</v>
      </c>
      <c r="J1208" s="11">
        <v>1</v>
      </c>
      <c r="K1208" s="11"/>
      <c r="L1208" s="11"/>
      <c r="M1208" s="11">
        <f t="shared" si="286"/>
        <v>0</v>
      </c>
      <c r="N1208" s="11"/>
      <c r="O1208" s="11">
        <f t="shared" si="287"/>
        <v>0</v>
      </c>
      <c r="P1208" s="11"/>
      <c r="Q1208" s="11"/>
      <c r="R1208" s="11"/>
      <c r="S1208" s="11">
        <f t="shared" si="288"/>
        <v>0</v>
      </c>
      <c r="T1208" s="11">
        <f t="shared" si="289"/>
        <v>1666.6666666666667</v>
      </c>
      <c r="U1208" s="11">
        <f t="shared" si="290"/>
        <v>0</v>
      </c>
      <c r="V1208" s="24">
        <f t="shared" si="291"/>
        <v>0</v>
      </c>
      <c r="W1208" s="11">
        <f>IF(V1208&lt;=40000,0,
IF(V1208&lt;=55000,(V1208-40000)*10%,
IF(V1208&lt;=70000,(V1208-55000)*15%+1500,
IF(V1208&lt;=200000,(V1208-70000)*20%+1500+2250,
IF(V1208&lt;=400000,(V1208-200000)*22.5%+1500+2250+26000,
IF(V1208&lt;=600000,(V1208-400000)*25%+1500+2250+26000+45000,
IF(AND(V1208&gt;600000,V1208&lt;=1200000),(V1208-400000)*25%+1500+2250+26000+45000
+IFERROR(LOOKUP(V1208,{600001;700001;800001;900001},{4000;6750;10250;15250}),0),IF(V1208&gt;1200000,((V1208-1200000)*27.5%)+300000,0)
)))))))</f>
        <v>0</v>
      </c>
      <c r="X1208" s="12">
        <f t="shared" si="292"/>
        <v>0</v>
      </c>
      <c r="Y1208" s="12">
        <f t="shared" si="293"/>
        <v>0</v>
      </c>
      <c r="Z1208" s="11"/>
      <c r="AA1208" s="13">
        <f t="shared" si="294"/>
        <v>0</v>
      </c>
      <c r="AB1208" s="12">
        <f t="shared" si="295"/>
        <v>0</v>
      </c>
      <c r="AC1208" s="14">
        <f t="shared" si="283"/>
        <v>0</v>
      </c>
      <c r="AE1208" s="19">
        <f t="shared" si="296"/>
        <v>0</v>
      </c>
      <c r="AF1208" s="19"/>
      <c r="AG1208" s="17"/>
      <c r="AK1208" s="7"/>
      <c r="AL1208" s="108">
        <f t="shared" si="284"/>
        <v>0</v>
      </c>
      <c r="AM1208" s="108">
        <f t="shared" si="285"/>
        <v>0</v>
      </c>
      <c r="AN1208" s="113"/>
    </row>
    <row r="1209" spans="2:40" x14ac:dyDescent="0.2">
      <c r="B1209" s="7"/>
      <c r="C1209" s="8"/>
      <c r="D1209" s="8"/>
      <c r="E1209" s="9"/>
      <c r="F1209" s="6"/>
      <c r="G1209" s="8"/>
      <c r="H1209" s="32"/>
      <c r="I1209" s="10" t="str">
        <f t="shared" si="282"/>
        <v>21</v>
      </c>
      <c r="J1209" s="11">
        <v>1</v>
      </c>
      <c r="K1209" s="11"/>
      <c r="L1209" s="11"/>
      <c r="M1209" s="11">
        <f t="shared" si="286"/>
        <v>0</v>
      </c>
      <c r="N1209" s="11"/>
      <c r="O1209" s="11">
        <f t="shared" si="287"/>
        <v>0</v>
      </c>
      <c r="P1209" s="11"/>
      <c r="Q1209" s="11"/>
      <c r="R1209" s="11"/>
      <c r="S1209" s="11">
        <f t="shared" si="288"/>
        <v>0</v>
      </c>
      <c r="T1209" s="11">
        <f t="shared" si="289"/>
        <v>1666.6666666666667</v>
      </c>
      <c r="U1209" s="11">
        <f t="shared" si="290"/>
        <v>0</v>
      </c>
      <c r="V1209" s="24">
        <f t="shared" si="291"/>
        <v>0</v>
      </c>
      <c r="W1209" s="11">
        <f>IF(V1209&lt;=40000,0,
IF(V1209&lt;=55000,(V1209-40000)*10%,
IF(V1209&lt;=70000,(V1209-55000)*15%+1500,
IF(V1209&lt;=200000,(V1209-70000)*20%+1500+2250,
IF(V1209&lt;=400000,(V1209-200000)*22.5%+1500+2250+26000,
IF(V1209&lt;=600000,(V1209-400000)*25%+1500+2250+26000+45000,
IF(AND(V1209&gt;600000,V1209&lt;=1200000),(V1209-400000)*25%+1500+2250+26000+45000
+IFERROR(LOOKUP(V1209,{600001;700001;800001;900001},{4000;6750;10250;15250}),0),IF(V1209&gt;1200000,((V1209-1200000)*27.5%)+300000,0)
)))))))</f>
        <v>0</v>
      </c>
      <c r="X1209" s="12">
        <f t="shared" si="292"/>
        <v>0</v>
      </c>
      <c r="Y1209" s="12">
        <f t="shared" si="293"/>
        <v>0</v>
      </c>
      <c r="Z1209" s="11"/>
      <c r="AA1209" s="13">
        <f t="shared" si="294"/>
        <v>0</v>
      </c>
      <c r="AB1209" s="12">
        <f t="shared" si="295"/>
        <v>0</v>
      </c>
      <c r="AC1209" s="14">
        <f t="shared" si="283"/>
        <v>0</v>
      </c>
      <c r="AE1209" s="19">
        <f t="shared" si="296"/>
        <v>0</v>
      </c>
      <c r="AF1209" s="19"/>
      <c r="AG1209" s="17"/>
      <c r="AK1209" s="7"/>
      <c r="AL1209" s="108">
        <f t="shared" si="284"/>
        <v>0</v>
      </c>
      <c r="AM1209" s="108">
        <f t="shared" si="285"/>
        <v>0</v>
      </c>
      <c r="AN1209" s="113"/>
    </row>
    <row r="1210" spans="2:40" x14ac:dyDescent="0.2">
      <c r="B1210" s="7"/>
      <c r="C1210" s="8"/>
      <c r="D1210" s="8"/>
      <c r="E1210" s="9"/>
      <c r="F1210" s="6"/>
      <c r="G1210" s="8"/>
      <c r="H1210" s="32"/>
      <c r="I1210" s="10" t="str">
        <f t="shared" si="282"/>
        <v>21</v>
      </c>
      <c r="J1210" s="11">
        <v>1</v>
      </c>
      <c r="K1210" s="11"/>
      <c r="L1210" s="11"/>
      <c r="M1210" s="11">
        <f t="shared" si="286"/>
        <v>0</v>
      </c>
      <c r="N1210" s="11"/>
      <c r="O1210" s="11">
        <f t="shared" si="287"/>
        <v>0</v>
      </c>
      <c r="P1210" s="11"/>
      <c r="Q1210" s="11"/>
      <c r="R1210" s="11"/>
      <c r="S1210" s="11">
        <f t="shared" si="288"/>
        <v>0</v>
      </c>
      <c r="T1210" s="11">
        <f t="shared" si="289"/>
        <v>1666.6666666666667</v>
      </c>
      <c r="U1210" s="11">
        <f t="shared" si="290"/>
        <v>0</v>
      </c>
      <c r="V1210" s="24">
        <f t="shared" si="291"/>
        <v>0</v>
      </c>
      <c r="W1210" s="11">
        <f>IF(V1210&lt;=40000,0,
IF(V1210&lt;=55000,(V1210-40000)*10%,
IF(V1210&lt;=70000,(V1210-55000)*15%+1500,
IF(V1210&lt;=200000,(V1210-70000)*20%+1500+2250,
IF(V1210&lt;=400000,(V1210-200000)*22.5%+1500+2250+26000,
IF(V1210&lt;=600000,(V1210-400000)*25%+1500+2250+26000+45000,
IF(AND(V1210&gt;600000,V1210&lt;=1200000),(V1210-400000)*25%+1500+2250+26000+45000
+IFERROR(LOOKUP(V1210,{600001;700001;800001;900001},{4000;6750;10250;15250}),0),IF(V1210&gt;1200000,((V1210-1200000)*27.5%)+300000,0)
)))))))</f>
        <v>0</v>
      </c>
      <c r="X1210" s="12">
        <f t="shared" si="292"/>
        <v>0</v>
      </c>
      <c r="Y1210" s="12">
        <f t="shared" si="293"/>
        <v>0</v>
      </c>
      <c r="Z1210" s="11"/>
      <c r="AA1210" s="13">
        <f t="shared" si="294"/>
        <v>0</v>
      </c>
      <c r="AB1210" s="12">
        <f t="shared" si="295"/>
        <v>0</v>
      </c>
      <c r="AC1210" s="14">
        <f t="shared" si="283"/>
        <v>0</v>
      </c>
      <c r="AE1210" s="19">
        <f t="shared" si="296"/>
        <v>0</v>
      </c>
      <c r="AF1210" s="19"/>
      <c r="AG1210" s="17"/>
      <c r="AK1210" s="7"/>
      <c r="AL1210" s="108">
        <f t="shared" si="284"/>
        <v>0</v>
      </c>
      <c r="AM1210" s="108">
        <f t="shared" si="285"/>
        <v>0</v>
      </c>
      <c r="AN1210" s="113"/>
    </row>
    <row r="1211" spans="2:40" x14ac:dyDescent="0.2">
      <c r="B1211" s="7"/>
      <c r="C1211" s="8"/>
      <c r="D1211" s="8"/>
      <c r="E1211" s="9"/>
      <c r="F1211" s="6"/>
      <c r="G1211" s="8"/>
      <c r="H1211" s="32"/>
      <c r="I1211" s="10" t="str">
        <f t="shared" si="282"/>
        <v>21</v>
      </c>
      <c r="J1211" s="11">
        <v>1</v>
      </c>
      <c r="K1211" s="11"/>
      <c r="L1211" s="11"/>
      <c r="M1211" s="11">
        <f t="shared" si="286"/>
        <v>0</v>
      </c>
      <c r="N1211" s="11"/>
      <c r="O1211" s="11">
        <f t="shared" si="287"/>
        <v>0</v>
      </c>
      <c r="P1211" s="11"/>
      <c r="Q1211" s="11"/>
      <c r="R1211" s="11"/>
      <c r="S1211" s="11">
        <f t="shared" si="288"/>
        <v>0</v>
      </c>
      <c r="T1211" s="11">
        <f t="shared" si="289"/>
        <v>1666.6666666666667</v>
      </c>
      <c r="U1211" s="11">
        <f t="shared" si="290"/>
        <v>0</v>
      </c>
      <c r="V1211" s="24">
        <f t="shared" si="291"/>
        <v>0</v>
      </c>
      <c r="W1211" s="11">
        <f>IF(V1211&lt;=40000,0,
IF(V1211&lt;=55000,(V1211-40000)*10%,
IF(V1211&lt;=70000,(V1211-55000)*15%+1500,
IF(V1211&lt;=200000,(V1211-70000)*20%+1500+2250,
IF(V1211&lt;=400000,(V1211-200000)*22.5%+1500+2250+26000,
IF(V1211&lt;=600000,(V1211-400000)*25%+1500+2250+26000+45000,
IF(AND(V1211&gt;600000,V1211&lt;=1200000),(V1211-400000)*25%+1500+2250+26000+45000
+IFERROR(LOOKUP(V1211,{600001;700001;800001;900001},{4000;6750;10250;15250}),0),IF(V1211&gt;1200000,((V1211-1200000)*27.5%)+300000,0)
)))))))</f>
        <v>0</v>
      </c>
      <c r="X1211" s="12">
        <f t="shared" si="292"/>
        <v>0</v>
      </c>
      <c r="Y1211" s="12">
        <f t="shared" si="293"/>
        <v>0</v>
      </c>
      <c r="Z1211" s="11"/>
      <c r="AA1211" s="13">
        <f t="shared" si="294"/>
        <v>0</v>
      </c>
      <c r="AB1211" s="12">
        <f t="shared" si="295"/>
        <v>0</v>
      </c>
      <c r="AC1211" s="14">
        <f t="shared" si="283"/>
        <v>0</v>
      </c>
      <c r="AE1211" s="19">
        <f t="shared" si="296"/>
        <v>0</v>
      </c>
      <c r="AF1211" s="19"/>
      <c r="AG1211" s="17"/>
      <c r="AK1211" s="7"/>
      <c r="AL1211" s="108">
        <f t="shared" si="284"/>
        <v>0</v>
      </c>
      <c r="AM1211" s="108">
        <f t="shared" si="285"/>
        <v>0</v>
      </c>
      <c r="AN1211" s="113"/>
    </row>
    <row r="1212" spans="2:40" x14ac:dyDescent="0.2">
      <c r="B1212" s="7"/>
      <c r="C1212" s="8"/>
      <c r="D1212" s="8"/>
      <c r="E1212" s="9"/>
      <c r="F1212" s="6"/>
      <c r="G1212" s="8"/>
      <c r="H1212" s="32"/>
      <c r="I1212" s="10" t="str">
        <f t="shared" si="282"/>
        <v>21</v>
      </c>
      <c r="J1212" s="11">
        <v>1</v>
      </c>
      <c r="K1212" s="11"/>
      <c r="L1212" s="11"/>
      <c r="M1212" s="11">
        <f t="shared" si="286"/>
        <v>0</v>
      </c>
      <c r="N1212" s="11"/>
      <c r="O1212" s="11">
        <f t="shared" si="287"/>
        <v>0</v>
      </c>
      <c r="P1212" s="11"/>
      <c r="Q1212" s="11"/>
      <c r="R1212" s="11"/>
      <c r="S1212" s="11">
        <f t="shared" si="288"/>
        <v>0</v>
      </c>
      <c r="T1212" s="11">
        <f t="shared" si="289"/>
        <v>1666.6666666666667</v>
      </c>
      <c r="U1212" s="11">
        <f t="shared" si="290"/>
        <v>0</v>
      </c>
      <c r="V1212" s="24">
        <f t="shared" si="291"/>
        <v>0</v>
      </c>
      <c r="W1212" s="11">
        <f>IF(V1212&lt;=40000,0,
IF(V1212&lt;=55000,(V1212-40000)*10%,
IF(V1212&lt;=70000,(V1212-55000)*15%+1500,
IF(V1212&lt;=200000,(V1212-70000)*20%+1500+2250,
IF(V1212&lt;=400000,(V1212-200000)*22.5%+1500+2250+26000,
IF(V1212&lt;=600000,(V1212-400000)*25%+1500+2250+26000+45000,
IF(AND(V1212&gt;600000,V1212&lt;=1200000),(V1212-400000)*25%+1500+2250+26000+45000
+IFERROR(LOOKUP(V1212,{600001;700001;800001;900001},{4000;6750;10250;15250}),0),IF(V1212&gt;1200000,((V1212-1200000)*27.5%)+300000,0)
)))))))</f>
        <v>0</v>
      </c>
      <c r="X1212" s="12">
        <f t="shared" si="292"/>
        <v>0</v>
      </c>
      <c r="Y1212" s="12">
        <f t="shared" si="293"/>
        <v>0</v>
      </c>
      <c r="Z1212" s="11"/>
      <c r="AA1212" s="13">
        <f t="shared" si="294"/>
        <v>0</v>
      </c>
      <c r="AB1212" s="12">
        <f t="shared" si="295"/>
        <v>0</v>
      </c>
      <c r="AC1212" s="14">
        <f t="shared" si="283"/>
        <v>0</v>
      </c>
      <c r="AE1212" s="19">
        <f t="shared" si="296"/>
        <v>0</v>
      </c>
      <c r="AF1212" s="19"/>
      <c r="AG1212" s="17"/>
      <c r="AK1212" s="7"/>
      <c r="AL1212" s="108">
        <f t="shared" si="284"/>
        <v>0</v>
      </c>
      <c r="AM1212" s="108">
        <f t="shared" si="285"/>
        <v>0</v>
      </c>
      <c r="AN1212" s="113"/>
    </row>
    <row r="1213" spans="2:40" x14ac:dyDescent="0.2">
      <c r="B1213" s="7"/>
      <c r="C1213" s="8"/>
      <c r="D1213" s="8"/>
      <c r="E1213" s="9"/>
      <c r="F1213" s="6"/>
      <c r="G1213" s="8"/>
      <c r="H1213" s="32"/>
      <c r="I1213" s="10" t="str">
        <f t="shared" si="282"/>
        <v>21</v>
      </c>
      <c r="J1213" s="11">
        <v>1</v>
      </c>
      <c r="K1213" s="11"/>
      <c r="L1213" s="11"/>
      <c r="M1213" s="11">
        <f t="shared" si="286"/>
        <v>0</v>
      </c>
      <c r="N1213" s="11"/>
      <c r="O1213" s="11">
        <f t="shared" si="287"/>
        <v>0</v>
      </c>
      <c r="P1213" s="11"/>
      <c r="Q1213" s="11"/>
      <c r="R1213" s="11"/>
      <c r="S1213" s="11">
        <f t="shared" si="288"/>
        <v>0</v>
      </c>
      <c r="T1213" s="11">
        <f t="shared" si="289"/>
        <v>1666.6666666666667</v>
      </c>
      <c r="U1213" s="11">
        <f t="shared" si="290"/>
        <v>0</v>
      </c>
      <c r="V1213" s="24">
        <f t="shared" si="291"/>
        <v>0</v>
      </c>
      <c r="W1213" s="11">
        <f>IF(V1213&lt;=40000,0,
IF(V1213&lt;=55000,(V1213-40000)*10%,
IF(V1213&lt;=70000,(V1213-55000)*15%+1500,
IF(V1213&lt;=200000,(V1213-70000)*20%+1500+2250,
IF(V1213&lt;=400000,(V1213-200000)*22.5%+1500+2250+26000,
IF(V1213&lt;=600000,(V1213-400000)*25%+1500+2250+26000+45000,
IF(AND(V1213&gt;600000,V1213&lt;=1200000),(V1213-400000)*25%+1500+2250+26000+45000
+IFERROR(LOOKUP(V1213,{600001;700001;800001;900001},{4000;6750;10250;15250}),0),IF(V1213&gt;1200000,((V1213-1200000)*27.5%)+300000,0)
)))))))</f>
        <v>0</v>
      </c>
      <c r="X1213" s="12">
        <f t="shared" si="292"/>
        <v>0</v>
      </c>
      <c r="Y1213" s="12">
        <f t="shared" si="293"/>
        <v>0</v>
      </c>
      <c r="Z1213" s="11"/>
      <c r="AA1213" s="13">
        <f t="shared" si="294"/>
        <v>0</v>
      </c>
      <c r="AB1213" s="12">
        <f t="shared" si="295"/>
        <v>0</v>
      </c>
      <c r="AC1213" s="14">
        <f t="shared" si="283"/>
        <v>0</v>
      </c>
      <c r="AE1213" s="19">
        <f t="shared" si="296"/>
        <v>0</v>
      </c>
      <c r="AF1213" s="19"/>
      <c r="AG1213" s="17"/>
      <c r="AK1213" s="7"/>
      <c r="AL1213" s="108">
        <f t="shared" si="284"/>
        <v>0</v>
      </c>
      <c r="AM1213" s="108">
        <f t="shared" si="285"/>
        <v>0</v>
      </c>
      <c r="AN1213" s="113"/>
    </row>
    <row r="1214" spans="2:40" x14ac:dyDescent="0.2">
      <c r="B1214" s="7"/>
      <c r="C1214" s="8"/>
      <c r="D1214" s="8"/>
      <c r="E1214" s="9"/>
      <c r="F1214" s="6"/>
      <c r="G1214" s="8"/>
      <c r="H1214" s="32"/>
      <c r="I1214" s="10" t="str">
        <f t="shared" si="282"/>
        <v>21</v>
      </c>
      <c r="J1214" s="11">
        <v>1</v>
      </c>
      <c r="K1214" s="11"/>
      <c r="L1214" s="11"/>
      <c r="M1214" s="11">
        <f t="shared" si="286"/>
        <v>0</v>
      </c>
      <c r="N1214" s="11"/>
      <c r="O1214" s="11">
        <f t="shared" si="287"/>
        <v>0</v>
      </c>
      <c r="P1214" s="11"/>
      <c r="Q1214" s="11"/>
      <c r="R1214" s="11"/>
      <c r="S1214" s="11">
        <f t="shared" si="288"/>
        <v>0</v>
      </c>
      <c r="T1214" s="11">
        <f t="shared" si="289"/>
        <v>1666.6666666666667</v>
      </c>
      <c r="U1214" s="11">
        <f t="shared" si="290"/>
        <v>0</v>
      </c>
      <c r="V1214" s="24">
        <f t="shared" si="291"/>
        <v>0</v>
      </c>
      <c r="W1214" s="11">
        <f>IF(V1214&lt;=40000,0,
IF(V1214&lt;=55000,(V1214-40000)*10%,
IF(V1214&lt;=70000,(V1214-55000)*15%+1500,
IF(V1214&lt;=200000,(V1214-70000)*20%+1500+2250,
IF(V1214&lt;=400000,(V1214-200000)*22.5%+1500+2250+26000,
IF(V1214&lt;=600000,(V1214-400000)*25%+1500+2250+26000+45000,
IF(AND(V1214&gt;600000,V1214&lt;=1200000),(V1214-400000)*25%+1500+2250+26000+45000
+IFERROR(LOOKUP(V1214,{600001;700001;800001;900001},{4000;6750;10250;15250}),0),IF(V1214&gt;1200000,((V1214-1200000)*27.5%)+300000,0)
)))))))</f>
        <v>0</v>
      </c>
      <c r="X1214" s="12">
        <f t="shared" si="292"/>
        <v>0</v>
      </c>
      <c r="Y1214" s="12">
        <f t="shared" si="293"/>
        <v>0</v>
      </c>
      <c r="Z1214" s="11"/>
      <c r="AA1214" s="13">
        <f t="shared" si="294"/>
        <v>0</v>
      </c>
      <c r="AB1214" s="12">
        <f t="shared" si="295"/>
        <v>0</v>
      </c>
      <c r="AC1214" s="14">
        <f t="shared" si="283"/>
        <v>0</v>
      </c>
      <c r="AE1214" s="19">
        <f t="shared" si="296"/>
        <v>0</v>
      </c>
      <c r="AF1214" s="19"/>
      <c r="AG1214" s="17"/>
      <c r="AK1214" s="7"/>
      <c r="AL1214" s="108">
        <f t="shared" si="284"/>
        <v>0</v>
      </c>
      <c r="AM1214" s="108">
        <f t="shared" si="285"/>
        <v>0</v>
      </c>
      <c r="AN1214" s="113"/>
    </row>
    <row r="1215" spans="2:40" x14ac:dyDescent="0.2">
      <c r="B1215" s="7"/>
      <c r="C1215" s="8"/>
      <c r="D1215" s="8"/>
      <c r="E1215" s="9"/>
      <c r="F1215" s="6"/>
      <c r="G1215" s="8"/>
      <c r="H1215" s="32"/>
      <c r="I1215" s="10" t="str">
        <f t="shared" si="282"/>
        <v>21</v>
      </c>
      <c r="J1215" s="11">
        <v>1</v>
      </c>
      <c r="K1215" s="11"/>
      <c r="L1215" s="11"/>
      <c r="M1215" s="11">
        <f t="shared" si="286"/>
        <v>0</v>
      </c>
      <c r="N1215" s="11"/>
      <c r="O1215" s="11">
        <f t="shared" si="287"/>
        <v>0</v>
      </c>
      <c r="P1215" s="11"/>
      <c r="Q1215" s="11"/>
      <c r="R1215" s="11"/>
      <c r="S1215" s="11">
        <f t="shared" si="288"/>
        <v>0</v>
      </c>
      <c r="T1215" s="11">
        <f t="shared" si="289"/>
        <v>1666.6666666666667</v>
      </c>
      <c r="U1215" s="11">
        <f t="shared" si="290"/>
        <v>0</v>
      </c>
      <c r="V1215" s="24">
        <f t="shared" si="291"/>
        <v>0</v>
      </c>
      <c r="W1215" s="11">
        <f>IF(V1215&lt;=40000,0,
IF(V1215&lt;=55000,(V1215-40000)*10%,
IF(V1215&lt;=70000,(V1215-55000)*15%+1500,
IF(V1215&lt;=200000,(V1215-70000)*20%+1500+2250,
IF(V1215&lt;=400000,(V1215-200000)*22.5%+1500+2250+26000,
IF(V1215&lt;=600000,(V1215-400000)*25%+1500+2250+26000+45000,
IF(AND(V1215&gt;600000,V1215&lt;=1200000),(V1215-400000)*25%+1500+2250+26000+45000
+IFERROR(LOOKUP(V1215,{600001;700001;800001;900001},{4000;6750;10250;15250}),0),IF(V1215&gt;1200000,((V1215-1200000)*27.5%)+300000,0)
)))))))</f>
        <v>0</v>
      </c>
      <c r="X1215" s="12">
        <f t="shared" si="292"/>
        <v>0</v>
      </c>
      <c r="Y1215" s="12">
        <f t="shared" si="293"/>
        <v>0</v>
      </c>
      <c r="Z1215" s="11"/>
      <c r="AA1215" s="13">
        <f t="shared" si="294"/>
        <v>0</v>
      </c>
      <c r="AB1215" s="12">
        <f t="shared" si="295"/>
        <v>0</v>
      </c>
      <c r="AC1215" s="14">
        <f t="shared" si="283"/>
        <v>0</v>
      </c>
      <c r="AE1215" s="19">
        <f t="shared" si="296"/>
        <v>0</v>
      </c>
      <c r="AF1215" s="19"/>
      <c r="AG1215" s="17"/>
      <c r="AK1215" s="7"/>
      <c r="AL1215" s="108">
        <f t="shared" si="284"/>
        <v>0</v>
      </c>
      <c r="AM1215" s="108">
        <f t="shared" si="285"/>
        <v>0</v>
      </c>
      <c r="AN1215" s="113"/>
    </row>
    <row r="1216" spans="2:40" x14ac:dyDescent="0.2">
      <c r="B1216" s="7"/>
      <c r="C1216" s="8"/>
      <c r="D1216" s="8"/>
      <c r="E1216" s="9"/>
      <c r="F1216" s="6"/>
      <c r="G1216" s="8"/>
      <c r="H1216" s="32"/>
      <c r="I1216" s="10" t="str">
        <f t="shared" si="282"/>
        <v>21</v>
      </c>
      <c r="J1216" s="11">
        <v>1</v>
      </c>
      <c r="K1216" s="11"/>
      <c r="L1216" s="11"/>
      <c r="M1216" s="11">
        <f t="shared" si="286"/>
        <v>0</v>
      </c>
      <c r="N1216" s="11"/>
      <c r="O1216" s="11">
        <f t="shared" si="287"/>
        <v>0</v>
      </c>
      <c r="P1216" s="11"/>
      <c r="Q1216" s="11"/>
      <c r="R1216" s="11"/>
      <c r="S1216" s="11">
        <f t="shared" si="288"/>
        <v>0</v>
      </c>
      <c r="T1216" s="11">
        <f t="shared" si="289"/>
        <v>1666.6666666666667</v>
      </c>
      <c r="U1216" s="11">
        <f t="shared" si="290"/>
        <v>0</v>
      </c>
      <c r="V1216" s="24">
        <f t="shared" si="291"/>
        <v>0</v>
      </c>
      <c r="W1216" s="11">
        <f>IF(V1216&lt;=40000,0,
IF(V1216&lt;=55000,(V1216-40000)*10%,
IF(V1216&lt;=70000,(V1216-55000)*15%+1500,
IF(V1216&lt;=200000,(V1216-70000)*20%+1500+2250,
IF(V1216&lt;=400000,(V1216-200000)*22.5%+1500+2250+26000,
IF(V1216&lt;=600000,(V1216-400000)*25%+1500+2250+26000+45000,
IF(AND(V1216&gt;600000,V1216&lt;=1200000),(V1216-400000)*25%+1500+2250+26000+45000
+IFERROR(LOOKUP(V1216,{600001;700001;800001;900001},{4000;6750;10250;15250}),0),IF(V1216&gt;1200000,((V1216-1200000)*27.5%)+300000,0)
)))))))</f>
        <v>0</v>
      </c>
      <c r="X1216" s="12">
        <f t="shared" si="292"/>
        <v>0</v>
      </c>
      <c r="Y1216" s="12">
        <f t="shared" si="293"/>
        <v>0</v>
      </c>
      <c r="Z1216" s="11"/>
      <c r="AA1216" s="13">
        <f t="shared" si="294"/>
        <v>0</v>
      </c>
      <c r="AB1216" s="12">
        <f t="shared" si="295"/>
        <v>0</v>
      </c>
      <c r="AC1216" s="14">
        <f t="shared" si="283"/>
        <v>0</v>
      </c>
      <c r="AE1216" s="19">
        <f t="shared" si="296"/>
        <v>0</v>
      </c>
      <c r="AF1216" s="19"/>
      <c r="AG1216" s="17"/>
      <c r="AK1216" s="7"/>
      <c r="AL1216" s="108">
        <f t="shared" si="284"/>
        <v>0</v>
      </c>
      <c r="AM1216" s="108">
        <f t="shared" si="285"/>
        <v>0</v>
      </c>
      <c r="AN1216" s="113"/>
    </row>
    <row r="1217" spans="2:40" x14ac:dyDescent="0.2">
      <c r="B1217" s="7"/>
      <c r="C1217" s="8"/>
      <c r="D1217" s="8"/>
      <c r="E1217" s="9"/>
      <c r="F1217" s="6"/>
      <c r="G1217" s="8"/>
      <c r="H1217" s="32"/>
      <c r="I1217" s="10" t="str">
        <f t="shared" si="282"/>
        <v>21</v>
      </c>
      <c r="J1217" s="11">
        <v>1</v>
      </c>
      <c r="K1217" s="11"/>
      <c r="L1217" s="11"/>
      <c r="M1217" s="11">
        <f t="shared" si="286"/>
        <v>0</v>
      </c>
      <c r="N1217" s="11"/>
      <c r="O1217" s="11">
        <f t="shared" si="287"/>
        <v>0</v>
      </c>
      <c r="P1217" s="11"/>
      <c r="Q1217" s="11"/>
      <c r="R1217" s="11"/>
      <c r="S1217" s="11">
        <f t="shared" si="288"/>
        <v>0</v>
      </c>
      <c r="T1217" s="11">
        <f t="shared" si="289"/>
        <v>1666.6666666666667</v>
      </c>
      <c r="U1217" s="11">
        <f t="shared" si="290"/>
        <v>0</v>
      </c>
      <c r="V1217" s="24">
        <f t="shared" si="291"/>
        <v>0</v>
      </c>
      <c r="W1217" s="11">
        <f>IF(V1217&lt;=40000,0,
IF(V1217&lt;=55000,(V1217-40000)*10%,
IF(V1217&lt;=70000,(V1217-55000)*15%+1500,
IF(V1217&lt;=200000,(V1217-70000)*20%+1500+2250,
IF(V1217&lt;=400000,(V1217-200000)*22.5%+1500+2250+26000,
IF(V1217&lt;=600000,(V1217-400000)*25%+1500+2250+26000+45000,
IF(AND(V1217&gt;600000,V1217&lt;=1200000),(V1217-400000)*25%+1500+2250+26000+45000
+IFERROR(LOOKUP(V1217,{600001;700001;800001;900001},{4000;6750;10250;15250}),0),IF(V1217&gt;1200000,((V1217-1200000)*27.5%)+300000,0)
)))))))</f>
        <v>0</v>
      </c>
      <c r="X1217" s="12">
        <f t="shared" si="292"/>
        <v>0</v>
      </c>
      <c r="Y1217" s="12">
        <f t="shared" si="293"/>
        <v>0</v>
      </c>
      <c r="Z1217" s="11"/>
      <c r="AA1217" s="13">
        <f t="shared" si="294"/>
        <v>0</v>
      </c>
      <c r="AB1217" s="12">
        <f t="shared" si="295"/>
        <v>0</v>
      </c>
      <c r="AC1217" s="14">
        <f t="shared" si="283"/>
        <v>0</v>
      </c>
      <c r="AE1217" s="19">
        <f t="shared" si="296"/>
        <v>0</v>
      </c>
      <c r="AF1217" s="19"/>
      <c r="AG1217" s="17"/>
      <c r="AK1217" s="7"/>
      <c r="AL1217" s="108">
        <f t="shared" si="284"/>
        <v>0</v>
      </c>
      <c r="AM1217" s="108">
        <f t="shared" si="285"/>
        <v>0</v>
      </c>
      <c r="AN1217" s="113"/>
    </row>
    <row r="1218" spans="2:40" x14ac:dyDescent="0.2">
      <c r="B1218" s="7"/>
      <c r="C1218" s="8"/>
      <c r="D1218" s="8"/>
      <c r="E1218" s="9"/>
      <c r="F1218" s="6"/>
      <c r="G1218" s="8"/>
      <c r="H1218" s="32"/>
      <c r="I1218" s="10" t="str">
        <f t="shared" si="282"/>
        <v>21</v>
      </c>
      <c r="J1218" s="11">
        <v>1</v>
      </c>
      <c r="K1218" s="11"/>
      <c r="L1218" s="11"/>
      <c r="M1218" s="11">
        <f t="shared" si="286"/>
        <v>0</v>
      </c>
      <c r="N1218" s="11"/>
      <c r="O1218" s="11">
        <f t="shared" si="287"/>
        <v>0</v>
      </c>
      <c r="P1218" s="11"/>
      <c r="Q1218" s="11"/>
      <c r="R1218" s="11"/>
      <c r="S1218" s="11">
        <f t="shared" si="288"/>
        <v>0</v>
      </c>
      <c r="T1218" s="11">
        <f t="shared" si="289"/>
        <v>1666.6666666666667</v>
      </c>
      <c r="U1218" s="11">
        <f t="shared" si="290"/>
        <v>0</v>
      </c>
      <c r="V1218" s="24">
        <f t="shared" si="291"/>
        <v>0</v>
      </c>
      <c r="W1218" s="11">
        <f>IF(V1218&lt;=40000,0,
IF(V1218&lt;=55000,(V1218-40000)*10%,
IF(V1218&lt;=70000,(V1218-55000)*15%+1500,
IF(V1218&lt;=200000,(V1218-70000)*20%+1500+2250,
IF(V1218&lt;=400000,(V1218-200000)*22.5%+1500+2250+26000,
IF(V1218&lt;=600000,(V1218-400000)*25%+1500+2250+26000+45000,
IF(AND(V1218&gt;600000,V1218&lt;=1200000),(V1218-400000)*25%+1500+2250+26000+45000
+IFERROR(LOOKUP(V1218,{600001;700001;800001;900001},{4000;6750;10250;15250}),0),IF(V1218&gt;1200000,((V1218-1200000)*27.5%)+300000,0)
)))))))</f>
        <v>0</v>
      </c>
      <c r="X1218" s="12">
        <f t="shared" si="292"/>
        <v>0</v>
      </c>
      <c r="Y1218" s="12">
        <f t="shared" si="293"/>
        <v>0</v>
      </c>
      <c r="Z1218" s="11"/>
      <c r="AA1218" s="13">
        <f t="shared" si="294"/>
        <v>0</v>
      </c>
      <c r="AB1218" s="12">
        <f t="shared" si="295"/>
        <v>0</v>
      </c>
      <c r="AC1218" s="14">
        <f t="shared" si="283"/>
        <v>0</v>
      </c>
      <c r="AE1218" s="19">
        <f t="shared" si="296"/>
        <v>0</v>
      </c>
      <c r="AF1218" s="19"/>
      <c r="AG1218" s="17"/>
      <c r="AK1218" s="7"/>
      <c r="AL1218" s="108">
        <f t="shared" si="284"/>
        <v>0</v>
      </c>
      <c r="AM1218" s="108">
        <f t="shared" si="285"/>
        <v>0</v>
      </c>
      <c r="AN1218" s="113"/>
    </row>
    <row r="1219" spans="2:40" x14ac:dyDescent="0.2">
      <c r="B1219" s="7"/>
      <c r="C1219" s="8"/>
      <c r="D1219" s="8"/>
      <c r="E1219" s="9"/>
      <c r="F1219" s="6"/>
      <c r="G1219" s="8"/>
      <c r="H1219" s="32"/>
      <c r="I1219" s="10" t="str">
        <f t="shared" si="282"/>
        <v>21</v>
      </c>
      <c r="J1219" s="11">
        <v>1</v>
      </c>
      <c r="K1219" s="11"/>
      <c r="L1219" s="11"/>
      <c r="M1219" s="11">
        <f t="shared" si="286"/>
        <v>0</v>
      </c>
      <c r="N1219" s="11"/>
      <c r="O1219" s="11">
        <f t="shared" si="287"/>
        <v>0</v>
      </c>
      <c r="P1219" s="11"/>
      <c r="Q1219" s="11"/>
      <c r="R1219" s="11"/>
      <c r="S1219" s="11">
        <f t="shared" si="288"/>
        <v>0</v>
      </c>
      <c r="T1219" s="11">
        <f t="shared" si="289"/>
        <v>1666.6666666666667</v>
      </c>
      <c r="U1219" s="11">
        <f t="shared" si="290"/>
        <v>0</v>
      </c>
      <c r="V1219" s="24">
        <f t="shared" si="291"/>
        <v>0</v>
      </c>
      <c r="W1219" s="11">
        <f>IF(V1219&lt;=40000,0,
IF(V1219&lt;=55000,(V1219-40000)*10%,
IF(V1219&lt;=70000,(V1219-55000)*15%+1500,
IF(V1219&lt;=200000,(V1219-70000)*20%+1500+2250,
IF(V1219&lt;=400000,(V1219-200000)*22.5%+1500+2250+26000,
IF(V1219&lt;=600000,(V1219-400000)*25%+1500+2250+26000+45000,
IF(AND(V1219&gt;600000,V1219&lt;=1200000),(V1219-400000)*25%+1500+2250+26000+45000
+IFERROR(LOOKUP(V1219,{600001;700001;800001;900001},{4000;6750;10250;15250}),0),IF(V1219&gt;1200000,((V1219-1200000)*27.5%)+300000,0)
)))))))</f>
        <v>0</v>
      </c>
      <c r="X1219" s="12">
        <f t="shared" si="292"/>
        <v>0</v>
      </c>
      <c r="Y1219" s="12">
        <f t="shared" si="293"/>
        <v>0</v>
      </c>
      <c r="Z1219" s="11"/>
      <c r="AA1219" s="13">
        <f t="shared" si="294"/>
        <v>0</v>
      </c>
      <c r="AB1219" s="12">
        <f t="shared" si="295"/>
        <v>0</v>
      </c>
      <c r="AC1219" s="14">
        <f t="shared" si="283"/>
        <v>0</v>
      </c>
      <c r="AE1219" s="19">
        <f t="shared" si="296"/>
        <v>0</v>
      </c>
      <c r="AF1219" s="19"/>
      <c r="AG1219" s="17"/>
      <c r="AK1219" s="7"/>
      <c r="AL1219" s="108">
        <f t="shared" si="284"/>
        <v>0</v>
      </c>
      <c r="AM1219" s="108">
        <f t="shared" si="285"/>
        <v>0</v>
      </c>
      <c r="AN1219" s="113"/>
    </row>
    <row r="1220" spans="2:40" x14ac:dyDescent="0.2">
      <c r="B1220" s="7"/>
      <c r="C1220" s="8"/>
      <c r="D1220" s="8"/>
      <c r="E1220" s="9"/>
      <c r="F1220" s="6"/>
      <c r="G1220" s="8"/>
      <c r="H1220" s="32"/>
      <c r="I1220" s="10" t="str">
        <f t="shared" si="282"/>
        <v>21</v>
      </c>
      <c r="J1220" s="11">
        <v>1</v>
      </c>
      <c r="K1220" s="11"/>
      <c r="L1220" s="11"/>
      <c r="M1220" s="11">
        <f t="shared" si="286"/>
        <v>0</v>
      </c>
      <c r="N1220" s="11"/>
      <c r="O1220" s="11">
        <f t="shared" si="287"/>
        <v>0</v>
      </c>
      <c r="P1220" s="11"/>
      <c r="Q1220" s="11"/>
      <c r="R1220" s="11"/>
      <c r="S1220" s="11">
        <f t="shared" si="288"/>
        <v>0</v>
      </c>
      <c r="T1220" s="11">
        <f t="shared" si="289"/>
        <v>1666.6666666666667</v>
      </c>
      <c r="U1220" s="11">
        <f t="shared" si="290"/>
        <v>0</v>
      </c>
      <c r="V1220" s="24">
        <f t="shared" si="291"/>
        <v>0</v>
      </c>
      <c r="W1220" s="11">
        <f>IF(V1220&lt;=40000,0,
IF(V1220&lt;=55000,(V1220-40000)*10%,
IF(V1220&lt;=70000,(V1220-55000)*15%+1500,
IF(V1220&lt;=200000,(V1220-70000)*20%+1500+2250,
IF(V1220&lt;=400000,(V1220-200000)*22.5%+1500+2250+26000,
IF(V1220&lt;=600000,(V1220-400000)*25%+1500+2250+26000+45000,
IF(AND(V1220&gt;600000,V1220&lt;=1200000),(V1220-400000)*25%+1500+2250+26000+45000
+IFERROR(LOOKUP(V1220,{600001;700001;800001;900001},{4000;6750;10250;15250}),0),IF(V1220&gt;1200000,((V1220-1200000)*27.5%)+300000,0)
)))))))</f>
        <v>0</v>
      </c>
      <c r="X1220" s="12">
        <f t="shared" si="292"/>
        <v>0</v>
      </c>
      <c r="Y1220" s="12">
        <f t="shared" si="293"/>
        <v>0</v>
      </c>
      <c r="Z1220" s="11"/>
      <c r="AA1220" s="13">
        <f t="shared" si="294"/>
        <v>0</v>
      </c>
      <c r="AB1220" s="12">
        <f t="shared" si="295"/>
        <v>0</v>
      </c>
      <c r="AC1220" s="14">
        <f t="shared" si="283"/>
        <v>0</v>
      </c>
      <c r="AE1220" s="19">
        <f t="shared" si="296"/>
        <v>0</v>
      </c>
      <c r="AF1220" s="19"/>
      <c r="AG1220" s="17"/>
      <c r="AK1220" s="7"/>
      <c r="AL1220" s="108">
        <f t="shared" si="284"/>
        <v>0</v>
      </c>
      <c r="AM1220" s="108">
        <f t="shared" si="285"/>
        <v>0</v>
      </c>
      <c r="AN1220" s="113"/>
    </row>
    <row r="1221" spans="2:40" x14ac:dyDescent="0.2">
      <c r="B1221" s="7"/>
      <c r="C1221" s="8"/>
      <c r="D1221" s="8"/>
      <c r="E1221" s="9"/>
      <c r="F1221" s="6"/>
      <c r="G1221" s="8"/>
      <c r="H1221" s="32"/>
      <c r="I1221" s="10" t="str">
        <f t="shared" ref="I1221:I1284" si="297">IF(G1221&gt;0,"1","21")</f>
        <v>21</v>
      </c>
      <c r="J1221" s="11">
        <v>1</v>
      </c>
      <c r="K1221" s="11"/>
      <c r="L1221" s="11"/>
      <c r="M1221" s="11">
        <f t="shared" si="286"/>
        <v>0</v>
      </c>
      <c r="N1221" s="11"/>
      <c r="O1221" s="11">
        <f t="shared" si="287"/>
        <v>0</v>
      </c>
      <c r="P1221" s="11"/>
      <c r="Q1221" s="11"/>
      <c r="R1221" s="11"/>
      <c r="S1221" s="11">
        <f t="shared" si="288"/>
        <v>0</v>
      </c>
      <c r="T1221" s="11">
        <f t="shared" si="289"/>
        <v>1666.6666666666667</v>
      </c>
      <c r="U1221" s="11">
        <f t="shared" si="290"/>
        <v>0</v>
      </c>
      <c r="V1221" s="24">
        <f t="shared" si="291"/>
        <v>0</v>
      </c>
      <c r="W1221" s="11">
        <f>IF(V1221&lt;=40000,0,
IF(V1221&lt;=55000,(V1221-40000)*10%,
IF(V1221&lt;=70000,(V1221-55000)*15%+1500,
IF(V1221&lt;=200000,(V1221-70000)*20%+1500+2250,
IF(V1221&lt;=400000,(V1221-200000)*22.5%+1500+2250+26000,
IF(V1221&lt;=600000,(V1221-400000)*25%+1500+2250+26000+45000,
IF(AND(V1221&gt;600000,V1221&lt;=1200000),(V1221-400000)*25%+1500+2250+26000+45000
+IFERROR(LOOKUP(V1221,{600001;700001;800001;900001},{4000;6750;10250;15250}),0),IF(V1221&gt;1200000,((V1221-1200000)*27.5%)+300000,0)
)))))))</f>
        <v>0</v>
      </c>
      <c r="X1221" s="12">
        <f t="shared" si="292"/>
        <v>0</v>
      </c>
      <c r="Y1221" s="12">
        <f t="shared" si="293"/>
        <v>0</v>
      </c>
      <c r="Z1221" s="11"/>
      <c r="AA1221" s="13">
        <f t="shared" si="294"/>
        <v>0</v>
      </c>
      <c r="AB1221" s="12">
        <f t="shared" si="295"/>
        <v>0</v>
      </c>
      <c r="AC1221" s="14">
        <f t="shared" ref="AC1221:AC1284" si="298">+M1221-P1221-Y1221</f>
        <v>0</v>
      </c>
      <c r="AE1221" s="19">
        <f t="shared" si="296"/>
        <v>0</v>
      </c>
      <c r="AF1221" s="19"/>
      <c r="AG1221" s="17"/>
      <c r="AK1221" s="7"/>
      <c r="AL1221" s="108">
        <f t="shared" ref="AL1221:AL1284" si="299">+AK1221+AD1221</f>
        <v>0</v>
      </c>
      <c r="AM1221" s="108">
        <f t="shared" ref="AM1221:AM1284" si="300">+AL1221-AC1221</f>
        <v>0</v>
      </c>
      <c r="AN1221" s="113"/>
    </row>
    <row r="1222" spans="2:40" x14ac:dyDescent="0.2">
      <c r="B1222" s="7"/>
      <c r="C1222" s="8"/>
      <c r="D1222" s="8"/>
      <c r="E1222" s="9"/>
      <c r="F1222" s="6"/>
      <c r="G1222" s="8"/>
      <c r="H1222" s="32"/>
      <c r="I1222" s="10" t="str">
        <f t="shared" si="297"/>
        <v>21</v>
      </c>
      <c r="J1222" s="11">
        <v>1</v>
      </c>
      <c r="K1222" s="11"/>
      <c r="L1222" s="11"/>
      <c r="M1222" s="11">
        <f t="shared" si="286"/>
        <v>0</v>
      </c>
      <c r="N1222" s="11"/>
      <c r="O1222" s="11">
        <f t="shared" si="287"/>
        <v>0</v>
      </c>
      <c r="P1222" s="11"/>
      <c r="Q1222" s="11"/>
      <c r="R1222" s="11"/>
      <c r="S1222" s="11">
        <f t="shared" si="288"/>
        <v>0</v>
      </c>
      <c r="T1222" s="11">
        <f t="shared" si="289"/>
        <v>1666.6666666666667</v>
      </c>
      <c r="U1222" s="11">
        <f t="shared" si="290"/>
        <v>0</v>
      </c>
      <c r="V1222" s="24">
        <f t="shared" si="291"/>
        <v>0</v>
      </c>
      <c r="W1222" s="11">
        <f>IF(V1222&lt;=40000,0,
IF(V1222&lt;=55000,(V1222-40000)*10%,
IF(V1222&lt;=70000,(V1222-55000)*15%+1500,
IF(V1222&lt;=200000,(V1222-70000)*20%+1500+2250,
IF(V1222&lt;=400000,(V1222-200000)*22.5%+1500+2250+26000,
IF(V1222&lt;=600000,(V1222-400000)*25%+1500+2250+26000+45000,
IF(AND(V1222&gt;600000,V1222&lt;=1200000),(V1222-400000)*25%+1500+2250+26000+45000
+IFERROR(LOOKUP(V1222,{600001;700001;800001;900001},{4000;6750;10250;15250}),0),IF(V1222&gt;1200000,((V1222-1200000)*27.5%)+300000,0)
)))))))</f>
        <v>0</v>
      </c>
      <c r="X1222" s="12">
        <f t="shared" si="292"/>
        <v>0</v>
      </c>
      <c r="Y1222" s="12">
        <f t="shared" si="293"/>
        <v>0</v>
      </c>
      <c r="Z1222" s="11"/>
      <c r="AA1222" s="13">
        <f t="shared" si="294"/>
        <v>0</v>
      </c>
      <c r="AB1222" s="12">
        <f t="shared" si="295"/>
        <v>0</v>
      </c>
      <c r="AC1222" s="14">
        <f t="shared" si="298"/>
        <v>0</v>
      </c>
      <c r="AE1222" s="19">
        <f t="shared" si="296"/>
        <v>0</v>
      </c>
      <c r="AF1222" s="19"/>
      <c r="AG1222" s="17"/>
      <c r="AK1222" s="7"/>
      <c r="AL1222" s="108">
        <f t="shared" si="299"/>
        <v>0</v>
      </c>
      <c r="AM1222" s="108">
        <f t="shared" si="300"/>
        <v>0</v>
      </c>
      <c r="AN1222" s="113"/>
    </row>
    <row r="1223" spans="2:40" x14ac:dyDescent="0.2">
      <c r="B1223" s="7"/>
      <c r="C1223" s="8"/>
      <c r="D1223" s="8"/>
      <c r="E1223" s="9"/>
      <c r="F1223" s="6"/>
      <c r="G1223" s="8"/>
      <c r="H1223" s="32"/>
      <c r="I1223" s="10" t="str">
        <f t="shared" si="297"/>
        <v>21</v>
      </c>
      <c r="J1223" s="11">
        <v>1</v>
      </c>
      <c r="K1223" s="11"/>
      <c r="L1223" s="11"/>
      <c r="M1223" s="11">
        <f t="shared" si="286"/>
        <v>0</v>
      </c>
      <c r="N1223" s="11"/>
      <c r="O1223" s="11">
        <f t="shared" si="287"/>
        <v>0</v>
      </c>
      <c r="P1223" s="11"/>
      <c r="Q1223" s="11"/>
      <c r="R1223" s="11"/>
      <c r="S1223" s="11">
        <f t="shared" si="288"/>
        <v>0</v>
      </c>
      <c r="T1223" s="11">
        <f t="shared" si="289"/>
        <v>1666.6666666666667</v>
      </c>
      <c r="U1223" s="11">
        <f t="shared" si="290"/>
        <v>0</v>
      </c>
      <c r="V1223" s="24">
        <f t="shared" si="291"/>
        <v>0</v>
      </c>
      <c r="W1223" s="11">
        <f>IF(V1223&lt;=40000,0,
IF(V1223&lt;=55000,(V1223-40000)*10%,
IF(V1223&lt;=70000,(V1223-55000)*15%+1500,
IF(V1223&lt;=200000,(V1223-70000)*20%+1500+2250,
IF(V1223&lt;=400000,(V1223-200000)*22.5%+1500+2250+26000,
IF(V1223&lt;=600000,(V1223-400000)*25%+1500+2250+26000+45000,
IF(AND(V1223&gt;600000,V1223&lt;=1200000),(V1223-400000)*25%+1500+2250+26000+45000
+IFERROR(LOOKUP(V1223,{600001;700001;800001;900001},{4000;6750;10250;15250}),0),IF(V1223&gt;1200000,((V1223-1200000)*27.5%)+300000,0)
)))))))</f>
        <v>0</v>
      </c>
      <c r="X1223" s="12">
        <f t="shared" si="292"/>
        <v>0</v>
      </c>
      <c r="Y1223" s="12">
        <f t="shared" si="293"/>
        <v>0</v>
      </c>
      <c r="Z1223" s="11"/>
      <c r="AA1223" s="13">
        <f t="shared" si="294"/>
        <v>0</v>
      </c>
      <c r="AB1223" s="12">
        <f t="shared" si="295"/>
        <v>0</v>
      </c>
      <c r="AC1223" s="14">
        <f t="shared" si="298"/>
        <v>0</v>
      </c>
      <c r="AE1223" s="19">
        <f t="shared" si="296"/>
        <v>0</v>
      </c>
      <c r="AF1223" s="19"/>
      <c r="AG1223" s="17"/>
      <c r="AK1223" s="7"/>
      <c r="AL1223" s="108">
        <f t="shared" si="299"/>
        <v>0</v>
      </c>
      <c r="AM1223" s="108">
        <f t="shared" si="300"/>
        <v>0</v>
      </c>
      <c r="AN1223" s="113"/>
    </row>
    <row r="1224" spans="2:40" x14ac:dyDescent="0.2">
      <c r="B1224" s="7"/>
      <c r="C1224" s="8"/>
      <c r="D1224" s="8"/>
      <c r="E1224" s="9"/>
      <c r="F1224" s="6"/>
      <c r="G1224" s="8"/>
      <c r="H1224" s="32"/>
      <c r="I1224" s="10" t="str">
        <f t="shared" si="297"/>
        <v>21</v>
      </c>
      <c r="J1224" s="11">
        <v>1</v>
      </c>
      <c r="K1224" s="11"/>
      <c r="L1224" s="11"/>
      <c r="M1224" s="11">
        <f t="shared" si="286"/>
        <v>0</v>
      </c>
      <c r="N1224" s="11"/>
      <c r="O1224" s="11">
        <f t="shared" si="287"/>
        <v>0</v>
      </c>
      <c r="P1224" s="11"/>
      <c r="Q1224" s="11"/>
      <c r="R1224" s="11"/>
      <c r="S1224" s="11">
        <f t="shared" si="288"/>
        <v>0</v>
      </c>
      <c r="T1224" s="11">
        <f t="shared" si="289"/>
        <v>1666.6666666666667</v>
      </c>
      <c r="U1224" s="11">
        <f t="shared" si="290"/>
        <v>0</v>
      </c>
      <c r="V1224" s="24">
        <f t="shared" si="291"/>
        <v>0</v>
      </c>
      <c r="W1224" s="11">
        <f>IF(V1224&lt;=40000,0,
IF(V1224&lt;=55000,(V1224-40000)*10%,
IF(V1224&lt;=70000,(V1224-55000)*15%+1500,
IF(V1224&lt;=200000,(V1224-70000)*20%+1500+2250,
IF(V1224&lt;=400000,(V1224-200000)*22.5%+1500+2250+26000,
IF(V1224&lt;=600000,(V1224-400000)*25%+1500+2250+26000+45000,
IF(AND(V1224&gt;600000,V1224&lt;=1200000),(V1224-400000)*25%+1500+2250+26000+45000
+IFERROR(LOOKUP(V1224,{600001;700001;800001;900001},{4000;6750;10250;15250}),0),IF(V1224&gt;1200000,((V1224-1200000)*27.5%)+300000,0)
)))))))</f>
        <v>0</v>
      </c>
      <c r="X1224" s="12">
        <f t="shared" si="292"/>
        <v>0</v>
      </c>
      <c r="Y1224" s="12">
        <f t="shared" si="293"/>
        <v>0</v>
      </c>
      <c r="Z1224" s="11"/>
      <c r="AA1224" s="13">
        <f t="shared" si="294"/>
        <v>0</v>
      </c>
      <c r="AB1224" s="12">
        <f t="shared" si="295"/>
        <v>0</v>
      </c>
      <c r="AC1224" s="14">
        <f t="shared" si="298"/>
        <v>0</v>
      </c>
      <c r="AE1224" s="19">
        <f t="shared" si="296"/>
        <v>0</v>
      </c>
      <c r="AF1224" s="19"/>
      <c r="AG1224" s="17"/>
      <c r="AK1224" s="7"/>
      <c r="AL1224" s="108">
        <f t="shared" si="299"/>
        <v>0</v>
      </c>
      <c r="AM1224" s="108">
        <f t="shared" si="300"/>
        <v>0</v>
      </c>
      <c r="AN1224" s="113"/>
    </row>
    <row r="1225" spans="2:40" x14ac:dyDescent="0.2">
      <c r="B1225" s="7"/>
      <c r="C1225" s="8"/>
      <c r="D1225" s="8"/>
      <c r="E1225" s="9"/>
      <c r="F1225" s="6"/>
      <c r="G1225" s="8"/>
      <c r="H1225" s="32"/>
      <c r="I1225" s="10" t="str">
        <f t="shared" si="297"/>
        <v>21</v>
      </c>
      <c r="J1225" s="11">
        <v>1</v>
      </c>
      <c r="K1225" s="11"/>
      <c r="L1225" s="11"/>
      <c r="M1225" s="11">
        <f t="shared" si="286"/>
        <v>0</v>
      </c>
      <c r="N1225" s="11"/>
      <c r="O1225" s="11">
        <f t="shared" si="287"/>
        <v>0</v>
      </c>
      <c r="P1225" s="11"/>
      <c r="Q1225" s="11"/>
      <c r="R1225" s="11"/>
      <c r="S1225" s="11">
        <f t="shared" si="288"/>
        <v>0</v>
      </c>
      <c r="T1225" s="11">
        <f t="shared" si="289"/>
        <v>1666.6666666666667</v>
      </c>
      <c r="U1225" s="11">
        <f t="shared" si="290"/>
        <v>0</v>
      </c>
      <c r="V1225" s="24">
        <f t="shared" si="291"/>
        <v>0</v>
      </c>
      <c r="W1225" s="11">
        <f>IF(V1225&lt;=40000,0,
IF(V1225&lt;=55000,(V1225-40000)*10%,
IF(V1225&lt;=70000,(V1225-55000)*15%+1500,
IF(V1225&lt;=200000,(V1225-70000)*20%+1500+2250,
IF(V1225&lt;=400000,(V1225-200000)*22.5%+1500+2250+26000,
IF(V1225&lt;=600000,(V1225-400000)*25%+1500+2250+26000+45000,
IF(AND(V1225&gt;600000,V1225&lt;=1200000),(V1225-400000)*25%+1500+2250+26000+45000
+IFERROR(LOOKUP(V1225,{600001;700001;800001;900001},{4000;6750;10250;15250}),0),IF(V1225&gt;1200000,((V1225-1200000)*27.5%)+300000,0)
)))))))</f>
        <v>0</v>
      </c>
      <c r="X1225" s="12">
        <f t="shared" si="292"/>
        <v>0</v>
      </c>
      <c r="Y1225" s="12">
        <f t="shared" si="293"/>
        <v>0</v>
      </c>
      <c r="Z1225" s="11"/>
      <c r="AA1225" s="13">
        <f t="shared" si="294"/>
        <v>0</v>
      </c>
      <c r="AB1225" s="12">
        <f t="shared" si="295"/>
        <v>0</v>
      </c>
      <c r="AC1225" s="14">
        <f t="shared" si="298"/>
        <v>0</v>
      </c>
      <c r="AE1225" s="19">
        <f t="shared" si="296"/>
        <v>0</v>
      </c>
      <c r="AF1225" s="19"/>
      <c r="AG1225" s="17"/>
      <c r="AK1225" s="7"/>
      <c r="AL1225" s="108">
        <f t="shared" si="299"/>
        <v>0</v>
      </c>
      <c r="AM1225" s="108">
        <f t="shared" si="300"/>
        <v>0</v>
      </c>
      <c r="AN1225" s="113"/>
    </row>
    <row r="1226" spans="2:40" x14ac:dyDescent="0.2">
      <c r="B1226" s="7"/>
      <c r="C1226" s="8"/>
      <c r="D1226" s="8"/>
      <c r="E1226" s="9"/>
      <c r="F1226" s="6"/>
      <c r="G1226" s="8"/>
      <c r="H1226" s="32"/>
      <c r="I1226" s="10" t="str">
        <f t="shared" si="297"/>
        <v>21</v>
      </c>
      <c r="J1226" s="11">
        <v>1</v>
      </c>
      <c r="K1226" s="11"/>
      <c r="L1226" s="11"/>
      <c r="M1226" s="11">
        <f t="shared" si="286"/>
        <v>0</v>
      </c>
      <c r="N1226" s="11"/>
      <c r="O1226" s="11">
        <f t="shared" si="287"/>
        <v>0</v>
      </c>
      <c r="P1226" s="11"/>
      <c r="Q1226" s="11"/>
      <c r="R1226" s="11"/>
      <c r="S1226" s="11">
        <f t="shared" si="288"/>
        <v>0</v>
      </c>
      <c r="T1226" s="11">
        <f t="shared" si="289"/>
        <v>1666.6666666666667</v>
      </c>
      <c r="U1226" s="11">
        <f t="shared" si="290"/>
        <v>0</v>
      </c>
      <c r="V1226" s="24">
        <f t="shared" si="291"/>
        <v>0</v>
      </c>
      <c r="W1226" s="11">
        <f>IF(V1226&lt;=40000,0,
IF(V1226&lt;=55000,(V1226-40000)*10%,
IF(V1226&lt;=70000,(V1226-55000)*15%+1500,
IF(V1226&lt;=200000,(V1226-70000)*20%+1500+2250,
IF(V1226&lt;=400000,(V1226-200000)*22.5%+1500+2250+26000,
IF(V1226&lt;=600000,(V1226-400000)*25%+1500+2250+26000+45000,
IF(AND(V1226&gt;600000,V1226&lt;=1200000),(V1226-400000)*25%+1500+2250+26000+45000
+IFERROR(LOOKUP(V1226,{600001;700001;800001;900001},{4000;6750;10250;15250}),0),IF(V1226&gt;1200000,((V1226-1200000)*27.5%)+300000,0)
)))))))</f>
        <v>0</v>
      </c>
      <c r="X1226" s="12">
        <f t="shared" si="292"/>
        <v>0</v>
      </c>
      <c r="Y1226" s="12">
        <f t="shared" si="293"/>
        <v>0</v>
      </c>
      <c r="Z1226" s="11"/>
      <c r="AA1226" s="13">
        <f t="shared" si="294"/>
        <v>0</v>
      </c>
      <c r="AB1226" s="12">
        <f t="shared" si="295"/>
        <v>0</v>
      </c>
      <c r="AC1226" s="14">
        <f t="shared" si="298"/>
        <v>0</v>
      </c>
      <c r="AE1226" s="19">
        <f t="shared" si="296"/>
        <v>0</v>
      </c>
      <c r="AF1226" s="19"/>
      <c r="AG1226" s="17"/>
      <c r="AK1226" s="7"/>
      <c r="AL1226" s="108">
        <f t="shared" si="299"/>
        <v>0</v>
      </c>
      <c r="AM1226" s="108">
        <f t="shared" si="300"/>
        <v>0</v>
      </c>
      <c r="AN1226" s="113"/>
    </row>
    <row r="1227" spans="2:40" x14ac:dyDescent="0.2">
      <c r="B1227" s="7"/>
      <c r="C1227" s="8"/>
      <c r="D1227" s="8"/>
      <c r="E1227" s="9"/>
      <c r="F1227" s="6"/>
      <c r="G1227" s="8"/>
      <c r="H1227" s="32"/>
      <c r="I1227" s="10" t="str">
        <f t="shared" si="297"/>
        <v>21</v>
      </c>
      <c r="J1227" s="11">
        <v>1</v>
      </c>
      <c r="K1227" s="11"/>
      <c r="L1227" s="11"/>
      <c r="M1227" s="11">
        <f t="shared" si="286"/>
        <v>0</v>
      </c>
      <c r="N1227" s="11"/>
      <c r="O1227" s="11">
        <f t="shared" si="287"/>
        <v>0</v>
      </c>
      <c r="P1227" s="11"/>
      <c r="Q1227" s="11"/>
      <c r="R1227" s="11"/>
      <c r="S1227" s="11">
        <f t="shared" si="288"/>
        <v>0</v>
      </c>
      <c r="T1227" s="11">
        <f t="shared" si="289"/>
        <v>1666.6666666666667</v>
      </c>
      <c r="U1227" s="11">
        <f t="shared" si="290"/>
        <v>0</v>
      </c>
      <c r="V1227" s="24">
        <f t="shared" si="291"/>
        <v>0</v>
      </c>
      <c r="W1227" s="11">
        <f>IF(V1227&lt;=40000,0,
IF(V1227&lt;=55000,(V1227-40000)*10%,
IF(V1227&lt;=70000,(V1227-55000)*15%+1500,
IF(V1227&lt;=200000,(V1227-70000)*20%+1500+2250,
IF(V1227&lt;=400000,(V1227-200000)*22.5%+1500+2250+26000,
IF(V1227&lt;=600000,(V1227-400000)*25%+1500+2250+26000+45000,
IF(AND(V1227&gt;600000,V1227&lt;=1200000),(V1227-400000)*25%+1500+2250+26000+45000
+IFERROR(LOOKUP(V1227,{600001;700001;800001;900001},{4000;6750;10250;15250}),0),IF(V1227&gt;1200000,((V1227-1200000)*27.5%)+300000,0)
)))))))</f>
        <v>0</v>
      </c>
      <c r="X1227" s="12">
        <f t="shared" si="292"/>
        <v>0</v>
      </c>
      <c r="Y1227" s="12">
        <f t="shared" si="293"/>
        <v>0</v>
      </c>
      <c r="Z1227" s="11"/>
      <c r="AA1227" s="13">
        <f t="shared" si="294"/>
        <v>0</v>
      </c>
      <c r="AB1227" s="12">
        <f t="shared" si="295"/>
        <v>0</v>
      </c>
      <c r="AC1227" s="14">
        <f t="shared" si="298"/>
        <v>0</v>
      </c>
      <c r="AE1227" s="19">
        <f t="shared" si="296"/>
        <v>0</v>
      </c>
      <c r="AF1227" s="19"/>
      <c r="AG1227" s="17"/>
      <c r="AK1227" s="7"/>
      <c r="AL1227" s="108">
        <f t="shared" si="299"/>
        <v>0</v>
      </c>
      <c r="AM1227" s="108">
        <f t="shared" si="300"/>
        <v>0</v>
      </c>
      <c r="AN1227" s="113"/>
    </row>
    <row r="1228" spans="2:40" x14ac:dyDescent="0.2">
      <c r="B1228" s="7"/>
      <c r="C1228" s="8"/>
      <c r="D1228" s="8"/>
      <c r="E1228" s="9"/>
      <c r="F1228" s="6"/>
      <c r="G1228" s="8"/>
      <c r="H1228" s="32"/>
      <c r="I1228" s="10" t="str">
        <f t="shared" si="297"/>
        <v>21</v>
      </c>
      <c r="J1228" s="11">
        <v>1</v>
      </c>
      <c r="K1228" s="11"/>
      <c r="L1228" s="11"/>
      <c r="M1228" s="11">
        <f t="shared" si="286"/>
        <v>0</v>
      </c>
      <c r="N1228" s="11"/>
      <c r="O1228" s="11">
        <f t="shared" si="287"/>
        <v>0</v>
      </c>
      <c r="P1228" s="11"/>
      <c r="Q1228" s="11"/>
      <c r="R1228" s="11"/>
      <c r="S1228" s="11">
        <f t="shared" si="288"/>
        <v>0</v>
      </c>
      <c r="T1228" s="11">
        <f t="shared" si="289"/>
        <v>1666.6666666666667</v>
      </c>
      <c r="U1228" s="11">
        <f t="shared" si="290"/>
        <v>0</v>
      </c>
      <c r="V1228" s="24">
        <f t="shared" si="291"/>
        <v>0</v>
      </c>
      <c r="W1228" s="11">
        <f>IF(V1228&lt;=40000,0,
IF(V1228&lt;=55000,(V1228-40000)*10%,
IF(V1228&lt;=70000,(V1228-55000)*15%+1500,
IF(V1228&lt;=200000,(V1228-70000)*20%+1500+2250,
IF(V1228&lt;=400000,(V1228-200000)*22.5%+1500+2250+26000,
IF(V1228&lt;=600000,(V1228-400000)*25%+1500+2250+26000+45000,
IF(AND(V1228&gt;600000,V1228&lt;=1200000),(V1228-400000)*25%+1500+2250+26000+45000
+IFERROR(LOOKUP(V1228,{600001;700001;800001;900001},{4000;6750;10250;15250}),0),IF(V1228&gt;1200000,((V1228-1200000)*27.5%)+300000,0)
)))))))</f>
        <v>0</v>
      </c>
      <c r="X1228" s="12">
        <f t="shared" si="292"/>
        <v>0</v>
      </c>
      <c r="Y1228" s="12">
        <f t="shared" si="293"/>
        <v>0</v>
      </c>
      <c r="Z1228" s="11"/>
      <c r="AA1228" s="13">
        <f t="shared" si="294"/>
        <v>0</v>
      </c>
      <c r="AB1228" s="12">
        <f t="shared" si="295"/>
        <v>0</v>
      </c>
      <c r="AC1228" s="14">
        <f t="shared" si="298"/>
        <v>0</v>
      </c>
      <c r="AE1228" s="19">
        <f t="shared" si="296"/>
        <v>0</v>
      </c>
      <c r="AF1228" s="19"/>
      <c r="AG1228" s="17"/>
      <c r="AK1228" s="7"/>
      <c r="AL1228" s="108">
        <f t="shared" si="299"/>
        <v>0</v>
      </c>
      <c r="AM1228" s="108">
        <f t="shared" si="300"/>
        <v>0</v>
      </c>
      <c r="AN1228" s="113"/>
    </row>
    <row r="1229" spans="2:40" x14ac:dyDescent="0.2">
      <c r="B1229" s="7"/>
      <c r="C1229" s="8"/>
      <c r="D1229" s="8"/>
      <c r="E1229" s="9"/>
      <c r="F1229" s="6"/>
      <c r="G1229" s="8"/>
      <c r="H1229" s="32"/>
      <c r="I1229" s="10" t="str">
        <f t="shared" si="297"/>
        <v>21</v>
      </c>
      <c r="J1229" s="11">
        <v>1</v>
      </c>
      <c r="K1229" s="11"/>
      <c r="L1229" s="11"/>
      <c r="M1229" s="11">
        <f t="shared" si="286"/>
        <v>0</v>
      </c>
      <c r="N1229" s="11"/>
      <c r="O1229" s="11">
        <f t="shared" si="287"/>
        <v>0</v>
      </c>
      <c r="P1229" s="11"/>
      <c r="Q1229" s="11"/>
      <c r="R1229" s="11"/>
      <c r="S1229" s="11">
        <f t="shared" si="288"/>
        <v>0</v>
      </c>
      <c r="T1229" s="11">
        <f t="shared" si="289"/>
        <v>1666.6666666666667</v>
      </c>
      <c r="U1229" s="11">
        <f t="shared" si="290"/>
        <v>0</v>
      </c>
      <c r="V1229" s="24">
        <f t="shared" si="291"/>
        <v>0</v>
      </c>
      <c r="W1229" s="11">
        <f>IF(V1229&lt;=40000,0,
IF(V1229&lt;=55000,(V1229-40000)*10%,
IF(V1229&lt;=70000,(V1229-55000)*15%+1500,
IF(V1229&lt;=200000,(V1229-70000)*20%+1500+2250,
IF(V1229&lt;=400000,(V1229-200000)*22.5%+1500+2250+26000,
IF(V1229&lt;=600000,(V1229-400000)*25%+1500+2250+26000+45000,
IF(AND(V1229&gt;600000,V1229&lt;=1200000),(V1229-400000)*25%+1500+2250+26000+45000
+IFERROR(LOOKUP(V1229,{600001;700001;800001;900001},{4000;6750;10250;15250}),0),IF(V1229&gt;1200000,((V1229-1200000)*27.5%)+300000,0)
)))))))</f>
        <v>0</v>
      </c>
      <c r="X1229" s="12">
        <f t="shared" si="292"/>
        <v>0</v>
      </c>
      <c r="Y1229" s="12">
        <f t="shared" si="293"/>
        <v>0</v>
      </c>
      <c r="Z1229" s="11"/>
      <c r="AA1229" s="13">
        <f t="shared" si="294"/>
        <v>0</v>
      </c>
      <c r="AB1229" s="12">
        <f t="shared" si="295"/>
        <v>0</v>
      </c>
      <c r="AC1229" s="14">
        <f t="shared" si="298"/>
        <v>0</v>
      </c>
      <c r="AE1229" s="19">
        <f t="shared" si="296"/>
        <v>0</v>
      </c>
      <c r="AF1229" s="19"/>
      <c r="AG1229" s="17"/>
      <c r="AK1229" s="7"/>
      <c r="AL1229" s="108">
        <f t="shared" si="299"/>
        <v>0</v>
      </c>
      <c r="AM1229" s="108">
        <f t="shared" si="300"/>
        <v>0</v>
      </c>
      <c r="AN1229" s="113"/>
    </row>
    <row r="1230" spans="2:40" x14ac:dyDescent="0.2">
      <c r="B1230" s="7"/>
      <c r="C1230" s="8"/>
      <c r="D1230" s="8"/>
      <c r="E1230" s="9"/>
      <c r="F1230" s="6"/>
      <c r="G1230" s="8"/>
      <c r="H1230" s="32"/>
      <c r="I1230" s="10" t="str">
        <f t="shared" si="297"/>
        <v>21</v>
      </c>
      <c r="J1230" s="11">
        <v>1</v>
      </c>
      <c r="K1230" s="11"/>
      <c r="L1230" s="11"/>
      <c r="M1230" s="11">
        <f t="shared" si="286"/>
        <v>0</v>
      </c>
      <c r="N1230" s="11"/>
      <c r="O1230" s="11">
        <f t="shared" si="287"/>
        <v>0</v>
      </c>
      <c r="P1230" s="11"/>
      <c r="Q1230" s="11"/>
      <c r="R1230" s="11"/>
      <c r="S1230" s="11">
        <f t="shared" si="288"/>
        <v>0</v>
      </c>
      <c r="T1230" s="11">
        <f t="shared" si="289"/>
        <v>1666.6666666666667</v>
      </c>
      <c r="U1230" s="11">
        <f t="shared" si="290"/>
        <v>0</v>
      </c>
      <c r="V1230" s="24">
        <f t="shared" si="291"/>
        <v>0</v>
      </c>
      <c r="W1230" s="11">
        <f>IF(V1230&lt;=40000,0,
IF(V1230&lt;=55000,(V1230-40000)*10%,
IF(V1230&lt;=70000,(V1230-55000)*15%+1500,
IF(V1230&lt;=200000,(V1230-70000)*20%+1500+2250,
IF(V1230&lt;=400000,(V1230-200000)*22.5%+1500+2250+26000,
IF(V1230&lt;=600000,(V1230-400000)*25%+1500+2250+26000+45000,
IF(AND(V1230&gt;600000,V1230&lt;=1200000),(V1230-400000)*25%+1500+2250+26000+45000
+IFERROR(LOOKUP(V1230,{600001;700001;800001;900001},{4000;6750;10250;15250}),0),IF(V1230&gt;1200000,((V1230-1200000)*27.5%)+300000,0)
)))))))</f>
        <v>0</v>
      </c>
      <c r="X1230" s="12">
        <f t="shared" si="292"/>
        <v>0</v>
      </c>
      <c r="Y1230" s="12">
        <f t="shared" si="293"/>
        <v>0</v>
      </c>
      <c r="Z1230" s="11"/>
      <c r="AA1230" s="13">
        <f t="shared" si="294"/>
        <v>0</v>
      </c>
      <c r="AB1230" s="12">
        <f t="shared" si="295"/>
        <v>0</v>
      </c>
      <c r="AC1230" s="14">
        <f t="shared" si="298"/>
        <v>0</v>
      </c>
      <c r="AE1230" s="19">
        <f t="shared" si="296"/>
        <v>0</v>
      </c>
      <c r="AF1230" s="19"/>
      <c r="AG1230" s="17"/>
      <c r="AK1230" s="7"/>
      <c r="AL1230" s="108">
        <f t="shared" si="299"/>
        <v>0</v>
      </c>
      <c r="AM1230" s="108">
        <f t="shared" si="300"/>
        <v>0</v>
      </c>
      <c r="AN1230" s="113"/>
    </row>
    <row r="1231" spans="2:40" x14ac:dyDescent="0.2">
      <c r="B1231" s="7"/>
      <c r="C1231" s="8"/>
      <c r="D1231" s="8"/>
      <c r="E1231" s="9"/>
      <c r="F1231" s="6"/>
      <c r="G1231" s="8"/>
      <c r="H1231" s="32"/>
      <c r="I1231" s="10" t="str">
        <f t="shared" si="297"/>
        <v>21</v>
      </c>
      <c r="J1231" s="11">
        <v>1</v>
      </c>
      <c r="K1231" s="11"/>
      <c r="L1231" s="11"/>
      <c r="M1231" s="11">
        <f t="shared" si="286"/>
        <v>0</v>
      </c>
      <c r="N1231" s="11"/>
      <c r="O1231" s="11">
        <f t="shared" si="287"/>
        <v>0</v>
      </c>
      <c r="P1231" s="11"/>
      <c r="Q1231" s="11"/>
      <c r="R1231" s="11"/>
      <c r="S1231" s="11">
        <f t="shared" si="288"/>
        <v>0</v>
      </c>
      <c r="T1231" s="11">
        <f t="shared" si="289"/>
        <v>1666.6666666666667</v>
      </c>
      <c r="U1231" s="11">
        <f t="shared" si="290"/>
        <v>0</v>
      </c>
      <c r="V1231" s="24">
        <f t="shared" si="291"/>
        <v>0</v>
      </c>
      <c r="W1231" s="11">
        <f>IF(V1231&lt;=40000,0,
IF(V1231&lt;=55000,(V1231-40000)*10%,
IF(V1231&lt;=70000,(V1231-55000)*15%+1500,
IF(V1231&lt;=200000,(V1231-70000)*20%+1500+2250,
IF(V1231&lt;=400000,(V1231-200000)*22.5%+1500+2250+26000,
IF(V1231&lt;=600000,(V1231-400000)*25%+1500+2250+26000+45000,
IF(AND(V1231&gt;600000,V1231&lt;=1200000),(V1231-400000)*25%+1500+2250+26000+45000
+IFERROR(LOOKUP(V1231,{600001;700001;800001;900001},{4000;6750;10250;15250}),0),IF(V1231&gt;1200000,((V1231-1200000)*27.5%)+300000,0)
)))))))</f>
        <v>0</v>
      </c>
      <c r="X1231" s="12">
        <f t="shared" si="292"/>
        <v>0</v>
      </c>
      <c r="Y1231" s="12">
        <f t="shared" si="293"/>
        <v>0</v>
      </c>
      <c r="Z1231" s="11"/>
      <c r="AA1231" s="13">
        <f t="shared" si="294"/>
        <v>0</v>
      </c>
      <c r="AB1231" s="12">
        <f t="shared" si="295"/>
        <v>0</v>
      </c>
      <c r="AC1231" s="14">
        <f t="shared" si="298"/>
        <v>0</v>
      </c>
      <c r="AE1231" s="19">
        <f t="shared" si="296"/>
        <v>0</v>
      </c>
      <c r="AF1231" s="19"/>
      <c r="AG1231" s="17"/>
      <c r="AK1231" s="7"/>
      <c r="AL1231" s="108">
        <f t="shared" si="299"/>
        <v>0</v>
      </c>
      <c r="AM1231" s="108">
        <f t="shared" si="300"/>
        <v>0</v>
      </c>
      <c r="AN1231" s="113"/>
    </row>
    <row r="1232" spans="2:40" x14ac:dyDescent="0.2">
      <c r="B1232" s="7"/>
      <c r="C1232" s="8"/>
      <c r="D1232" s="8"/>
      <c r="E1232" s="9"/>
      <c r="F1232" s="6"/>
      <c r="G1232" s="8"/>
      <c r="H1232" s="32"/>
      <c r="I1232" s="10" t="str">
        <f t="shared" si="297"/>
        <v>21</v>
      </c>
      <c r="J1232" s="11">
        <v>1</v>
      </c>
      <c r="K1232" s="11"/>
      <c r="L1232" s="11"/>
      <c r="M1232" s="11">
        <f t="shared" si="286"/>
        <v>0</v>
      </c>
      <c r="N1232" s="11"/>
      <c r="O1232" s="11">
        <f t="shared" si="287"/>
        <v>0</v>
      </c>
      <c r="P1232" s="11"/>
      <c r="Q1232" s="11"/>
      <c r="R1232" s="11"/>
      <c r="S1232" s="11">
        <f t="shared" si="288"/>
        <v>0</v>
      </c>
      <c r="T1232" s="11">
        <f t="shared" si="289"/>
        <v>1666.6666666666667</v>
      </c>
      <c r="U1232" s="11">
        <f t="shared" si="290"/>
        <v>0</v>
      </c>
      <c r="V1232" s="24">
        <f t="shared" si="291"/>
        <v>0</v>
      </c>
      <c r="W1232" s="11">
        <f>IF(V1232&lt;=40000,0,
IF(V1232&lt;=55000,(V1232-40000)*10%,
IF(V1232&lt;=70000,(V1232-55000)*15%+1500,
IF(V1232&lt;=200000,(V1232-70000)*20%+1500+2250,
IF(V1232&lt;=400000,(V1232-200000)*22.5%+1500+2250+26000,
IF(V1232&lt;=600000,(V1232-400000)*25%+1500+2250+26000+45000,
IF(AND(V1232&gt;600000,V1232&lt;=1200000),(V1232-400000)*25%+1500+2250+26000+45000
+IFERROR(LOOKUP(V1232,{600001;700001;800001;900001},{4000;6750;10250;15250}),0),IF(V1232&gt;1200000,((V1232-1200000)*27.5%)+300000,0)
)))))))</f>
        <v>0</v>
      </c>
      <c r="X1232" s="12">
        <f t="shared" si="292"/>
        <v>0</v>
      </c>
      <c r="Y1232" s="12">
        <f t="shared" si="293"/>
        <v>0</v>
      </c>
      <c r="Z1232" s="11"/>
      <c r="AA1232" s="13">
        <f t="shared" si="294"/>
        <v>0</v>
      </c>
      <c r="AB1232" s="12">
        <f t="shared" si="295"/>
        <v>0</v>
      </c>
      <c r="AC1232" s="14">
        <f t="shared" si="298"/>
        <v>0</v>
      </c>
      <c r="AE1232" s="19">
        <f t="shared" si="296"/>
        <v>0</v>
      </c>
      <c r="AF1232" s="19"/>
      <c r="AG1232" s="17"/>
      <c r="AK1232" s="7"/>
      <c r="AL1232" s="108">
        <f t="shared" si="299"/>
        <v>0</v>
      </c>
      <c r="AM1232" s="108">
        <f t="shared" si="300"/>
        <v>0</v>
      </c>
      <c r="AN1232" s="113"/>
    </row>
    <row r="1233" spans="2:40" x14ac:dyDescent="0.2">
      <c r="B1233" s="7"/>
      <c r="C1233" s="8"/>
      <c r="D1233" s="8"/>
      <c r="E1233" s="9"/>
      <c r="F1233" s="6"/>
      <c r="G1233" s="8"/>
      <c r="H1233" s="32"/>
      <c r="I1233" s="10" t="str">
        <f t="shared" si="297"/>
        <v>21</v>
      </c>
      <c r="J1233" s="11">
        <v>1</v>
      </c>
      <c r="K1233" s="11"/>
      <c r="L1233" s="11"/>
      <c r="M1233" s="11">
        <f t="shared" si="286"/>
        <v>0</v>
      </c>
      <c r="N1233" s="11"/>
      <c r="O1233" s="11">
        <f t="shared" si="287"/>
        <v>0</v>
      </c>
      <c r="P1233" s="11"/>
      <c r="Q1233" s="11"/>
      <c r="R1233" s="11"/>
      <c r="S1233" s="11">
        <f t="shared" si="288"/>
        <v>0</v>
      </c>
      <c r="T1233" s="11">
        <f t="shared" si="289"/>
        <v>1666.6666666666667</v>
      </c>
      <c r="U1233" s="11">
        <f t="shared" si="290"/>
        <v>0</v>
      </c>
      <c r="V1233" s="24">
        <f t="shared" si="291"/>
        <v>0</v>
      </c>
      <c r="W1233" s="11">
        <f>IF(V1233&lt;=40000,0,
IF(V1233&lt;=55000,(V1233-40000)*10%,
IF(V1233&lt;=70000,(V1233-55000)*15%+1500,
IF(V1233&lt;=200000,(V1233-70000)*20%+1500+2250,
IF(V1233&lt;=400000,(V1233-200000)*22.5%+1500+2250+26000,
IF(V1233&lt;=600000,(V1233-400000)*25%+1500+2250+26000+45000,
IF(AND(V1233&gt;600000,V1233&lt;=1200000),(V1233-400000)*25%+1500+2250+26000+45000
+IFERROR(LOOKUP(V1233,{600001;700001;800001;900001},{4000;6750;10250;15250}),0),IF(V1233&gt;1200000,((V1233-1200000)*27.5%)+300000,0)
)))))))</f>
        <v>0</v>
      </c>
      <c r="X1233" s="12">
        <f t="shared" si="292"/>
        <v>0</v>
      </c>
      <c r="Y1233" s="12">
        <f t="shared" si="293"/>
        <v>0</v>
      </c>
      <c r="Z1233" s="11"/>
      <c r="AA1233" s="13">
        <f t="shared" si="294"/>
        <v>0</v>
      </c>
      <c r="AB1233" s="12">
        <f t="shared" si="295"/>
        <v>0</v>
      </c>
      <c r="AC1233" s="14">
        <f t="shared" si="298"/>
        <v>0</v>
      </c>
      <c r="AE1233" s="19">
        <f t="shared" si="296"/>
        <v>0</v>
      </c>
      <c r="AF1233" s="19"/>
      <c r="AG1233" s="17"/>
      <c r="AK1233" s="7"/>
      <c r="AL1233" s="108">
        <f t="shared" si="299"/>
        <v>0</v>
      </c>
      <c r="AM1233" s="108">
        <f t="shared" si="300"/>
        <v>0</v>
      </c>
      <c r="AN1233" s="113"/>
    </row>
    <row r="1234" spans="2:40" x14ac:dyDescent="0.2">
      <c r="B1234" s="7"/>
      <c r="C1234" s="8"/>
      <c r="D1234" s="8"/>
      <c r="E1234" s="9"/>
      <c r="F1234" s="6"/>
      <c r="G1234" s="8"/>
      <c r="H1234" s="32"/>
      <c r="I1234" s="10" t="str">
        <f t="shared" si="297"/>
        <v>21</v>
      </c>
      <c r="J1234" s="11">
        <v>1</v>
      </c>
      <c r="K1234" s="11"/>
      <c r="L1234" s="11"/>
      <c r="M1234" s="11">
        <f t="shared" si="286"/>
        <v>0</v>
      </c>
      <c r="N1234" s="11"/>
      <c r="O1234" s="11">
        <f t="shared" si="287"/>
        <v>0</v>
      </c>
      <c r="P1234" s="11"/>
      <c r="Q1234" s="11"/>
      <c r="R1234" s="11"/>
      <c r="S1234" s="11">
        <f t="shared" si="288"/>
        <v>0</v>
      </c>
      <c r="T1234" s="11">
        <f t="shared" si="289"/>
        <v>1666.6666666666667</v>
      </c>
      <c r="U1234" s="11">
        <f t="shared" si="290"/>
        <v>0</v>
      </c>
      <c r="V1234" s="24">
        <f t="shared" si="291"/>
        <v>0</v>
      </c>
      <c r="W1234" s="11">
        <f>IF(V1234&lt;=40000,0,
IF(V1234&lt;=55000,(V1234-40000)*10%,
IF(V1234&lt;=70000,(V1234-55000)*15%+1500,
IF(V1234&lt;=200000,(V1234-70000)*20%+1500+2250,
IF(V1234&lt;=400000,(V1234-200000)*22.5%+1500+2250+26000,
IF(V1234&lt;=600000,(V1234-400000)*25%+1500+2250+26000+45000,
IF(AND(V1234&gt;600000,V1234&lt;=1200000),(V1234-400000)*25%+1500+2250+26000+45000
+IFERROR(LOOKUP(V1234,{600001;700001;800001;900001},{4000;6750;10250;15250}),0),IF(V1234&gt;1200000,((V1234-1200000)*27.5%)+300000,0)
)))))))</f>
        <v>0</v>
      </c>
      <c r="X1234" s="12">
        <f t="shared" si="292"/>
        <v>0</v>
      </c>
      <c r="Y1234" s="12">
        <f t="shared" si="293"/>
        <v>0</v>
      </c>
      <c r="Z1234" s="11"/>
      <c r="AA1234" s="13">
        <f t="shared" si="294"/>
        <v>0</v>
      </c>
      <c r="AB1234" s="12">
        <f t="shared" si="295"/>
        <v>0</v>
      </c>
      <c r="AC1234" s="14">
        <f t="shared" si="298"/>
        <v>0</v>
      </c>
      <c r="AE1234" s="19">
        <f t="shared" si="296"/>
        <v>0</v>
      </c>
      <c r="AF1234" s="19"/>
      <c r="AG1234" s="17"/>
      <c r="AK1234" s="7"/>
      <c r="AL1234" s="108">
        <f t="shared" si="299"/>
        <v>0</v>
      </c>
      <c r="AM1234" s="108">
        <f t="shared" si="300"/>
        <v>0</v>
      </c>
      <c r="AN1234" s="113"/>
    </row>
    <row r="1235" spans="2:40" x14ac:dyDescent="0.2">
      <c r="B1235" s="7"/>
      <c r="C1235" s="8"/>
      <c r="D1235" s="8"/>
      <c r="E1235" s="9"/>
      <c r="F1235" s="6"/>
      <c r="G1235" s="8"/>
      <c r="H1235" s="32"/>
      <c r="I1235" s="10" t="str">
        <f t="shared" si="297"/>
        <v>21</v>
      </c>
      <c r="J1235" s="11">
        <v>1</v>
      </c>
      <c r="K1235" s="11"/>
      <c r="L1235" s="11"/>
      <c r="M1235" s="11">
        <f t="shared" si="286"/>
        <v>0</v>
      </c>
      <c r="N1235" s="11"/>
      <c r="O1235" s="11">
        <f t="shared" si="287"/>
        <v>0</v>
      </c>
      <c r="P1235" s="11"/>
      <c r="Q1235" s="11"/>
      <c r="R1235" s="11"/>
      <c r="S1235" s="11">
        <f t="shared" si="288"/>
        <v>0</v>
      </c>
      <c r="T1235" s="11">
        <f t="shared" si="289"/>
        <v>1666.6666666666667</v>
      </c>
      <c r="U1235" s="11">
        <f t="shared" si="290"/>
        <v>0</v>
      </c>
      <c r="V1235" s="24">
        <f t="shared" si="291"/>
        <v>0</v>
      </c>
      <c r="W1235" s="11">
        <f>IF(V1235&lt;=40000,0,
IF(V1235&lt;=55000,(V1235-40000)*10%,
IF(V1235&lt;=70000,(V1235-55000)*15%+1500,
IF(V1235&lt;=200000,(V1235-70000)*20%+1500+2250,
IF(V1235&lt;=400000,(V1235-200000)*22.5%+1500+2250+26000,
IF(V1235&lt;=600000,(V1235-400000)*25%+1500+2250+26000+45000,
IF(AND(V1235&gt;600000,V1235&lt;=1200000),(V1235-400000)*25%+1500+2250+26000+45000
+IFERROR(LOOKUP(V1235,{600001;700001;800001;900001},{4000;6750;10250;15250}),0),IF(V1235&gt;1200000,((V1235-1200000)*27.5%)+300000,0)
)))))))</f>
        <v>0</v>
      </c>
      <c r="X1235" s="12">
        <f t="shared" si="292"/>
        <v>0</v>
      </c>
      <c r="Y1235" s="12">
        <f t="shared" si="293"/>
        <v>0</v>
      </c>
      <c r="Z1235" s="11"/>
      <c r="AA1235" s="13">
        <f t="shared" si="294"/>
        <v>0</v>
      </c>
      <c r="AB1235" s="12">
        <f t="shared" si="295"/>
        <v>0</v>
      </c>
      <c r="AC1235" s="14">
        <f t="shared" si="298"/>
        <v>0</v>
      </c>
      <c r="AE1235" s="19">
        <f t="shared" si="296"/>
        <v>0</v>
      </c>
      <c r="AF1235" s="19"/>
      <c r="AG1235" s="17"/>
      <c r="AK1235" s="7"/>
      <c r="AL1235" s="108">
        <f t="shared" si="299"/>
        <v>0</v>
      </c>
      <c r="AM1235" s="108">
        <f t="shared" si="300"/>
        <v>0</v>
      </c>
      <c r="AN1235" s="113"/>
    </row>
    <row r="1236" spans="2:40" x14ac:dyDescent="0.2">
      <c r="B1236" s="7"/>
      <c r="C1236" s="8"/>
      <c r="D1236" s="8"/>
      <c r="E1236" s="9"/>
      <c r="F1236" s="6"/>
      <c r="G1236" s="8"/>
      <c r="H1236" s="32"/>
      <c r="I1236" s="10" t="str">
        <f t="shared" si="297"/>
        <v>21</v>
      </c>
      <c r="J1236" s="11">
        <v>1</v>
      </c>
      <c r="K1236" s="11"/>
      <c r="L1236" s="11"/>
      <c r="M1236" s="11">
        <f t="shared" si="286"/>
        <v>0</v>
      </c>
      <c r="N1236" s="11"/>
      <c r="O1236" s="11">
        <f t="shared" si="287"/>
        <v>0</v>
      </c>
      <c r="P1236" s="11"/>
      <c r="Q1236" s="11"/>
      <c r="R1236" s="11"/>
      <c r="S1236" s="11">
        <f t="shared" si="288"/>
        <v>0</v>
      </c>
      <c r="T1236" s="11">
        <f t="shared" si="289"/>
        <v>1666.6666666666667</v>
      </c>
      <c r="U1236" s="11">
        <f t="shared" si="290"/>
        <v>0</v>
      </c>
      <c r="V1236" s="24">
        <f t="shared" si="291"/>
        <v>0</v>
      </c>
      <c r="W1236" s="11">
        <f>IF(V1236&lt;=40000,0,
IF(V1236&lt;=55000,(V1236-40000)*10%,
IF(V1236&lt;=70000,(V1236-55000)*15%+1500,
IF(V1236&lt;=200000,(V1236-70000)*20%+1500+2250,
IF(V1236&lt;=400000,(V1236-200000)*22.5%+1500+2250+26000,
IF(V1236&lt;=600000,(V1236-400000)*25%+1500+2250+26000+45000,
IF(AND(V1236&gt;600000,V1236&lt;=1200000),(V1236-400000)*25%+1500+2250+26000+45000
+IFERROR(LOOKUP(V1236,{600001;700001;800001;900001},{4000;6750;10250;15250}),0),IF(V1236&gt;1200000,((V1236-1200000)*27.5%)+300000,0)
)))))))</f>
        <v>0</v>
      </c>
      <c r="X1236" s="12">
        <f t="shared" si="292"/>
        <v>0</v>
      </c>
      <c r="Y1236" s="12">
        <f t="shared" si="293"/>
        <v>0</v>
      </c>
      <c r="Z1236" s="11"/>
      <c r="AA1236" s="13">
        <f t="shared" si="294"/>
        <v>0</v>
      </c>
      <c r="AB1236" s="12">
        <f t="shared" si="295"/>
        <v>0</v>
      </c>
      <c r="AC1236" s="14">
        <f t="shared" si="298"/>
        <v>0</v>
      </c>
      <c r="AE1236" s="19">
        <f t="shared" si="296"/>
        <v>0</v>
      </c>
      <c r="AF1236" s="19"/>
      <c r="AG1236" s="17"/>
      <c r="AK1236" s="7"/>
      <c r="AL1236" s="108">
        <f t="shared" si="299"/>
        <v>0</v>
      </c>
      <c r="AM1236" s="108">
        <f t="shared" si="300"/>
        <v>0</v>
      </c>
      <c r="AN1236" s="113"/>
    </row>
    <row r="1237" spans="2:40" x14ac:dyDescent="0.2">
      <c r="B1237" s="7"/>
      <c r="C1237" s="8"/>
      <c r="D1237" s="8"/>
      <c r="E1237" s="9"/>
      <c r="F1237" s="6"/>
      <c r="G1237" s="8"/>
      <c r="H1237" s="32"/>
      <c r="I1237" s="10" t="str">
        <f t="shared" si="297"/>
        <v>21</v>
      </c>
      <c r="J1237" s="11">
        <v>1</v>
      </c>
      <c r="K1237" s="11"/>
      <c r="L1237" s="11"/>
      <c r="M1237" s="11">
        <f t="shared" si="286"/>
        <v>0</v>
      </c>
      <c r="N1237" s="11"/>
      <c r="O1237" s="11">
        <f t="shared" si="287"/>
        <v>0</v>
      </c>
      <c r="P1237" s="11"/>
      <c r="Q1237" s="11"/>
      <c r="R1237" s="11"/>
      <c r="S1237" s="11">
        <f t="shared" si="288"/>
        <v>0</v>
      </c>
      <c r="T1237" s="11">
        <f t="shared" si="289"/>
        <v>1666.6666666666667</v>
      </c>
      <c r="U1237" s="11">
        <f t="shared" si="290"/>
        <v>0</v>
      </c>
      <c r="V1237" s="24">
        <f t="shared" si="291"/>
        <v>0</v>
      </c>
      <c r="W1237" s="11">
        <f>IF(V1237&lt;=40000,0,
IF(V1237&lt;=55000,(V1237-40000)*10%,
IF(V1237&lt;=70000,(V1237-55000)*15%+1500,
IF(V1237&lt;=200000,(V1237-70000)*20%+1500+2250,
IF(V1237&lt;=400000,(V1237-200000)*22.5%+1500+2250+26000,
IF(V1237&lt;=600000,(V1237-400000)*25%+1500+2250+26000+45000,
IF(AND(V1237&gt;600000,V1237&lt;=1200000),(V1237-400000)*25%+1500+2250+26000+45000
+IFERROR(LOOKUP(V1237,{600001;700001;800001;900001},{4000;6750;10250;15250}),0),IF(V1237&gt;1200000,((V1237-1200000)*27.5%)+300000,0)
)))))))</f>
        <v>0</v>
      </c>
      <c r="X1237" s="12">
        <f t="shared" si="292"/>
        <v>0</v>
      </c>
      <c r="Y1237" s="12">
        <f t="shared" si="293"/>
        <v>0</v>
      </c>
      <c r="Z1237" s="11"/>
      <c r="AA1237" s="13">
        <f t="shared" si="294"/>
        <v>0</v>
      </c>
      <c r="AB1237" s="12">
        <f t="shared" si="295"/>
        <v>0</v>
      </c>
      <c r="AC1237" s="14">
        <f t="shared" si="298"/>
        <v>0</v>
      </c>
      <c r="AE1237" s="19">
        <f t="shared" si="296"/>
        <v>0</v>
      </c>
      <c r="AF1237" s="19"/>
      <c r="AG1237" s="17"/>
      <c r="AK1237" s="7"/>
      <c r="AL1237" s="108">
        <f t="shared" si="299"/>
        <v>0</v>
      </c>
      <c r="AM1237" s="108">
        <f t="shared" si="300"/>
        <v>0</v>
      </c>
      <c r="AN1237" s="113"/>
    </row>
    <row r="1238" spans="2:40" x14ac:dyDescent="0.2">
      <c r="B1238" s="7"/>
      <c r="C1238" s="8"/>
      <c r="D1238" s="8"/>
      <c r="E1238" s="9"/>
      <c r="F1238" s="6"/>
      <c r="G1238" s="8"/>
      <c r="H1238" s="32"/>
      <c r="I1238" s="10" t="str">
        <f t="shared" si="297"/>
        <v>21</v>
      </c>
      <c r="J1238" s="11">
        <v>1</v>
      </c>
      <c r="K1238" s="11"/>
      <c r="L1238" s="11"/>
      <c r="M1238" s="11">
        <f t="shared" si="286"/>
        <v>0</v>
      </c>
      <c r="N1238" s="11"/>
      <c r="O1238" s="11">
        <f t="shared" si="287"/>
        <v>0</v>
      </c>
      <c r="P1238" s="11"/>
      <c r="Q1238" s="11"/>
      <c r="R1238" s="11"/>
      <c r="S1238" s="11">
        <f t="shared" si="288"/>
        <v>0</v>
      </c>
      <c r="T1238" s="11">
        <f t="shared" si="289"/>
        <v>1666.6666666666667</v>
      </c>
      <c r="U1238" s="11">
        <f t="shared" si="290"/>
        <v>0</v>
      </c>
      <c r="V1238" s="24">
        <f t="shared" si="291"/>
        <v>0</v>
      </c>
      <c r="W1238" s="11">
        <f>IF(V1238&lt;=40000,0,
IF(V1238&lt;=55000,(V1238-40000)*10%,
IF(V1238&lt;=70000,(V1238-55000)*15%+1500,
IF(V1238&lt;=200000,(V1238-70000)*20%+1500+2250,
IF(V1238&lt;=400000,(V1238-200000)*22.5%+1500+2250+26000,
IF(V1238&lt;=600000,(V1238-400000)*25%+1500+2250+26000+45000,
IF(AND(V1238&gt;600000,V1238&lt;=1200000),(V1238-400000)*25%+1500+2250+26000+45000
+IFERROR(LOOKUP(V1238,{600001;700001;800001;900001},{4000;6750;10250;15250}),0),IF(V1238&gt;1200000,((V1238-1200000)*27.5%)+300000,0)
)))))))</f>
        <v>0</v>
      </c>
      <c r="X1238" s="12">
        <f t="shared" si="292"/>
        <v>0</v>
      </c>
      <c r="Y1238" s="12">
        <f t="shared" si="293"/>
        <v>0</v>
      </c>
      <c r="Z1238" s="11"/>
      <c r="AA1238" s="13">
        <f t="shared" si="294"/>
        <v>0</v>
      </c>
      <c r="AB1238" s="12">
        <f t="shared" si="295"/>
        <v>0</v>
      </c>
      <c r="AC1238" s="14">
        <f t="shared" si="298"/>
        <v>0</v>
      </c>
      <c r="AE1238" s="19">
        <f t="shared" si="296"/>
        <v>0</v>
      </c>
      <c r="AF1238" s="19"/>
      <c r="AG1238" s="17"/>
      <c r="AK1238" s="7"/>
      <c r="AL1238" s="108">
        <f t="shared" si="299"/>
        <v>0</v>
      </c>
      <c r="AM1238" s="108">
        <f t="shared" si="300"/>
        <v>0</v>
      </c>
      <c r="AN1238" s="113"/>
    </row>
    <row r="1239" spans="2:40" x14ac:dyDescent="0.2">
      <c r="B1239" s="7"/>
      <c r="C1239" s="8"/>
      <c r="D1239" s="8"/>
      <c r="E1239" s="9"/>
      <c r="F1239" s="6"/>
      <c r="G1239" s="8"/>
      <c r="H1239" s="32"/>
      <c r="I1239" s="10" t="str">
        <f t="shared" si="297"/>
        <v>21</v>
      </c>
      <c r="J1239" s="11">
        <v>1</v>
      </c>
      <c r="K1239" s="11"/>
      <c r="L1239" s="11"/>
      <c r="M1239" s="11">
        <f t="shared" si="286"/>
        <v>0</v>
      </c>
      <c r="N1239" s="11"/>
      <c r="O1239" s="11">
        <f t="shared" si="287"/>
        <v>0</v>
      </c>
      <c r="P1239" s="11"/>
      <c r="Q1239" s="11"/>
      <c r="R1239" s="11"/>
      <c r="S1239" s="11">
        <f t="shared" si="288"/>
        <v>0</v>
      </c>
      <c r="T1239" s="11">
        <f t="shared" si="289"/>
        <v>1666.6666666666667</v>
      </c>
      <c r="U1239" s="11">
        <f t="shared" si="290"/>
        <v>0</v>
      </c>
      <c r="V1239" s="24">
        <f t="shared" si="291"/>
        <v>0</v>
      </c>
      <c r="W1239" s="11">
        <f>IF(V1239&lt;=40000,0,
IF(V1239&lt;=55000,(V1239-40000)*10%,
IF(V1239&lt;=70000,(V1239-55000)*15%+1500,
IF(V1239&lt;=200000,(V1239-70000)*20%+1500+2250,
IF(V1239&lt;=400000,(V1239-200000)*22.5%+1500+2250+26000,
IF(V1239&lt;=600000,(V1239-400000)*25%+1500+2250+26000+45000,
IF(AND(V1239&gt;600000,V1239&lt;=1200000),(V1239-400000)*25%+1500+2250+26000+45000
+IFERROR(LOOKUP(V1239,{600001;700001;800001;900001},{4000;6750;10250;15250}),0),IF(V1239&gt;1200000,((V1239-1200000)*27.5%)+300000,0)
)))))))</f>
        <v>0</v>
      </c>
      <c r="X1239" s="12">
        <f t="shared" si="292"/>
        <v>0</v>
      </c>
      <c r="Y1239" s="12">
        <f t="shared" si="293"/>
        <v>0</v>
      </c>
      <c r="Z1239" s="11"/>
      <c r="AA1239" s="13">
        <f t="shared" si="294"/>
        <v>0</v>
      </c>
      <c r="AB1239" s="12">
        <f t="shared" si="295"/>
        <v>0</v>
      </c>
      <c r="AC1239" s="14">
        <f t="shared" si="298"/>
        <v>0</v>
      </c>
      <c r="AE1239" s="19">
        <f t="shared" si="296"/>
        <v>0</v>
      </c>
      <c r="AF1239" s="19"/>
      <c r="AG1239" s="17"/>
      <c r="AK1239" s="7"/>
      <c r="AL1239" s="108">
        <f t="shared" si="299"/>
        <v>0</v>
      </c>
      <c r="AM1239" s="108">
        <f t="shared" si="300"/>
        <v>0</v>
      </c>
      <c r="AN1239" s="113"/>
    </row>
    <row r="1240" spans="2:40" x14ac:dyDescent="0.2">
      <c r="B1240" s="7"/>
      <c r="C1240" s="8"/>
      <c r="D1240" s="8"/>
      <c r="E1240" s="9"/>
      <c r="F1240" s="6"/>
      <c r="G1240" s="8"/>
      <c r="H1240" s="32"/>
      <c r="I1240" s="10" t="str">
        <f t="shared" si="297"/>
        <v>21</v>
      </c>
      <c r="J1240" s="11">
        <v>1</v>
      </c>
      <c r="K1240" s="11"/>
      <c r="L1240" s="11"/>
      <c r="M1240" s="11">
        <f t="shared" si="286"/>
        <v>0</v>
      </c>
      <c r="N1240" s="11"/>
      <c r="O1240" s="11">
        <f t="shared" si="287"/>
        <v>0</v>
      </c>
      <c r="P1240" s="11"/>
      <c r="Q1240" s="11"/>
      <c r="R1240" s="11"/>
      <c r="S1240" s="11">
        <f t="shared" si="288"/>
        <v>0</v>
      </c>
      <c r="T1240" s="11">
        <f t="shared" si="289"/>
        <v>1666.6666666666667</v>
      </c>
      <c r="U1240" s="11">
        <f t="shared" si="290"/>
        <v>0</v>
      </c>
      <c r="V1240" s="24">
        <f t="shared" si="291"/>
        <v>0</v>
      </c>
      <c r="W1240" s="11">
        <f>IF(V1240&lt;=40000,0,
IF(V1240&lt;=55000,(V1240-40000)*10%,
IF(V1240&lt;=70000,(V1240-55000)*15%+1500,
IF(V1240&lt;=200000,(V1240-70000)*20%+1500+2250,
IF(V1240&lt;=400000,(V1240-200000)*22.5%+1500+2250+26000,
IF(V1240&lt;=600000,(V1240-400000)*25%+1500+2250+26000+45000,
IF(AND(V1240&gt;600000,V1240&lt;=1200000),(V1240-400000)*25%+1500+2250+26000+45000
+IFERROR(LOOKUP(V1240,{600001;700001;800001;900001},{4000;6750;10250;15250}),0),IF(V1240&gt;1200000,((V1240-1200000)*27.5%)+300000,0)
)))))))</f>
        <v>0</v>
      </c>
      <c r="X1240" s="12">
        <f t="shared" si="292"/>
        <v>0</v>
      </c>
      <c r="Y1240" s="12">
        <f t="shared" si="293"/>
        <v>0</v>
      </c>
      <c r="Z1240" s="11"/>
      <c r="AA1240" s="13">
        <f t="shared" si="294"/>
        <v>0</v>
      </c>
      <c r="AB1240" s="12">
        <f t="shared" si="295"/>
        <v>0</v>
      </c>
      <c r="AC1240" s="14">
        <f t="shared" si="298"/>
        <v>0</v>
      </c>
      <c r="AE1240" s="19">
        <f t="shared" si="296"/>
        <v>0</v>
      </c>
      <c r="AF1240" s="19"/>
      <c r="AG1240" s="17"/>
      <c r="AK1240" s="7"/>
      <c r="AL1240" s="108">
        <f t="shared" si="299"/>
        <v>0</v>
      </c>
      <c r="AM1240" s="108">
        <f t="shared" si="300"/>
        <v>0</v>
      </c>
      <c r="AN1240" s="113"/>
    </row>
    <row r="1241" spans="2:40" x14ac:dyDescent="0.2">
      <c r="B1241" s="7"/>
      <c r="C1241" s="8"/>
      <c r="D1241" s="8"/>
      <c r="E1241" s="9"/>
      <c r="F1241" s="6"/>
      <c r="G1241" s="8"/>
      <c r="H1241" s="32"/>
      <c r="I1241" s="10" t="str">
        <f t="shared" si="297"/>
        <v>21</v>
      </c>
      <c r="J1241" s="11">
        <v>1</v>
      </c>
      <c r="K1241" s="11"/>
      <c r="L1241" s="11"/>
      <c r="M1241" s="11">
        <f t="shared" si="286"/>
        <v>0</v>
      </c>
      <c r="N1241" s="11"/>
      <c r="O1241" s="11">
        <f t="shared" si="287"/>
        <v>0</v>
      </c>
      <c r="P1241" s="11"/>
      <c r="Q1241" s="11"/>
      <c r="R1241" s="11"/>
      <c r="S1241" s="11">
        <f t="shared" si="288"/>
        <v>0</v>
      </c>
      <c r="T1241" s="11">
        <f t="shared" si="289"/>
        <v>1666.6666666666667</v>
      </c>
      <c r="U1241" s="11">
        <f t="shared" si="290"/>
        <v>0</v>
      </c>
      <c r="V1241" s="24">
        <f t="shared" si="291"/>
        <v>0</v>
      </c>
      <c r="W1241" s="11">
        <f>IF(V1241&lt;=40000,0,
IF(V1241&lt;=55000,(V1241-40000)*10%,
IF(V1241&lt;=70000,(V1241-55000)*15%+1500,
IF(V1241&lt;=200000,(V1241-70000)*20%+1500+2250,
IF(V1241&lt;=400000,(V1241-200000)*22.5%+1500+2250+26000,
IF(V1241&lt;=600000,(V1241-400000)*25%+1500+2250+26000+45000,
IF(AND(V1241&gt;600000,V1241&lt;=1200000),(V1241-400000)*25%+1500+2250+26000+45000
+IFERROR(LOOKUP(V1241,{600001;700001;800001;900001},{4000;6750;10250;15250}),0),IF(V1241&gt;1200000,((V1241-1200000)*27.5%)+300000,0)
)))))))</f>
        <v>0</v>
      </c>
      <c r="X1241" s="12">
        <f t="shared" si="292"/>
        <v>0</v>
      </c>
      <c r="Y1241" s="12">
        <f t="shared" si="293"/>
        <v>0</v>
      </c>
      <c r="Z1241" s="11"/>
      <c r="AA1241" s="13">
        <f t="shared" si="294"/>
        <v>0</v>
      </c>
      <c r="AB1241" s="12">
        <f t="shared" si="295"/>
        <v>0</v>
      </c>
      <c r="AC1241" s="14">
        <f t="shared" si="298"/>
        <v>0</v>
      </c>
      <c r="AE1241" s="19">
        <f t="shared" si="296"/>
        <v>0</v>
      </c>
      <c r="AF1241" s="19"/>
      <c r="AG1241" s="17"/>
      <c r="AK1241" s="7"/>
      <c r="AL1241" s="108">
        <f t="shared" si="299"/>
        <v>0</v>
      </c>
      <c r="AM1241" s="108">
        <f t="shared" si="300"/>
        <v>0</v>
      </c>
      <c r="AN1241" s="113"/>
    </row>
    <row r="1242" spans="2:40" x14ac:dyDescent="0.2">
      <c r="B1242" s="7"/>
      <c r="C1242" s="8"/>
      <c r="D1242" s="8"/>
      <c r="E1242" s="9"/>
      <c r="F1242" s="6"/>
      <c r="G1242" s="8"/>
      <c r="H1242" s="32"/>
      <c r="I1242" s="10" t="str">
        <f t="shared" si="297"/>
        <v>21</v>
      </c>
      <c r="J1242" s="11">
        <v>1</v>
      </c>
      <c r="K1242" s="11"/>
      <c r="L1242" s="11"/>
      <c r="M1242" s="11">
        <f t="shared" si="286"/>
        <v>0</v>
      </c>
      <c r="N1242" s="11"/>
      <c r="O1242" s="11">
        <f t="shared" si="287"/>
        <v>0</v>
      </c>
      <c r="P1242" s="11"/>
      <c r="Q1242" s="11"/>
      <c r="R1242" s="11"/>
      <c r="S1242" s="11">
        <f t="shared" si="288"/>
        <v>0</v>
      </c>
      <c r="T1242" s="11">
        <f t="shared" si="289"/>
        <v>1666.6666666666667</v>
      </c>
      <c r="U1242" s="11">
        <f t="shared" si="290"/>
        <v>0</v>
      </c>
      <c r="V1242" s="24">
        <f t="shared" si="291"/>
        <v>0</v>
      </c>
      <c r="W1242" s="11">
        <f>IF(V1242&lt;=40000,0,
IF(V1242&lt;=55000,(V1242-40000)*10%,
IF(V1242&lt;=70000,(V1242-55000)*15%+1500,
IF(V1242&lt;=200000,(V1242-70000)*20%+1500+2250,
IF(V1242&lt;=400000,(V1242-200000)*22.5%+1500+2250+26000,
IF(V1242&lt;=600000,(V1242-400000)*25%+1500+2250+26000+45000,
IF(AND(V1242&gt;600000,V1242&lt;=1200000),(V1242-400000)*25%+1500+2250+26000+45000
+IFERROR(LOOKUP(V1242,{600001;700001;800001;900001},{4000;6750;10250;15250}),0),IF(V1242&gt;1200000,((V1242-1200000)*27.5%)+300000,0)
)))))))</f>
        <v>0</v>
      </c>
      <c r="X1242" s="12">
        <f t="shared" si="292"/>
        <v>0</v>
      </c>
      <c r="Y1242" s="12">
        <f t="shared" si="293"/>
        <v>0</v>
      </c>
      <c r="Z1242" s="11"/>
      <c r="AA1242" s="13">
        <f t="shared" si="294"/>
        <v>0</v>
      </c>
      <c r="AB1242" s="12">
        <f t="shared" si="295"/>
        <v>0</v>
      </c>
      <c r="AC1242" s="14">
        <f t="shared" si="298"/>
        <v>0</v>
      </c>
      <c r="AE1242" s="19">
        <f t="shared" si="296"/>
        <v>0</v>
      </c>
      <c r="AF1242" s="19"/>
      <c r="AG1242" s="17"/>
      <c r="AK1242" s="7"/>
      <c r="AL1242" s="108">
        <f t="shared" si="299"/>
        <v>0</v>
      </c>
      <c r="AM1242" s="108">
        <f t="shared" si="300"/>
        <v>0</v>
      </c>
      <c r="AN1242" s="113"/>
    </row>
    <row r="1243" spans="2:40" x14ac:dyDescent="0.2">
      <c r="B1243" s="7"/>
      <c r="C1243" s="8"/>
      <c r="D1243" s="8"/>
      <c r="E1243" s="9"/>
      <c r="F1243" s="6"/>
      <c r="G1243" s="8"/>
      <c r="H1243" s="32"/>
      <c r="I1243" s="10" t="str">
        <f t="shared" si="297"/>
        <v>21</v>
      </c>
      <c r="J1243" s="11">
        <v>1</v>
      </c>
      <c r="K1243" s="11"/>
      <c r="L1243" s="11"/>
      <c r="M1243" s="11">
        <f t="shared" si="286"/>
        <v>0</v>
      </c>
      <c r="N1243" s="11"/>
      <c r="O1243" s="11">
        <f t="shared" si="287"/>
        <v>0</v>
      </c>
      <c r="P1243" s="11"/>
      <c r="Q1243" s="11"/>
      <c r="R1243" s="11"/>
      <c r="S1243" s="11">
        <f t="shared" si="288"/>
        <v>0</v>
      </c>
      <c r="T1243" s="11">
        <f t="shared" si="289"/>
        <v>1666.6666666666667</v>
      </c>
      <c r="U1243" s="11">
        <f t="shared" si="290"/>
        <v>0</v>
      </c>
      <c r="V1243" s="24">
        <f t="shared" si="291"/>
        <v>0</v>
      </c>
      <c r="W1243" s="11">
        <f>IF(V1243&lt;=40000,0,
IF(V1243&lt;=55000,(V1243-40000)*10%,
IF(V1243&lt;=70000,(V1243-55000)*15%+1500,
IF(V1243&lt;=200000,(V1243-70000)*20%+1500+2250,
IF(V1243&lt;=400000,(V1243-200000)*22.5%+1500+2250+26000,
IF(V1243&lt;=600000,(V1243-400000)*25%+1500+2250+26000+45000,
IF(AND(V1243&gt;600000,V1243&lt;=1200000),(V1243-400000)*25%+1500+2250+26000+45000
+IFERROR(LOOKUP(V1243,{600001;700001;800001;900001},{4000;6750;10250;15250}),0),IF(V1243&gt;1200000,((V1243-1200000)*27.5%)+300000,0)
)))))))</f>
        <v>0</v>
      </c>
      <c r="X1243" s="12">
        <f t="shared" si="292"/>
        <v>0</v>
      </c>
      <c r="Y1243" s="12">
        <f t="shared" si="293"/>
        <v>0</v>
      </c>
      <c r="Z1243" s="11"/>
      <c r="AA1243" s="13">
        <f t="shared" si="294"/>
        <v>0</v>
      </c>
      <c r="AB1243" s="12">
        <f t="shared" si="295"/>
        <v>0</v>
      </c>
      <c r="AC1243" s="14">
        <f t="shared" si="298"/>
        <v>0</v>
      </c>
      <c r="AE1243" s="19">
        <f t="shared" si="296"/>
        <v>0</v>
      </c>
      <c r="AF1243" s="19"/>
      <c r="AG1243" s="17"/>
      <c r="AK1243" s="7"/>
      <c r="AL1243" s="108">
        <f t="shared" si="299"/>
        <v>0</v>
      </c>
      <c r="AM1243" s="108">
        <f t="shared" si="300"/>
        <v>0</v>
      </c>
      <c r="AN1243" s="113"/>
    </row>
    <row r="1244" spans="2:40" x14ac:dyDescent="0.2">
      <c r="B1244" s="7"/>
      <c r="C1244" s="8"/>
      <c r="D1244" s="8"/>
      <c r="E1244" s="9"/>
      <c r="F1244" s="6"/>
      <c r="G1244" s="8"/>
      <c r="H1244" s="32"/>
      <c r="I1244" s="10" t="str">
        <f t="shared" si="297"/>
        <v>21</v>
      </c>
      <c r="J1244" s="11">
        <v>1</v>
      </c>
      <c r="K1244" s="11"/>
      <c r="L1244" s="11"/>
      <c r="M1244" s="11">
        <f t="shared" si="286"/>
        <v>0</v>
      </c>
      <c r="N1244" s="11"/>
      <c r="O1244" s="11">
        <f t="shared" si="287"/>
        <v>0</v>
      </c>
      <c r="P1244" s="11"/>
      <c r="Q1244" s="11"/>
      <c r="R1244" s="11"/>
      <c r="S1244" s="11">
        <f t="shared" si="288"/>
        <v>0</v>
      </c>
      <c r="T1244" s="11">
        <f t="shared" si="289"/>
        <v>1666.6666666666667</v>
      </c>
      <c r="U1244" s="11">
        <f t="shared" si="290"/>
        <v>0</v>
      </c>
      <c r="V1244" s="24">
        <f t="shared" si="291"/>
        <v>0</v>
      </c>
      <c r="W1244" s="11">
        <f>IF(V1244&lt;=40000,0,
IF(V1244&lt;=55000,(V1244-40000)*10%,
IF(V1244&lt;=70000,(V1244-55000)*15%+1500,
IF(V1244&lt;=200000,(V1244-70000)*20%+1500+2250,
IF(V1244&lt;=400000,(V1244-200000)*22.5%+1500+2250+26000,
IF(V1244&lt;=600000,(V1244-400000)*25%+1500+2250+26000+45000,
IF(AND(V1244&gt;600000,V1244&lt;=1200000),(V1244-400000)*25%+1500+2250+26000+45000
+IFERROR(LOOKUP(V1244,{600001;700001;800001;900001},{4000;6750;10250;15250}),0),IF(V1244&gt;1200000,((V1244-1200000)*27.5%)+300000,0)
)))))))</f>
        <v>0</v>
      </c>
      <c r="X1244" s="12">
        <f t="shared" si="292"/>
        <v>0</v>
      </c>
      <c r="Y1244" s="12">
        <f t="shared" si="293"/>
        <v>0</v>
      </c>
      <c r="Z1244" s="11"/>
      <c r="AA1244" s="13">
        <f t="shared" si="294"/>
        <v>0</v>
      </c>
      <c r="AB1244" s="12">
        <f t="shared" si="295"/>
        <v>0</v>
      </c>
      <c r="AC1244" s="14">
        <f t="shared" si="298"/>
        <v>0</v>
      </c>
      <c r="AE1244" s="19">
        <f t="shared" si="296"/>
        <v>0</v>
      </c>
      <c r="AF1244" s="19"/>
      <c r="AG1244" s="17"/>
      <c r="AK1244" s="7"/>
      <c r="AL1244" s="108">
        <f t="shared" si="299"/>
        <v>0</v>
      </c>
      <c r="AM1244" s="108">
        <f t="shared" si="300"/>
        <v>0</v>
      </c>
      <c r="AN1244" s="113"/>
    </row>
    <row r="1245" spans="2:40" x14ac:dyDescent="0.2">
      <c r="B1245" s="7"/>
      <c r="C1245" s="8"/>
      <c r="D1245" s="8"/>
      <c r="E1245" s="9"/>
      <c r="F1245" s="6"/>
      <c r="G1245" s="8"/>
      <c r="H1245" s="32"/>
      <c r="I1245" s="10" t="str">
        <f t="shared" si="297"/>
        <v>21</v>
      </c>
      <c r="J1245" s="11">
        <v>1</v>
      </c>
      <c r="K1245" s="11"/>
      <c r="L1245" s="11"/>
      <c r="M1245" s="11">
        <f t="shared" ref="M1245:M1308" si="301">SUM(K1245:L1245)</f>
        <v>0</v>
      </c>
      <c r="N1245" s="11"/>
      <c r="O1245" s="11">
        <f t="shared" ref="O1245:O1308" si="302">+N1245+M1245</f>
        <v>0</v>
      </c>
      <c r="P1245" s="11"/>
      <c r="Q1245" s="11"/>
      <c r="R1245" s="11"/>
      <c r="S1245" s="11">
        <f t="shared" ref="S1245:S1308" si="303">O1245-P1245-Q1245-R1245</f>
        <v>0</v>
      </c>
      <c r="T1245" s="11">
        <f t="shared" ref="T1245:T1308" si="304">IF(J1245&gt;0,(20000/12*J1245),0)</f>
        <v>1666.6666666666667</v>
      </c>
      <c r="U1245" s="11">
        <f t="shared" ref="U1245:U1308" si="305">IF(AND(J1245&gt;0,S1245-T1245&gt;0),S1245-T1245,0)</f>
        <v>0</v>
      </c>
      <c r="V1245" s="24">
        <f t="shared" ref="V1245:V1308" si="306">IF(J1245=0,0,(U1245/J1245*12))</f>
        <v>0</v>
      </c>
      <c r="W1245" s="11">
        <f>IF(V1245&lt;=40000,0,
IF(V1245&lt;=55000,(V1245-40000)*10%,
IF(V1245&lt;=70000,(V1245-55000)*15%+1500,
IF(V1245&lt;=200000,(V1245-70000)*20%+1500+2250,
IF(V1245&lt;=400000,(V1245-200000)*22.5%+1500+2250+26000,
IF(V1245&lt;=600000,(V1245-400000)*25%+1500+2250+26000+45000,
IF(AND(V1245&gt;600000,V1245&lt;=1200000),(V1245-400000)*25%+1500+2250+26000+45000
+IFERROR(LOOKUP(V1245,{600001;700001;800001;900001},{4000;6750;10250;15250}),0),IF(V1245&gt;1200000,((V1245-1200000)*27.5%)+300000,0)
)))))))</f>
        <v>0</v>
      </c>
      <c r="X1245" s="12">
        <f t="shared" ref="X1245:X1308" si="307">N1245*0.1</f>
        <v>0</v>
      </c>
      <c r="Y1245" s="12">
        <f t="shared" ref="Y1245:Y1308" si="308">(W1245/12*J1245)-X1245</f>
        <v>0</v>
      </c>
      <c r="Z1245" s="11"/>
      <c r="AA1245" s="13">
        <f t="shared" ref="AA1245:AA1308" si="309">+O1245-P1245-Y1245-Z1245</f>
        <v>0</v>
      </c>
      <c r="AB1245" s="12">
        <f t="shared" ref="AB1245:AB1308" si="310">(P1245/0.11)*18.75%</f>
        <v>0</v>
      </c>
      <c r="AC1245" s="14">
        <f t="shared" si="298"/>
        <v>0</v>
      </c>
      <c r="AE1245" s="19">
        <f t="shared" ref="AE1245:AE1308" si="311">+AD1245-AC1245</f>
        <v>0</v>
      </c>
      <c r="AF1245" s="19"/>
      <c r="AG1245" s="17"/>
      <c r="AK1245" s="7"/>
      <c r="AL1245" s="108">
        <f t="shared" si="299"/>
        <v>0</v>
      </c>
      <c r="AM1245" s="108">
        <f t="shared" si="300"/>
        <v>0</v>
      </c>
      <c r="AN1245" s="113"/>
    </row>
    <row r="1246" spans="2:40" x14ac:dyDescent="0.2">
      <c r="B1246" s="7"/>
      <c r="C1246" s="8"/>
      <c r="D1246" s="8"/>
      <c r="E1246" s="9"/>
      <c r="F1246" s="6"/>
      <c r="G1246" s="8"/>
      <c r="H1246" s="32"/>
      <c r="I1246" s="10" t="str">
        <f t="shared" si="297"/>
        <v>21</v>
      </c>
      <c r="J1246" s="11">
        <v>1</v>
      </c>
      <c r="K1246" s="11"/>
      <c r="L1246" s="11"/>
      <c r="M1246" s="11">
        <f t="shared" si="301"/>
        <v>0</v>
      </c>
      <c r="N1246" s="11"/>
      <c r="O1246" s="11">
        <f t="shared" si="302"/>
        <v>0</v>
      </c>
      <c r="P1246" s="11"/>
      <c r="Q1246" s="11"/>
      <c r="R1246" s="11"/>
      <c r="S1246" s="11">
        <f t="shared" si="303"/>
        <v>0</v>
      </c>
      <c r="T1246" s="11">
        <f t="shared" si="304"/>
        <v>1666.6666666666667</v>
      </c>
      <c r="U1246" s="11">
        <f t="shared" si="305"/>
        <v>0</v>
      </c>
      <c r="V1246" s="24">
        <f t="shared" si="306"/>
        <v>0</v>
      </c>
      <c r="W1246" s="11">
        <f>IF(V1246&lt;=40000,0,
IF(V1246&lt;=55000,(V1246-40000)*10%,
IF(V1246&lt;=70000,(V1246-55000)*15%+1500,
IF(V1246&lt;=200000,(V1246-70000)*20%+1500+2250,
IF(V1246&lt;=400000,(V1246-200000)*22.5%+1500+2250+26000,
IF(V1246&lt;=600000,(V1246-400000)*25%+1500+2250+26000+45000,
IF(AND(V1246&gt;600000,V1246&lt;=1200000),(V1246-400000)*25%+1500+2250+26000+45000
+IFERROR(LOOKUP(V1246,{600001;700001;800001;900001},{4000;6750;10250;15250}),0),IF(V1246&gt;1200000,((V1246-1200000)*27.5%)+300000,0)
)))))))</f>
        <v>0</v>
      </c>
      <c r="X1246" s="12">
        <f t="shared" si="307"/>
        <v>0</v>
      </c>
      <c r="Y1246" s="12">
        <f t="shared" si="308"/>
        <v>0</v>
      </c>
      <c r="Z1246" s="11"/>
      <c r="AA1246" s="13">
        <f t="shared" si="309"/>
        <v>0</v>
      </c>
      <c r="AB1246" s="12">
        <f t="shared" si="310"/>
        <v>0</v>
      </c>
      <c r="AC1246" s="14">
        <f t="shared" si="298"/>
        <v>0</v>
      </c>
      <c r="AE1246" s="19">
        <f t="shared" si="311"/>
        <v>0</v>
      </c>
      <c r="AF1246" s="19"/>
      <c r="AG1246" s="17"/>
      <c r="AK1246" s="7"/>
      <c r="AL1246" s="108">
        <f t="shared" si="299"/>
        <v>0</v>
      </c>
      <c r="AM1246" s="108">
        <f t="shared" si="300"/>
        <v>0</v>
      </c>
      <c r="AN1246" s="113"/>
    </row>
    <row r="1247" spans="2:40" x14ac:dyDescent="0.2">
      <c r="B1247" s="7"/>
      <c r="C1247" s="8"/>
      <c r="D1247" s="8"/>
      <c r="E1247" s="9"/>
      <c r="F1247" s="6"/>
      <c r="G1247" s="8"/>
      <c r="H1247" s="32"/>
      <c r="I1247" s="10" t="str">
        <f t="shared" si="297"/>
        <v>21</v>
      </c>
      <c r="J1247" s="11">
        <v>1</v>
      </c>
      <c r="K1247" s="11"/>
      <c r="L1247" s="11"/>
      <c r="M1247" s="11">
        <f t="shared" si="301"/>
        <v>0</v>
      </c>
      <c r="N1247" s="11"/>
      <c r="O1247" s="11">
        <f t="shared" si="302"/>
        <v>0</v>
      </c>
      <c r="P1247" s="11"/>
      <c r="Q1247" s="11"/>
      <c r="R1247" s="11"/>
      <c r="S1247" s="11">
        <f t="shared" si="303"/>
        <v>0</v>
      </c>
      <c r="T1247" s="11">
        <f t="shared" si="304"/>
        <v>1666.6666666666667</v>
      </c>
      <c r="U1247" s="11">
        <f t="shared" si="305"/>
        <v>0</v>
      </c>
      <c r="V1247" s="24">
        <f t="shared" si="306"/>
        <v>0</v>
      </c>
      <c r="W1247" s="11">
        <f>IF(V1247&lt;=40000,0,
IF(V1247&lt;=55000,(V1247-40000)*10%,
IF(V1247&lt;=70000,(V1247-55000)*15%+1500,
IF(V1247&lt;=200000,(V1247-70000)*20%+1500+2250,
IF(V1247&lt;=400000,(V1247-200000)*22.5%+1500+2250+26000,
IF(V1247&lt;=600000,(V1247-400000)*25%+1500+2250+26000+45000,
IF(AND(V1247&gt;600000,V1247&lt;=1200000),(V1247-400000)*25%+1500+2250+26000+45000
+IFERROR(LOOKUP(V1247,{600001;700001;800001;900001},{4000;6750;10250;15250}),0),IF(V1247&gt;1200000,((V1247-1200000)*27.5%)+300000,0)
)))))))</f>
        <v>0</v>
      </c>
      <c r="X1247" s="12">
        <f t="shared" si="307"/>
        <v>0</v>
      </c>
      <c r="Y1247" s="12">
        <f t="shared" si="308"/>
        <v>0</v>
      </c>
      <c r="Z1247" s="11"/>
      <c r="AA1247" s="13">
        <f t="shared" si="309"/>
        <v>0</v>
      </c>
      <c r="AB1247" s="12">
        <f t="shared" si="310"/>
        <v>0</v>
      </c>
      <c r="AC1247" s="14">
        <f t="shared" si="298"/>
        <v>0</v>
      </c>
      <c r="AE1247" s="19">
        <f t="shared" si="311"/>
        <v>0</v>
      </c>
      <c r="AF1247" s="19"/>
      <c r="AG1247" s="17"/>
      <c r="AK1247" s="7"/>
      <c r="AL1247" s="108">
        <f t="shared" si="299"/>
        <v>0</v>
      </c>
      <c r="AM1247" s="108">
        <f t="shared" si="300"/>
        <v>0</v>
      </c>
      <c r="AN1247" s="113"/>
    </row>
    <row r="1248" spans="2:40" x14ac:dyDescent="0.2">
      <c r="B1248" s="7"/>
      <c r="C1248" s="8"/>
      <c r="D1248" s="8"/>
      <c r="E1248" s="9"/>
      <c r="F1248" s="6"/>
      <c r="G1248" s="8"/>
      <c r="H1248" s="32"/>
      <c r="I1248" s="10" t="str">
        <f t="shared" si="297"/>
        <v>21</v>
      </c>
      <c r="J1248" s="11">
        <v>1</v>
      </c>
      <c r="K1248" s="11"/>
      <c r="L1248" s="11"/>
      <c r="M1248" s="11">
        <f t="shared" si="301"/>
        <v>0</v>
      </c>
      <c r="N1248" s="11"/>
      <c r="O1248" s="11">
        <f t="shared" si="302"/>
        <v>0</v>
      </c>
      <c r="P1248" s="11"/>
      <c r="Q1248" s="11"/>
      <c r="R1248" s="11"/>
      <c r="S1248" s="11">
        <f t="shared" si="303"/>
        <v>0</v>
      </c>
      <c r="T1248" s="11">
        <f t="shared" si="304"/>
        <v>1666.6666666666667</v>
      </c>
      <c r="U1248" s="11">
        <f t="shared" si="305"/>
        <v>0</v>
      </c>
      <c r="V1248" s="24">
        <f t="shared" si="306"/>
        <v>0</v>
      </c>
      <c r="W1248" s="11">
        <f>IF(V1248&lt;=40000,0,
IF(V1248&lt;=55000,(V1248-40000)*10%,
IF(V1248&lt;=70000,(V1248-55000)*15%+1500,
IF(V1248&lt;=200000,(V1248-70000)*20%+1500+2250,
IF(V1248&lt;=400000,(V1248-200000)*22.5%+1500+2250+26000,
IF(V1248&lt;=600000,(V1248-400000)*25%+1500+2250+26000+45000,
IF(AND(V1248&gt;600000,V1248&lt;=1200000),(V1248-400000)*25%+1500+2250+26000+45000
+IFERROR(LOOKUP(V1248,{600001;700001;800001;900001},{4000;6750;10250;15250}),0),IF(V1248&gt;1200000,((V1248-1200000)*27.5%)+300000,0)
)))))))</f>
        <v>0</v>
      </c>
      <c r="X1248" s="12">
        <f t="shared" si="307"/>
        <v>0</v>
      </c>
      <c r="Y1248" s="12">
        <f t="shared" si="308"/>
        <v>0</v>
      </c>
      <c r="Z1248" s="11"/>
      <c r="AA1248" s="13">
        <f t="shared" si="309"/>
        <v>0</v>
      </c>
      <c r="AB1248" s="12">
        <f t="shared" si="310"/>
        <v>0</v>
      </c>
      <c r="AC1248" s="14">
        <f t="shared" si="298"/>
        <v>0</v>
      </c>
      <c r="AE1248" s="19">
        <f t="shared" si="311"/>
        <v>0</v>
      </c>
      <c r="AF1248" s="19"/>
      <c r="AG1248" s="17"/>
      <c r="AK1248" s="7"/>
      <c r="AL1248" s="108">
        <f t="shared" si="299"/>
        <v>0</v>
      </c>
      <c r="AM1248" s="108">
        <f t="shared" si="300"/>
        <v>0</v>
      </c>
      <c r="AN1248" s="113"/>
    </row>
    <row r="1249" spans="2:40" x14ac:dyDescent="0.2">
      <c r="B1249" s="7"/>
      <c r="C1249" s="8"/>
      <c r="D1249" s="8"/>
      <c r="E1249" s="9"/>
      <c r="F1249" s="6"/>
      <c r="G1249" s="8"/>
      <c r="H1249" s="32"/>
      <c r="I1249" s="10" t="str">
        <f t="shared" si="297"/>
        <v>21</v>
      </c>
      <c r="J1249" s="11">
        <v>1</v>
      </c>
      <c r="K1249" s="11"/>
      <c r="L1249" s="11"/>
      <c r="M1249" s="11">
        <f t="shared" si="301"/>
        <v>0</v>
      </c>
      <c r="N1249" s="11"/>
      <c r="O1249" s="11">
        <f t="shared" si="302"/>
        <v>0</v>
      </c>
      <c r="P1249" s="11"/>
      <c r="Q1249" s="11"/>
      <c r="R1249" s="11"/>
      <c r="S1249" s="11">
        <f t="shared" si="303"/>
        <v>0</v>
      </c>
      <c r="T1249" s="11">
        <f t="shared" si="304"/>
        <v>1666.6666666666667</v>
      </c>
      <c r="U1249" s="11">
        <f t="shared" si="305"/>
        <v>0</v>
      </c>
      <c r="V1249" s="24">
        <f t="shared" si="306"/>
        <v>0</v>
      </c>
      <c r="W1249" s="11">
        <f>IF(V1249&lt;=40000,0,
IF(V1249&lt;=55000,(V1249-40000)*10%,
IF(V1249&lt;=70000,(V1249-55000)*15%+1500,
IF(V1249&lt;=200000,(V1249-70000)*20%+1500+2250,
IF(V1249&lt;=400000,(V1249-200000)*22.5%+1500+2250+26000,
IF(V1249&lt;=600000,(V1249-400000)*25%+1500+2250+26000+45000,
IF(AND(V1249&gt;600000,V1249&lt;=1200000),(V1249-400000)*25%+1500+2250+26000+45000
+IFERROR(LOOKUP(V1249,{600001;700001;800001;900001},{4000;6750;10250;15250}),0),IF(V1249&gt;1200000,((V1249-1200000)*27.5%)+300000,0)
)))))))</f>
        <v>0</v>
      </c>
      <c r="X1249" s="12">
        <f t="shared" si="307"/>
        <v>0</v>
      </c>
      <c r="Y1249" s="12">
        <f t="shared" si="308"/>
        <v>0</v>
      </c>
      <c r="Z1249" s="11"/>
      <c r="AA1249" s="13">
        <f t="shared" si="309"/>
        <v>0</v>
      </c>
      <c r="AB1249" s="12">
        <f t="shared" si="310"/>
        <v>0</v>
      </c>
      <c r="AC1249" s="14">
        <f t="shared" si="298"/>
        <v>0</v>
      </c>
      <c r="AE1249" s="19">
        <f t="shared" si="311"/>
        <v>0</v>
      </c>
      <c r="AF1249" s="19"/>
      <c r="AG1249" s="17"/>
      <c r="AK1249" s="7"/>
      <c r="AL1249" s="108">
        <f t="shared" si="299"/>
        <v>0</v>
      </c>
      <c r="AM1249" s="108">
        <f t="shared" si="300"/>
        <v>0</v>
      </c>
      <c r="AN1249" s="113"/>
    </row>
    <row r="1250" spans="2:40" x14ac:dyDescent="0.2">
      <c r="B1250" s="7"/>
      <c r="C1250" s="8"/>
      <c r="D1250" s="8"/>
      <c r="E1250" s="9"/>
      <c r="F1250" s="6"/>
      <c r="G1250" s="8"/>
      <c r="H1250" s="32"/>
      <c r="I1250" s="10" t="str">
        <f t="shared" si="297"/>
        <v>21</v>
      </c>
      <c r="J1250" s="11">
        <v>1</v>
      </c>
      <c r="K1250" s="11"/>
      <c r="L1250" s="11"/>
      <c r="M1250" s="11">
        <f t="shared" si="301"/>
        <v>0</v>
      </c>
      <c r="N1250" s="11"/>
      <c r="O1250" s="11">
        <f t="shared" si="302"/>
        <v>0</v>
      </c>
      <c r="P1250" s="11"/>
      <c r="Q1250" s="11"/>
      <c r="R1250" s="11"/>
      <c r="S1250" s="11">
        <f t="shared" si="303"/>
        <v>0</v>
      </c>
      <c r="T1250" s="11">
        <f t="shared" si="304"/>
        <v>1666.6666666666667</v>
      </c>
      <c r="U1250" s="11">
        <f t="shared" si="305"/>
        <v>0</v>
      </c>
      <c r="V1250" s="24">
        <f t="shared" si="306"/>
        <v>0</v>
      </c>
      <c r="W1250" s="11">
        <f>IF(V1250&lt;=40000,0,
IF(V1250&lt;=55000,(V1250-40000)*10%,
IF(V1250&lt;=70000,(V1250-55000)*15%+1500,
IF(V1250&lt;=200000,(V1250-70000)*20%+1500+2250,
IF(V1250&lt;=400000,(V1250-200000)*22.5%+1500+2250+26000,
IF(V1250&lt;=600000,(V1250-400000)*25%+1500+2250+26000+45000,
IF(AND(V1250&gt;600000,V1250&lt;=1200000),(V1250-400000)*25%+1500+2250+26000+45000
+IFERROR(LOOKUP(V1250,{600001;700001;800001;900001},{4000;6750;10250;15250}),0),IF(V1250&gt;1200000,((V1250-1200000)*27.5%)+300000,0)
)))))))</f>
        <v>0</v>
      </c>
      <c r="X1250" s="12">
        <f t="shared" si="307"/>
        <v>0</v>
      </c>
      <c r="Y1250" s="12">
        <f t="shared" si="308"/>
        <v>0</v>
      </c>
      <c r="Z1250" s="11"/>
      <c r="AA1250" s="13">
        <f t="shared" si="309"/>
        <v>0</v>
      </c>
      <c r="AB1250" s="12">
        <f t="shared" si="310"/>
        <v>0</v>
      </c>
      <c r="AC1250" s="14">
        <f t="shared" si="298"/>
        <v>0</v>
      </c>
      <c r="AE1250" s="19">
        <f t="shared" si="311"/>
        <v>0</v>
      </c>
      <c r="AF1250" s="19"/>
      <c r="AG1250" s="17"/>
      <c r="AK1250" s="7"/>
      <c r="AL1250" s="108">
        <f t="shared" si="299"/>
        <v>0</v>
      </c>
      <c r="AM1250" s="108">
        <f t="shared" si="300"/>
        <v>0</v>
      </c>
      <c r="AN1250" s="113"/>
    </row>
    <row r="1251" spans="2:40" x14ac:dyDescent="0.2">
      <c r="B1251" s="7"/>
      <c r="C1251" s="8"/>
      <c r="D1251" s="8"/>
      <c r="E1251" s="9"/>
      <c r="F1251" s="6"/>
      <c r="G1251" s="8"/>
      <c r="H1251" s="32"/>
      <c r="I1251" s="10" t="str">
        <f t="shared" si="297"/>
        <v>21</v>
      </c>
      <c r="J1251" s="11">
        <v>1</v>
      </c>
      <c r="K1251" s="11"/>
      <c r="L1251" s="11"/>
      <c r="M1251" s="11">
        <f t="shared" si="301"/>
        <v>0</v>
      </c>
      <c r="N1251" s="11"/>
      <c r="O1251" s="11">
        <f t="shared" si="302"/>
        <v>0</v>
      </c>
      <c r="P1251" s="11"/>
      <c r="Q1251" s="11"/>
      <c r="R1251" s="11"/>
      <c r="S1251" s="11">
        <f t="shared" si="303"/>
        <v>0</v>
      </c>
      <c r="T1251" s="11">
        <f t="shared" si="304"/>
        <v>1666.6666666666667</v>
      </c>
      <c r="U1251" s="11">
        <f t="shared" si="305"/>
        <v>0</v>
      </c>
      <c r="V1251" s="24">
        <f t="shared" si="306"/>
        <v>0</v>
      </c>
      <c r="W1251" s="11">
        <f>IF(V1251&lt;=40000,0,
IF(V1251&lt;=55000,(V1251-40000)*10%,
IF(V1251&lt;=70000,(V1251-55000)*15%+1500,
IF(V1251&lt;=200000,(V1251-70000)*20%+1500+2250,
IF(V1251&lt;=400000,(V1251-200000)*22.5%+1500+2250+26000,
IF(V1251&lt;=600000,(V1251-400000)*25%+1500+2250+26000+45000,
IF(AND(V1251&gt;600000,V1251&lt;=1200000),(V1251-400000)*25%+1500+2250+26000+45000
+IFERROR(LOOKUP(V1251,{600001;700001;800001;900001},{4000;6750;10250;15250}),0),IF(V1251&gt;1200000,((V1251-1200000)*27.5%)+300000,0)
)))))))</f>
        <v>0</v>
      </c>
      <c r="X1251" s="12">
        <f t="shared" si="307"/>
        <v>0</v>
      </c>
      <c r="Y1251" s="12">
        <f t="shared" si="308"/>
        <v>0</v>
      </c>
      <c r="Z1251" s="11"/>
      <c r="AA1251" s="13">
        <f t="shared" si="309"/>
        <v>0</v>
      </c>
      <c r="AB1251" s="12">
        <f t="shared" si="310"/>
        <v>0</v>
      </c>
      <c r="AC1251" s="14">
        <f t="shared" si="298"/>
        <v>0</v>
      </c>
      <c r="AE1251" s="19">
        <f t="shared" si="311"/>
        <v>0</v>
      </c>
      <c r="AF1251" s="19"/>
      <c r="AG1251" s="17"/>
      <c r="AK1251" s="7"/>
      <c r="AL1251" s="108">
        <f t="shared" si="299"/>
        <v>0</v>
      </c>
      <c r="AM1251" s="108">
        <f t="shared" si="300"/>
        <v>0</v>
      </c>
      <c r="AN1251" s="113"/>
    </row>
    <row r="1252" spans="2:40" x14ac:dyDescent="0.2">
      <c r="B1252" s="7"/>
      <c r="C1252" s="8"/>
      <c r="D1252" s="8"/>
      <c r="E1252" s="9"/>
      <c r="F1252" s="6"/>
      <c r="G1252" s="8"/>
      <c r="H1252" s="32"/>
      <c r="I1252" s="10" t="str">
        <f t="shared" si="297"/>
        <v>21</v>
      </c>
      <c r="J1252" s="11">
        <v>1</v>
      </c>
      <c r="K1252" s="11"/>
      <c r="L1252" s="11"/>
      <c r="M1252" s="11">
        <f t="shared" si="301"/>
        <v>0</v>
      </c>
      <c r="N1252" s="11"/>
      <c r="O1252" s="11">
        <f t="shared" si="302"/>
        <v>0</v>
      </c>
      <c r="P1252" s="11"/>
      <c r="Q1252" s="11"/>
      <c r="R1252" s="11"/>
      <c r="S1252" s="11">
        <f t="shared" si="303"/>
        <v>0</v>
      </c>
      <c r="T1252" s="11">
        <f t="shared" si="304"/>
        <v>1666.6666666666667</v>
      </c>
      <c r="U1252" s="11">
        <f t="shared" si="305"/>
        <v>0</v>
      </c>
      <c r="V1252" s="24">
        <f t="shared" si="306"/>
        <v>0</v>
      </c>
      <c r="W1252" s="11">
        <f>IF(V1252&lt;=40000,0,
IF(V1252&lt;=55000,(V1252-40000)*10%,
IF(V1252&lt;=70000,(V1252-55000)*15%+1500,
IF(V1252&lt;=200000,(V1252-70000)*20%+1500+2250,
IF(V1252&lt;=400000,(V1252-200000)*22.5%+1500+2250+26000,
IF(V1252&lt;=600000,(V1252-400000)*25%+1500+2250+26000+45000,
IF(AND(V1252&gt;600000,V1252&lt;=1200000),(V1252-400000)*25%+1500+2250+26000+45000
+IFERROR(LOOKUP(V1252,{600001;700001;800001;900001},{4000;6750;10250;15250}),0),IF(V1252&gt;1200000,((V1252-1200000)*27.5%)+300000,0)
)))))))</f>
        <v>0</v>
      </c>
      <c r="X1252" s="12">
        <f t="shared" si="307"/>
        <v>0</v>
      </c>
      <c r="Y1252" s="12">
        <f t="shared" si="308"/>
        <v>0</v>
      </c>
      <c r="Z1252" s="11"/>
      <c r="AA1252" s="13">
        <f t="shared" si="309"/>
        <v>0</v>
      </c>
      <c r="AB1252" s="12">
        <f t="shared" si="310"/>
        <v>0</v>
      </c>
      <c r="AC1252" s="14">
        <f t="shared" si="298"/>
        <v>0</v>
      </c>
      <c r="AE1252" s="19">
        <f t="shared" si="311"/>
        <v>0</v>
      </c>
      <c r="AF1252" s="19"/>
      <c r="AG1252" s="17"/>
      <c r="AK1252" s="7"/>
      <c r="AL1252" s="108">
        <f t="shared" si="299"/>
        <v>0</v>
      </c>
      <c r="AM1252" s="108">
        <f t="shared" si="300"/>
        <v>0</v>
      </c>
      <c r="AN1252" s="113"/>
    </row>
    <row r="1253" spans="2:40" x14ac:dyDescent="0.2">
      <c r="B1253" s="7"/>
      <c r="C1253" s="8"/>
      <c r="D1253" s="8"/>
      <c r="E1253" s="9"/>
      <c r="F1253" s="6"/>
      <c r="G1253" s="8"/>
      <c r="H1253" s="32"/>
      <c r="I1253" s="10" t="str">
        <f t="shared" si="297"/>
        <v>21</v>
      </c>
      <c r="J1253" s="11">
        <v>1</v>
      </c>
      <c r="K1253" s="11"/>
      <c r="L1253" s="11"/>
      <c r="M1253" s="11">
        <f t="shared" si="301"/>
        <v>0</v>
      </c>
      <c r="N1253" s="11"/>
      <c r="O1253" s="11">
        <f t="shared" si="302"/>
        <v>0</v>
      </c>
      <c r="P1253" s="11"/>
      <c r="Q1253" s="11"/>
      <c r="R1253" s="11"/>
      <c r="S1253" s="11">
        <f t="shared" si="303"/>
        <v>0</v>
      </c>
      <c r="T1253" s="11">
        <f t="shared" si="304"/>
        <v>1666.6666666666667</v>
      </c>
      <c r="U1253" s="11">
        <f t="shared" si="305"/>
        <v>0</v>
      </c>
      <c r="V1253" s="24">
        <f t="shared" si="306"/>
        <v>0</v>
      </c>
      <c r="W1253" s="11">
        <f>IF(V1253&lt;=40000,0,
IF(V1253&lt;=55000,(V1253-40000)*10%,
IF(V1253&lt;=70000,(V1253-55000)*15%+1500,
IF(V1253&lt;=200000,(V1253-70000)*20%+1500+2250,
IF(V1253&lt;=400000,(V1253-200000)*22.5%+1500+2250+26000,
IF(V1253&lt;=600000,(V1253-400000)*25%+1500+2250+26000+45000,
IF(AND(V1253&gt;600000,V1253&lt;=1200000),(V1253-400000)*25%+1500+2250+26000+45000
+IFERROR(LOOKUP(V1253,{600001;700001;800001;900001},{4000;6750;10250;15250}),0),IF(V1253&gt;1200000,((V1253-1200000)*27.5%)+300000,0)
)))))))</f>
        <v>0</v>
      </c>
      <c r="X1253" s="12">
        <f t="shared" si="307"/>
        <v>0</v>
      </c>
      <c r="Y1253" s="12">
        <f t="shared" si="308"/>
        <v>0</v>
      </c>
      <c r="Z1253" s="11"/>
      <c r="AA1253" s="13">
        <f t="shared" si="309"/>
        <v>0</v>
      </c>
      <c r="AB1253" s="12">
        <f t="shared" si="310"/>
        <v>0</v>
      </c>
      <c r="AC1253" s="14">
        <f t="shared" si="298"/>
        <v>0</v>
      </c>
      <c r="AE1253" s="19">
        <f t="shared" si="311"/>
        <v>0</v>
      </c>
      <c r="AF1253" s="19"/>
      <c r="AG1253" s="17"/>
      <c r="AK1253" s="7"/>
      <c r="AL1253" s="108">
        <f t="shared" si="299"/>
        <v>0</v>
      </c>
      <c r="AM1253" s="108">
        <f t="shared" si="300"/>
        <v>0</v>
      </c>
      <c r="AN1253" s="113"/>
    </row>
    <row r="1254" spans="2:40" x14ac:dyDescent="0.2">
      <c r="B1254" s="7"/>
      <c r="C1254" s="8"/>
      <c r="D1254" s="8"/>
      <c r="E1254" s="9"/>
      <c r="F1254" s="6"/>
      <c r="G1254" s="8"/>
      <c r="H1254" s="32"/>
      <c r="I1254" s="10" t="str">
        <f t="shared" si="297"/>
        <v>21</v>
      </c>
      <c r="J1254" s="11">
        <v>1</v>
      </c>
      <c r="K1254" s="11"/>
      <c r="L1254" s="11"/>
      <c r="M1254" s="11">
        <f t="shared" si="301"/>
        <v>0</v>
      </c>
      <c r="N1254" s="11"/>
      <c r="O1254" s="11">
        <f t="shared" si="302"/>
        <v>0</v>
      </c>
      <c r="P1254" s="11"/>
      <c r="Q1254" s="11"/>
      <c r="R1254" s="11"/>
      <c r="S1254" s="11">
        <f t="shared" si="303"/>
        <v>0</v>
      </c>
      <c r="T1254" s="11">
        <f t="shared" si="304"/>
        <v>1666.6666666666667</v>
      </c>
      <c r="U1254" s="11">
        <f t="shared" si="305"/>
        <v>0</v>
      </c>
      <c r="V1254" s="24">
        <f t="shared" si="306"/>
        <v>0</v>
      </c>
      <c r="W1254" s="11">
        <f>IF(V1254&lt;=40000,0,
IF(V1254&lt;=55000,(V1254-40000)*10%,
IF(V1254&lt;=70000,(V1254-55000)*15%+1500,
IF(V1254&lt;=200000,(V1254-70000)*20%+1500+2250,
IF(V1254&lt;=400000,(V1254-200000)*22.5%+1500+2250+26000,
IF(V1254&lt;=600000,(V1254-400000)*25%+1500+2250+26000+45000,
IF(AND(V1254&gt;600000,V1254&lt;=1200000),(V1254-400000)*25%+1500+2250+26000+45000
+IFERROR(LOOKUP(V1254,{600001;700001;800001;900001},{4000;6750;10250;15250}),0),IF(V1254&gt;1200000,((V1254-1200000)*27.5%)+300000,0)
)))))))</f>
        <v>0</v>
      </c>
      <c r="X1254" s="12">
        <f t="shared" si="307"/>
        <v>0</v>
      </c>
      <c r="Y1254" s="12">
        <f t="shared" si="308"/>
        <v>0</v>
      </c>
      <c r="Z1254" s="11"/>
      <c r="AA1254" s="13">
        <f t="shared" si="309"/>
        <v>0</v>
      </c>
      <c r="AB1254" s="12">
        <f t="shared" si="310"/>
        <v>0</v>
      </c>
      <c r="AC1254" s="14">
        <f t="shared" si="298"/>
        <v>0</v>
      </c>
      <c r="AE1254" s="19">
        <f t="shared" si="311"/>
        <v>0</v>
      </c>
      <c r="AF1254" s="19"/>
      <c r="AG1254" s="17"/>
      <c r="AK1254" s="7"/>
      <c r="AL1254" s="108">
        <f t="shared" si="299"/>
        <v>0</v>
      </c>
      <c r="AM1254" s="108">
        <f t="shared" si="300"/>
        <v>0</v>
      </c>
      <c r="AN1254" s="113"/>
    </row>
    <row r="1255" spans="2:40" x14ac:dyDescent="0.2">
      <c r="B1255" s="7"/>
      <c r="C1255" s="8"/>
      <c r="D1255" s="8"/>
      <c r="E1255" s="9"/>
      <c r="F1255" s="6"/>
      <c r="G1255" s="8"/>
      <c r="H1255" s="32"/>
      <c r="I1255" s="10" t="str">
        <f t="shared" si="297"/>
        <v>21</v>
      </c>
      <c r="J1255" s="11">
        <v>1</v>
      </c>
      <c r="K1255" s="11"/>
      <c r="L1255" s="11"/>
      <c r="M1255" s="11">
        <f t="shared" si="301"/>
        <v>0</v>
      </c>
      <c r="N1255" s="11"/>
      <c r="O1255" s="11">
        <f t="shared" si="302"/>
        <v>0</v>
      </c>
      <c r="P1255" s="11"/>
      <c r="Q1255" s="11"/>
      <c r="R1255" s="11"/>
      <c r="S1255" s="11">
        <f t="shared" si="303"/>
        <v>0</v>
      </c>
      <c r="T1255" s="11">
        <f t="shared" si="304"/>
        <v>1666.6666666666667</v>
      </c>
      <c r="U1255" s="11">
        <f t="shared" si="305"/>
        <v>0</v>
      </c>
      <c r="V1255" s="24">
        <f t="shared" si="306"/>
        <v>0</v>
      </c>
      <c r="W1255" s="11">
        <f>IF(V1255&lt;=40000,0,
IF(V1255&lt;=55000,(V1255-40000)*10%,
IF(V1255&lt;=70000,(V1255-55000)*15%+1500,
IF(V1255&lt;=200000,(V1255-70000)*20%+1500+2250,
IF(V1255&lt;=400000,(V1255-200000)*22.5%+1500+2250+26000,
IF(V1255&lt;=600000,(V1255-400000)*25%+1500+2250+26000+45000,
IF(AND(V1255&gt;600000,V1255&lt;=1200000),(V1255-400000)*25%+1500+2250+26000+45000
+IFERROR(LOOKUP(V1255,{600001;700001;800001;900001},{4000;6750;10250;15250}),0),IF(V1255&gt;1200000,((V1255-1200000)*27.5%)+300000,0)
)))))))</f>
        <v>0</v>
      </c>
      <c r="X1255" s="12">
        <f t="shared" si="307"/>
        <v>0</v>
      </c>
      <c r="Y1255" s="12">
        <f t="shared" si="308"/>
        <v>0</v>
      </c>
      <c r="Z1255" s="11"/>
      <c r="AA1255" s="13">
        <f t="shared" si="309"/>
        <v>0</v>
      </c>
      <c r="AB1255" s="12">
        <f t="shared" si="310"/>
        <v>0</v>
      </c>
      <c r="AC1255" s="14">
        <f t="shared" si="298"/>
        <v>0</v>
      </c>
      <c r="AE1255" s="19">
        <f t="shared" si="311"/>
        <v>0</v>
      </c>
      <c r="AF1255" s="19"/>
      <c r="AG1255" s="17"/>
      <c r="AK1255" s="7"/>
      <c r="AL1255" s="108">
        <f t="shared" si="299"/>
        <v>0</v>
      </c>
      <c r="AM1255" s="108">
        <f t="shared" si="300"/>
        <v>0</v>
      </c>
      <c r="AN1255" s="113"/>
    </row>
    <row r="1256" spans="2:40" x14ac:dyDescent="0.2">
      <c r="B1256" s="7"/>
      <c r="C1256" s="8"/>
      <c r="D1256" s="8"/>
      <c r="E1256" s="9"/>
      <c r="F1256" s="6"/>
      <c r="G1256" s="8"/>
      <c r="H1256" s="32"/>
      <c r="I1256" s="10" t="str">
        <f t="shared" si="297"/>
        <v>21</v>
      </c>
      <c r="J1256" s="11">
        <v>1</v>
      </c>
      <c r="K1256" s="11"/>
      <c r="L1256" s="11"/>
      <c r="M1256" s="11">
        <f t="shared" si="301"/>
        <v>0</v>
      </c>
      <c r="N1256" s="11"/>
      <c r="O1256" s="11">
        <f t="shared" si="302"/>
        <v>0</v>
      </c>
      <c r="P1256" s="11"/>
      <c r="Q1256" s="11"/>
      <c r="R1256" s="11"/>
      <c r="S1256" s="11">
        <f t="shared" si="303"/>
        <v>0</v>
      </c>
      <c r="T1256" s="11">
        <f t="shared" si="304"/>
        <v>1666.6666666666667</v>
      </c>
      <c r="U1256" s="11">
        <f t="shared" si="305"/>
        <v>0</v>
      </c>
      <c r="V1256" s="24">
        <f t="shared" si="306"/>
        <v>0</v>
      </c>
      <c r="W1256" s="11">
        <f>IF(V1256&lt;=40000,0,
IF(V1256&lt;=55000,(V1256-40000)*10%,
IF(V1256&lt;=70000,(V1256-55000)*15%+1500,
IF(V1256&lt;=200000,(V1256-70000)*20%+1500+2250,
IF(V1256&lt;=400000,(V1256-200000)*22.5%+1500+2250+26000,
IF(V1256&lt;=600000,(V1256-400000)*25%+1500+2250+26000+45000,
IF(AND(V1256&gt;600000,V1256&lt;=1200000),(V1256-400000)*25%+1500+2250+26000+45000
+IFERROR(LOOKUP(V1256,{600001;700001;800001;900001},{4000;6750;10250;15250}),0),IF(V1256&gt;1200000,((V1256-1200000)*27.5%)+300000,0)
)))))))</f>
        <v>0</v>
      </c>
      <c r="X1256" s="12">
        <f t="shared" si="307"/>
        <v>0</v>
      </c>
      <c r="Y1256" s="12">
        <f t="shared" si="308"/>
        <v>0</v>
      </c>
      <c r="Z1256" s="11"/>
      <c r="AA1256" s="13">
        <f t="shared" si="309"/>
        <v>0</v>
      </c>
      <c r="AB1256" s="12">
        <f t="shared" si="310"/>
        <v>0</v>
      </c>
      <c r="AC1256" s="14">
        <f t="shared" si="298"/>
        <v>0</v>
      </c>
      <c r="AE1256" s="19">
        <f t="shared" si="311"/>
        <v>0</v>
      </c>
      <c r="AF1256" s="19"/>
      <c r="AG1256" s="17"/>
      <c r="AK1256" s="7"/>
      <c r="AL1256" s="108">
        <f t="shared" si="299"/>
        <v>0</v>
      </c>
      <c r="AM1256" s="108">
        <f t="shared" si="300"/>
        <v>0</v>
      </c>
      <c r="AN1256" s="113"/>
    </row>
    <row r="1257" spans="2:40" x14ac:dyDescent="0.2">
      <c r="B1257" s="7"/>
      <c r="C1257" s="8"/>
      <c r="D1257" s="8"/>
      <c r="E1257" s="9"/>
      <c r="F1257" s="6"/>
      <c r="G1257" s="8"/>
      <c r="H1257" s="32"/>
      <c r="I1257" s="10" t="str">
        <f t="shared" si="297"/>
        <v>21</v>
      </c>
      <c r="J1257" s="11">
        <v>1</v>
      </c>
      <c r="K1257" s="11"/>
      <c r="L1257" s="11"/>
      <c r="M1257" s="11">
        <f t="shared" si="301"/>
        <v>0</v>
      </c>
      <c r="N1257" s="11"/>
      <c r="O1257" s="11">
        <f t="shared" si="302"/>
        <v>0</v>
      </c>
      <c r="P1257" s="11"/>
      <c r="Q1257" s="11"/>
      <c r="R1257" s="11"/>
      <c r="S1257" s="11">
        <f t="shared" si="303"/>
        <v>0</v>
      </c>
      <c r="T1257" s="11">
        <f t="shared" si="304"/>
        <v>1666.6666666666667</v>
      </c>
      <c r="U1257" s="11">
        <f t="shared" si="305"/>
        <v>0</v>
      </c>
      <c r="V1257" s="24">
        <f t="shared" si="306"/>
        <v>0</v>
      </c>
      <c r="W1257" s="11">
        <f>IF(V1257&lt;=40000,0,
IF(V1257&lt;=55000,(V1257-40000)*10%,
IF(V1257&lt;=70000,(V1257-55000)*15%+1500,
IF(V1257&lt;=200000,(V1257-70000)*20%+1500+2250,
IF(V1257&lt;=400000,(V1257-200000)*22.5%+1500+2250+26000,
IF(V1257&lt;=600000,(V1257-400000)*25%+1500+2250+26000+45000,
IF(AND(V1257&gt;600000,V1257&lt;=1200000),(V1257-400000)*25%+1500+2250+26000+45000
+IFERROR(LOOKUP(V1257,{600001;700001;800001;900001},{4000;6750;10250;15250}),0),IF(V1257&gt;1200000,((V1257-1200000)*27.5%)+300000,0)
)))))))</f>
        <v>0</v>
      </c>
      <c r="X1257" s="12">
        <f t="shared" si="307"/>
        <v>0</v>
      </c>
      <c r="Y1257" s="12">
        <f t="shared" si="308"/>
        <v>0</v>
      </c>
      <c r="Z1257" s="11"/>
      <c r="AA1257" s="13">
        <f t="shared" si="309"/>
        <v>0</v>
      </c>
      <c r="AB1257" s="12">
        <f t="shared" si="310"/>
        <v>0</v>
      </c>
      <c r="AC1257" s="14">
        <f t="shared" si="298"/>
        <v>0</v>
      </c>
      <c r="AE1257" s="19">
        <f t="shared" si="311"/>
        <v>0</v>
      </c>
      <c r="AF1257" s="19"/>
      <c r="AG1257" s="17"/>
      <c r="AK1257" s="7"/>
      <c r="AL1257" s="108">
        <f t="shared" si="299"/>
        <v>0</v>
      </c>
      <c r="AM1257" s="108">
        <f t="shared" si="300"/>
        <v>0</v>
      </c>
      <c r="AN1257" s="113"/>
    </row>
    <row r="1258" spans="2:40" x14ac:dyDescent="0.2">
      <c r="B1258" s="7"/>
      <c r="C1258" s="8"/>
      <c r="D1258" s="8"/>
      <c r="E1258" s="9"/>
      <c r="F1258" s="6"/>
      <c r="G1258" s="8"/>
      <c r="H1258" s="32"/>
      <c r="I1258" s="10" t="str">
        <f t="shared" si="297"/>
        <v>21</v>
      </c>
      <c r="J1258" s="11">
        <v>1</v>
      </c>
      <c r="K1258" s="11"/>
      <c r="L1258" s="11"/>
      <c r="M1258" s="11">
        <f t="shared" si="301"/>
        <v>0</v>
      </c>
      <c r="N1258" s="11"/>
      <c r="O1258" s="11">
        <f t="shared" si="302"/>
        <v>0</v>
      </c>
      <c r="P1258" s="11"/>
      <c r="Q1258" s="11"/>
      <c r="R1258" s="11"/>
      <c r="S1258" s="11">
        <f t="shared" si="303"/>
        <v>0</v>
      </c>
      <c r="T1258" s="11">
        <f t="shared" si="304"/>
        <v>1666.6666666666667</v>
      </c>
      <c r="U1258" s="11">
        <f t="shared" si="305"/>
        <v>0</v>
      </c>
      <c r="V1258" s="24">
        <f t="shared" si="306"/>
        <v>0</v>
      </c>
      <c r="W1258" s="11">
        <f>IF(V1258&lt;=40000,0,
IF(V1258&lt;=55000,(V1258-40000)*10%,
IF(V1258&lt;=70000,(V1258-55000)*15%+1500,
IF(V1258&lt;=200000,(V1258-70000)*20%+1500+2250,
IF(V1258&lt;=400000,(V1258-200000)*22.5%+1500+2250+26000,
IF(V1258&lt;=600000,(V1258-400000)*25%+1500+2250+26000+45000,
IF(AND(V1258&gt;600000,V1258&lt;=1200000),(V1258-400000)*25%+1500+2250+26000+45000
+IFERROR(LOOKUP(V1258,{600001;700001;800001;900001},{4000;6750;10250;15250}),0),IF(V1258&gt;1200000,((V1258-1200000)*27.5%)+300000,0)
)))))))</f>
        <v>0</v>
      </c>
      <c r="X1258" s="12">
        <f t="shared" si="307"/>
        <v>0</v>
      </c>
      <c r="Y1258" s="12">
        <f t="shared" si="308"/>
        <v>0</v>
      </c>
      <c r="Z1258" s="11"/>
      <c r="AA1258" s="13">
        <f t="shared" si="309"/>
        <v>0</v>
      </c>
      <c r="AB1258" s="12">
        <f t="shared" si="310"/>
        <v>0</v>
      </c>
      <c r="AC1258" s="14">
        <f t="shared" si="298"/>
        <v>0</v>
      </c>
      <c r="AE1258" s="19">
        <f t="shared" si="311"/>
        <v>0</v>
      </c>
      <c r="AF1258" s="19"/>
      <c r="AG1258" s="17"/>
      <c r="AK1258" s="7"/>
      <c r="AL1258" s="108">
        <f t="shared" si="299"/>
        <v>0</v>
      </c>
      <c r="AM1258" s="108">
        <f t="shared" si="300"/>
        <v>0</v>
      </c>
      <c r="AN1258" s="113"/>
    </row>
    <row r="1259" spans="2:40" x14ac:dyDescent="0.2">
      <c r="B1259" s="7"/>
      <c r="C1259" s="8"/>
      <c r="D1259" s="8"/>
      <c r="E1259" s="9"/>
      <c r="F1259" s="6"/>
      <c r="G1259" s="8"/>
      <c r="H1259" s="32"/>
      <c r="I1259" s="10" t="str">
        <f t="shared" si="297"/>
        <v>21</v>
      </c>
      <c r="J1259" s="11">
        <v>1</v>
      </c>
      <c r="K1259" s="11"/>
      <c r="L1259" s="11"/>
      <c r="M1259" s="11">
        <f t="shared" si="301"/>
        <v>0</v>
      </c>
      <c r="N1259" s="11"/>
      <c r="O1259" s="11">
        <f t="shared" si="302"/>
        <v>0</v>
      </c>
      <c r="P1259" s="11"/>
      <c r="Q1259" s="11"/>
      <c r="R1259" s="11"/>
      <c r="S1259" s="11">
        <f t="shared" si="303"/>
        <v>0</v>
      </c>
      <c r="T1259" s="11">
        <f t="shared" si="304"/>
        <v>1666.6666666666667</v>
      </c>
      <c r="U1259" s="11">
        <f t="shared" si="305"/>
        <v>0</v>
      </c>
      <c r="V1259" s="24">
        <f t="shared" si="306"/>
        <v>0</v>
      </c>
      <c r="W1259" s="11">
        <f>IF(V1259&lt;=40000,0,
IF(V1259&lt;=55000,(V1259-40000)*10%,
IF(V1259&lt;=70000,(V1259-55000)*15%+1500,
IF(V1259&lt;=200000,(V1259-70000)*20%+1500+2250,
IF(V1259&lt;=400000,(V1259-200000)*22.5%+1500+2250+26000,
IF(V1259&lt;=600000,(V1259-400000)*25%+1500+2250+26000+45000,
IF(AND(V1259&gt;600000,V1259&lt;=1200000),(V1259-400000)*25%+1500+2250+26000+45000
+IFERROR(LOOKUP(V1259,{600001;700001;800001;900001},{4000;6750;10250;15250}),0),IF(V1259&gt;1200000,((V1259-1200000)*27.5%)+300000,0)
)))))))</f>
        <v>0</v>
      </c>
      <c r="X1259" s="12">
        <f t="shared" si="307"/>
        <v>0</v>
      </c>
      <c r="Y1259" s="12">
        <f t="shared" si="308"/>
        <v>0</v>
      </c>
      <c r="Z1259" s="11"/>
      <c r="AA1259" s="13">
        <f t="shared" si="309"/>
        <v>0</v>
      </c>
      <c r="AB1259" s="12">
        <f t="shared" si="310"/>
        <v>0</v>
      </c>
      <c r="AC1259" s="14">
        <f t="shared" si="298"/>
        <v>0</v>
      </c>
      <c r="AE1259" s="19">
        <f t="shared" si="311"/>
        <v>0</v>
      </c>
      <c r="AF1259" s="19"/>
      <c r="AG1259" s="17"/>
      <c r="AK1259" s="7"/>
      <c r="AL1259" s="108">
        <f t="shared" si="299"/>
        <v>0</v>
      </c>
      <c r="AM1259" s="108">
        <f t="shared" si="300"/>
        <v>0</v>
      </c>
      <c r="AN1259" s="113"/>
    </row>
    <row r="1260" spans="2:40" x14ac:dyDescent="0.2">
      <c r="B1260" s="7"/>
      <c r="C1260" s="8"/>
      <c r="D1260" s="8"/>
      <c r="E1260" s="9"/>
      <c r="F1260" s="6"/>
      <c r="G1260" s="8"/>
      <c r="H1260" s="32"/>
      <c r="I1260" s="10" t="str">
        <f t="shared" si="297"/>
        <v>21</v>
      </c>
      <c r="J1260" s="11">
        <v>1</v>
      </c>
      <c r="K1260" s="11"/>
      <c r="L1260" s="11"/>
      <c r="M1260" s="11">
        <f t="shared" si="301"/>
        <v>0</v>
      </c>
      <c r="N1260" s="11"/>
      <c r="O1260" s="11">
        <f t="shared" si="302"/>
        <v>0</v>
      </c>
      <c r="P1260" s="11"/>
      <c r="Q1260" s="11"/>
      <c r="R1260" s="11"/>
      <c r="S1260" s="11">
        <f t="shared" si="303"/>
        <v>0</v>
      </c>
      <c r="T1260" s="11">
        <f t="shared" si="304"/>
        <v>1666.6666666666667</v>
      </c>
      <c r="U1260" s="11">
        <f t="shared" si="305"/>
        <v>0</v>
      </c>
      <c r="V1260" s="24">
        <f t="shared" si="306"/>
        <v>0</v>
      </c>
      <c r="W1260" s="11">
        <f>IF(V1260&lt;=40000,0,
IF(V1260&lt;=55000,(V1260-40000)*10%,
IF(V1260&lt;=70000,(V1260-55000)*15%+1500,
IF(V1260&lt;=200000,(V1260-70000)*20%+1500+2250,
IF(V1260&lt;=400000,(V1260-200000)*22.5%+1500+2250+26000,
IF(V1260&lt;=600000,(V1260-400000)*25%+1500+2250+26000+45000,
IF(AND(V1260&gt;600000,V1260&lt;=1200000),(V1260-400000)*25%+1500+2250+26000+45000
+IFERROR(LOOKUP(V1260,{600001;700001;800001;900001},{4000;6750;10250;15250}),0),IF(V1260&gt;1200000,((V1260-1200000)*27.5%)+300000,0)
)))))))</f>
        <v>0</v>
      </c>
      <c r="X1260" s="12">
        <f t="shared" si="307"/>
        <v>0</v>
      </c>
      <c r="Y1260" s="12">
        <f t="shared" si="308"/>
        <v>0</v>
      </c>
      <c r="Z1260" s="11"/>
      <c r="AA1260" s="13">
        <f t="shared" si="309"/>
        <v>0</v>
      </c>
      <c r="AB1260" s="12">
        <f t="shared" si="310"/>
        <v>0</v>
      </c>
      <c r="AC1260" s="14">
        <f t="shared" si="298"/>
        <v>0</v>
      </c>
      <c r="AE1260" s="19">
        <f t="shared" si="311"/>
        <v>0</v>
      </c>
      <c r="AF1260" s="19"/>
      <c r="AG1260" s="17"/>
      <c r="AK1260" s="7"/>
      <c r="AL1260" s="108">
        <f t="shared" si="299"/>
        <v>0</v>
      </c>
      <c r="AM1260" s="108">
        <f t="shared" si="300"/>
        <v>0</v>
      </c>
      <c r="AN1260" s="113"/>
    </row>
    <row r="1261" spans="2:40" x14ac:dyDescent="0.2">
      <c r="B1261" s="7"/>
      <c r="C1261" s="8"/>
      <c r="D1261" s="8"/>
      <c r="E1261" s="9"/>
      <c r="F1261" s="6"/>
      <c r="G1261" s="8"/>
      <c r="H1261" s="32"/>
      <c r="I1261" s="10" t="str">
        <f t="shared" si="297"/>
        <v>21</v>
      </c>
      <c r="J1261" s="11">
        <v>1</v>
      </c>
      <c r="K1261" s="11"/>
      <c r="L1261" s="11"/>
      <c r="M1261" s="11">
        <f t="shared" si="301"/>
        <v>0</v>
      </c>
      <c r="N1261" s="11"/>
      <c r="O1261" s="11">
        <f t="shared" si="302"/>
        <v>0</v>
      </c>
      <c r="P1261" s="11"/>
      <c r="Q1261" s="11"/>
      <c r="R1261" s="11"/>
      <c r="S1261" s="11">
        <f t="shared" si="303"/>
        <v>0</v>
      </c>
      <c r="T1261" s="11">
        <f t="shared" si="304"/>
        <v>1666.6666666666667</v>
      </c>
      <c r="U1261" s="11">
        <f t="shared" si="305"/>
        <v>0</v>
      </c>
      <c r="V1261" s="24">
        <f t="shared" si="306"/>
        <v>0</v>
      </c>
      <c r="W1261" s="11">
        <f>IF(V1261&lt;=40000,0,
IF(V1261&lt;=55000,(V1261-40000)*10%,
IF(V1261&lt;=70000,(V1261-55000)*15%+1500,
IF(V1261&lt;=200000,(V1261-70000)*20%+1500+2250,
IF(V1261&lt;=400000,(V1261-200000)*22.5%+1500+2250+26000,
IF(V1261&lt;=600000,(V1261-400000)*25%+1500+2250+26000+45000,
IF(AND(V1261&gt;600000,V1261&lt;=1200000),(V1261-400000)*25%+1500+2250+26000+45000
+IFERROR(LOOKUP(V1261,{600001;700001;800001;900001},{4000;6750;10250;15250}),0),IF(V1261&gt;1200000,((V1261-1200000)*27.5%)+300000,0)
)))))))</f>
        <v>0</v>
      </c>
      <c r="X1261" s="12">
        <f t="shared" si="307"/>
        <v>0</v>
      </c>
      <c r="Y1261" s="12">
        <f t="shared" si="308"/>
        <v>0</v>
      </c>
      <c r="Z1261" s="11"/>
      <c r="AA1261" s="13">
        <f t="shared" si="309"/>
        <v>0</v>
      </c>
      <c r="AB1261" s="12">
        <f t="shared" si="310"/>
        <v>0</v>
      </c>
      <c r="AC1261" s="14">
        <f t="shared" si="298"/>
        <v>0</v>
      </c>
      <c r="AE1261" s="19">
        <f t="shared" si="311"/>
        <v>0</v>
      </c>
      <c r="AF1261" s="19"/>
      <c r="AG1261" s="17"/>
      <c r="AK1261" s="7"/>
      <c r="AL1261" s="108">
        <f t="shared" si="299"/>
        <v>0</v>
      </c>
      <c r="AM1261" s="108">
        <f t="shared" si="300"/>
        <v>0</v>
      </c>
      <c r="AN1261" s="113"/>
    </row>
    <row r="1262" spans="2:40" x14ac:dyDescent="0.2">
      <c r="B1262" s="7"/>
      <c r="C1262" s="8"/>
      <c r="D1262" s="8"/>
      <c r="E1262" s="9"/>
      <c r="F1262" s="6"/>
      <c r="G1262" s="8"/>
      <c r="H1262" s="32"/>
      <c r="I1262" s="10" t="str">
        <f t="shared" si="297"/>
        <v>21</v>
      </c>
      <c r="J1262" s="11">
        <v>1</v>
      </c>
      <c r="K1262" s="11"/>
      <c r="L1262" s="11"/>
      <c r="M1262" s="11">
        <f t="shared" si="301"/>
        <v>0</v>
      </c>
      <c r="N1262" s="11"/>
      <c r="O1262" s="11">
        <f t="shared" si="302"/>
        <v>0</v>
      </c>
      <c r="P1262" s="11"/>
      <c r="Q1262" s="11"/>
      <c r="R1262" s="11"/>
      <c r="S1262" s="11">
        <f t="shared" si="303"/>
        <v>0</v>
      </c>
      <c r="T1262" s="11">
        <f t="shared" si="304"/>
        <v>1666.6666666666667</v>
      </c>
      <c r="U1262" s="11">
        <f t="shared" si="305"/>
        <v>0</v>
      </c>
      <c r="V1262" s="24">
        <f t="shared" si="306"/>
        <v>0</v>
      </c>
      <c r="W1262" s="11">
        <f>IF(V1262&lt;=40000,0,
IF(V1262&lt;=55000,(V1262-40000)*10%,
IF(V1262&lt;=70000,(V1262-55000)*15%+1500,
IF(V1262&lt;=200000,(V1262-70000)*20%+1500+2250,
IF(V1262&lt;=400000,(V1262-200000)*22.5%+1500+2250+26000,
IF(V1262&lt;=600000,(V1262-400000)*25%+1500+2250+26000+45000,
IF(AND(V1262&gt;600000,V1262&lt;=1200000),(V1262-400000)*25%+1500+2250+26000+45000
+IFERROR(LOOKUP(V1262,{600001;700001;800001;900001},{4000;6750;10250;15250}),0),IF(V1262&gt;1200000,((V1262-1200000)*27.5%)+300000,0)
)))))))</f>
        <v>0</v>
      </c>
      <c r="X1262" s="12">
        <f t="shared" si="307"/>
        <v>0</v>
      </c>
      <c r="Y1262" s="12">
        <f t="shared" si="308"/>
        <v>0</v>
      </c>
      <c r="Z1262" s="11"/>
      <c r="AA1262" s="13">
        <f t="shared" si="309"/>
        <v>0</v>
      </c>
      <c r="AB1262" s="12">
        <f t="shared" si="310"/>
        <v>0</v>
      </c>
      <c r="AC1262" s="14">
        <f t="shared" si="298"/>
        <v>0</v>
      </c>
      <c r="AE1262" s="19">
        <f t="shared" si="311"/>
        <v>0</v>
      </c>
      <c r="AF1262" s="19"/>
      <c r="AG1262" s="17"/>
      <c r="AK1262" s="7"/>
      <c r="AL1262" s="108">
        <f t="shared" si="299"/>
        <v>0</v>
      </c>
      <c r="AM1262" s="108">
        <f t="shared" si="300"/>
        <v>0</v>
      </c>
      <c r="AN1262" s="113"/>
    </row>
    <row r="1263" spans="2:40" x14ac:dyDescent="0.2">
      <c r="B1263" s="7"/>
      <c r="C1263" s="8"/>
      <c r="D1263" s="8"/>
      <c r="E1263" s="9"/>
      <c r="F1263" s="6"/>
      <c r="G1263" s="8"/>
      <c r="H1263" s="32"/>
      <c r="I1263" s="10" t="str">
        <f t="shared" si="297"/>
        <v>21</v>
      </c>
      <c r="J1263" s="11">
        <v>1</v>
      </c>
      <c r="K1263" s="11"/>
      <c r="L1263" s="11"/>
      <c r="M1263" s="11">
        <f t="shared" si="301"/>
        <v>0</v>
      </c>
      <c r="N1263" s="11"/>
      <c r="O1263" s="11">
        <f t="shared" si="302"/>
        <v>0</v>
      </c>
      <c r="P1263" s="11"/>
      <c r="Q1263" s="11"/>
      <c r="R1263" s="11"/>
      <c r="S1263" s="11">
        <f t="shared" si="303"/>
        <v>0</v>
      </c>
      <c r="T1263" s="11">
        <f t="shared" si="304"/>
        <v>1666.6666666666667</v>
      </c>
      <c r="U1263" s="11">
        <f t="shared" si="305"/>
        <v>0</v>
      </c>
      <c r="V1263" s="24">
        <f t="shared" si="306"/>
        <v>0</v>
      </c>
      <c r="W1263" s="11">
        <f>IF(V1263&lt;=40000,0,
IF(V1263&lt;=55000,(V1263-40000)*10%,
IF(V1263&lt;=70000,(V1263-55000)*15%+1500,
IF(V1263&lt;=200000,(V1263-70000)*20%+1500+2250,
IF(V1263&lt;=400000,(V1263-200000)*22.5%+1500+2250+26000,
IF(V1263&lt;=600000,(V1263-400000)*25%+1500+2250+26000+45000,
IF(AND(V1263&gt;600000,V1263&lt;=1200000),(V1263-400000)*25%+1500+2250+26000+45000
+IFERROR(LOOKUP(V1263,{600001;700001;800001;900001},{4000;6750;10250;15250}),0),IF(V1263&gt;1200000,((V1263-1200000)*27.5%)+300000,0)
)))))))</f>
        <v>0</v>
      </c>
      <c r="X1263" s="12">
        <f t="shared" si="307"/>
        <v>0</v>
      </c>
      <c r="Y1263" s="12">
        <f t="shared" si="308"/>
        <v>0</v>
      </c>
      <c r="Z1263" s="11"/>
      <c r="AA1263" s="13">
        <f t="shared" si="309"/>
        <v>0</v>
      </c>
      <c r="AB1263" s="12">
        <f t="shared" si="310"/>
        <v>0</v>
      </c>
      <c r="AC1263" s="14">
        <f t="shared" si="298"/>
        <v>0</v>
      </c>
      <c r="AE1263" s="19">
        <f t="shared" si="311"/>
        <v>0</v>
      </c>
      <c r="AF1263" s="19"/>
      <c r="AG1263" s="17"/>
      <c r="AK1263" s="7"/>
      <c r="AL1263" s="108">
        <f t="shared" si="299"/>
        <v>0</v>
      </c>
      <c r="AM1263" s="108">
        <f t="shared" si="300"/>
        <v>0</v>
      </c>
      <c r="AN1263" s="113"/>
    </row>
    <row r="1264" spans="2:40" x14ac:dyDescent="0.2">
      <c r="B1264" s="7"/>
      <c r="C1264" s="8"/>
      <c r="D1264" s="8"/>
      <c r="E1264" s="9"/>
      <c r="F1264" s="6"/>
      <c r="G1264" s="8"/>
      <c r="H1264" s="32"/>
      <c r="I1264" s="10" t="str">
        <f t="shared" si="297"/>
        <v>21</v>
      </c>
      <c r="J1264" s="11">
        <v>1</v>
      </c>
      <c r="K1264" s="11"/>
      <c r="L1264" s="11"/>
      <c r="M1264" s="11">
        <f t="shared" si="301"/>
        <v>0</v>
      </c>
      <c r="N1264" s="11"/>
      <c r="O1264" s="11">
        <f t="shared" si="302"/>
        <v>0</v>
      </c>
      <c r="P1264" s="11"/>
      <c r="Q1264" s="11"/>
      <c r="R1264" s="11"/>
      <c r="S1264" s="11">
        <f t="shared" si="303"/>
        <v>0</v>
      </c>
      <c r="T1264" s="11">
        <f t="shared" si="304"/>
        <v>1666.6666666666667</v>
      </c>
      <c r="U1264" s="11">
        <f t="shared" si="305"/>
        <v>0</v>
      </c>
      <c r="V1264" s="24">
        <f t="shared" si="306"/>
        <v>0</v>
      </c>
      <c r="W1264" s="11">
        <f>IF(V1264&lt;=40000,0,
IF(V1264&lt;=55000,(V1264-40000)*10%,
IF(V1264&lt;=70000,(V1264-55000)*15%+1500,
IF(V1264&lt;=200000,(V1264-70000)*20%+1500+2250,
IF(V1264&lt;=400000,(V1264-200000)*22.5%+1500+2250+26000,
IF(V1264&lt;=600000,(V1264-400000)*25%+1500+2250+26000+45000,
IF(AND(V1264&gt;600000,V1264&lt;=1200000),(V1264-400000)*25%+1500+2250+26000+45000
+IFERROR(LOOKUP(V1264,{600001;700001;800001;900001},{4000;6750;10250;15250}),0),IF(V1264&gt;1200000,((V1264-1200000)*27.5%)+300000,0)
)))))))</f>
        <v>0</v>
      </c>
      <c r="X1264" s="12">
        <f t="shared" si="307"/>
        <v>0</v>
      </c>
      <c r="Y1264" s="12">
        <f t="shared" si="308"/>
        <v>0</v>
      </c>
      <c r="Z1264" s="11"/>
      <c r="AA1264" s="13">
        <f t="shared" si="309"/>
        <v>0</v>
      </c>
      <c r="AB1264" s="12">
        <f t="shared" si="310"/>
        <v>0</v>
      </c>
      <c r="AC1264" s="14">
        <f t="shared" si="298"/>
        <v>0</v>
      </c>
      <c r="AE1264" s="19">
        <f t="shared" si="311"/>
        <v>0</v>
      </c>
      <c r="AF1264" s="19"/>
      <c r="AG1264" s="17"/>
      <c r="AK1264" s="7"/>
      <c r="AL1264" s="108">
        <f t="shared" si="299"/>
        <v>0</v>
      </c>
      <c r="AM1264" s="108">
        <f t="shared" si="300"/>
        <v>0</v>
      </c>
      <c r="AN1264" s="113"/>
    </row>
    <row r="1265" spans="2:40" x14ac:dyDescent="0.2">
      <c r="B1265" s="7"/>
      <c r="C1265" s="8"/>
      <c r="D1265" s="8"/>
      <c r="E1265" s="9"/>
      <c r="F1265" s="6"/>
      <c r="G1265" s="8"/>
      <c r="H1265" s="32"/>
      <c r="I1265" s="10" t="str">
        <f t="shared" si="297"/>
        <v>21</v>
      </c>
      <c r="J1265" s="11">
        <v>1</v>
      </c>
      <c r="K1265" s="11"/>
      <c r="L1265" s="11"/>
      <c r="M1265" s="11">
        <f t="shared" si="301"/>
        <v>0</v>
      </c>
      <c r="N1265" s="11"/>
      <c r="O1265" s="11">
        <f t="shared" si="302"/>
        <v>0</v>
      </c>
      <c r="P1265" s="11"/>
      <c r="Q1265" s="11"/>
      <c r="R1265" s="11"/>
      <c r="S1265" s="11">
        <f t="shared" si="303"/>
        <v>0</v>
      </c>
      <c r="T1265" s="11">
        <f t="shared" si="304"/>
        <v>1666.6666666666667</v>
      </c>
      <c r="U1265" s="11">
        <f t="shared" si="305"/>
        <v>0</v>
      </c>
      <c r="V1265" s="24">
        <f t="shared" si="306"/>
        <v>0</v>
      </c>
      <c r="W1265" s="11">
        <f>IF(V1265&lt;=40000,0,
IF(V1265&lt;=55000,(V1265-40000)*10%,
IF(V1265&lt;=70000,(V1265-55000)*15%+1500,
IF(V1265&lt;=200000,(V1265-70000)*20%+1500+2250,
IF(V1265&lt;=400000,(V1265-200000)*22.5%+1500+2250+26000,
IF(V1265&lt;=600000,(V1265-400000)*25%+1500+2250+26000+45000,
IF(AND(V1265&gt;600000,V1265&lt;=1200000),(V1265-400000)*25%+1500+2250+26000+45000
+IFERROR(LOOKUP(V1265,{600001;700001;800001;900001},{4000;6750;10250;15250}),0),IF(V1265&gt;1200000,((V1265-1200000)*27.5%)+300000,0)
)))))))</f>
        <v>0</v>
      </c>
      <c r="X1265" s="12">
        <f t="shared" si="307"/>
        <v>0</v>
      </c>
      <c r="Y1265" s="12">
        <f t="shared" si="308"/>
        <v>0</v>
      </c>
      <c r="Z1265" s="11"/>
      <c r="AA1265" s="13">
        <f t="shared" si="309"/>
        <v>0</v>
      </c>
      <c r="AB1265" s="12">
        <f t="shared" si="310"/>
        <v>0</v>
      </c>
      <c r="AC1265" s="14">
        <f t="shared" si="298"/>
        <v>0</v>
      </c>
      <c r="AE1265" s="19">
        <f t="shared" si="311"/>
        <v>0</v>
      </c>
      <c r="AF1265" s="19"/>
      <c r="AG1265" s="17"/>
      <c r="AK1265" s="7"/>
      <c r="AL1265" s="108">
        <f t="shared" si="299"/>
        <v>0</v>
      </c>
      <c r="AM1265" s="108">
        <f t="shared" si="300"/>
        <v>0</v>
      </c>
      <c r="AN1265" s="113"/>
    </row>
    <row r="1266" spans="2:40" x14ac:dyDescent="0.2">
      <c r="B1266" s="7"/>
      <c r="C1266" s="8"/>
      <c r="D1266" s="8"/>
      <c r="E1266" s="9"/>
      <c r="F1266" s="6"/>
      <c r="G1266" s="8"/>
      <c r="H1266" s="32"/>
      <c r="I1266" s="10" t="str">
        <f t="shared" si="297"/>
        <v>21</v>
      </c>
      <c r="J1266" s="11">
        <v>1</v>
      </c>
      <c r="K1266" s="11"/>
      <c r="L1266" s="11"/>
      <c r="M1266" s="11">
        <f t="shared" si="301"/>
        <v>0</v>
      </c>
      <c r="N1266" s="11"/>
      <c r="O1266" s="11">
        <f t="shared" si="302"/>
        <v>0</v>
      </c>
      <c r="P1266" s="11"/>
      <c r="Q1266" s="11"/>
      <c r="R1266" s="11"/>
      <c r="S1266" s="11">
        <f t="shared" si="303"/>
        <v>0</v>
      </c>
      <c r="T1266" s="11">
        <f t="shared" si="304"/>
        <v>1666.6666666666667</v>
      </c>
      <c r="U1266" s="11">
        <f t="shared" si="305"/>
        <v>0</v>
      </c>
      <c r="V1266" s="24">
        <f t="shared" si="306"/>
        <v>0</v>
      </c>
      <c r="W1266" s="11">
        <f>IF(V1266&lt;=40000,0,
IF(V1266&lt;=55000,(V1266-40000)*10%,
IF(V1266&lt;=70000,(V1266-55000)*15%+1500,
IF(V1266&lt;=200000,(V1266-70000)*20%+1500+2250,
IF(V1266&lt;=400000,(V1266-200000)*22.5%+1500+2250+26000,
IF(V1266&lt;=600000,(V1266-400000)*25%+1500+2250+26000+45000,
IF(AND(V1266&gt;600000,V1266&lt;=1200000),(V1266-400000)*25%+1500+2250+26000+45000
+IFERROR(LOOKUP(V1266,{600001;700001;800001;900001},{4000;6750;10250;15250}),0),IF(V1266&gt;1200000,((V1266-1200000)*27.5%)+300000,0)
)))))))</f>
        <v>0</v>
      </c>
      <c r="X1266" s="12">
        <f t="shared" si="307"/>
        <v>0</v>
      </c>
      <c r="Y1266" s="12">
        <f t="shared" si="308"/>
        <v>0</v>
      </c>
      <c r="Z1266" s="11"/>
      <c r="AA1266" s="13">
        <f t="shared" si="309"/>
        <v>0</v>
      </c>
      <c r="AB1266" s="12">
        <f t="shared" si="310"/>
        <v>0</v>
      </c>
      <c r="AC1266" s="14">
        <f t="shared" si="298"/>
        <v>0</v>
      </c>
      <c r="AE1266" s="19">
        <f t="shared" si="311"/>
        <v>0</v>
      </c>
      <c r="AF1266" s="19"/>
      <c r="AG1266" s="17"/>
      <c r="AK1266" s="7"/>
      <c r="AL1266" s="108">
        <f t="shared" si="299"/>
        <v>0</v>
      </c>
      <c r="AM1266" s="108">
        <f t="shared" si="300"/>
        <v>0</v>
      </c>
      <c r="AN1266" s="113"/>
    </row>
    <row r="1267" spans="2:40" x14ac:dyDescent="0.2">
      <c r="B1267" s="7"/>
      <c r="C1267" s="8"/>
      <c r="D1267" s="8"/>
      <c r="E1267" s="9"/>
      <c r="F1267" s="6"/>
      <c r="G1267" s="8"/>
      <c r="H1267" s="32"/>
      <c r="I1267" s="10" t="str">
        <f t="shared" si="297"/>
        <v>21</v>
      </c>
      <c r="J1267" s="11">
        <v>1</v>
      </c>
      <c r="K1267" s="11"/>
      <c r="L1267" s="11"/>
      <c r="M1267" s="11">
        <f t="shared" si="301"/>
        <v>0</v>
      </c>
      <c r="N1267" s="11"/>
      <c r="O1267" s="11">
        <f t="shared" si="302"/>
        <v>0</v>
      </c>
      <c r="P1267" s="11"/>
      <c r="Q1267" s="11"/>
      <c r="R1267" s="11"/>
      <c r="S1267" s="11">
        <f t="shared" si="303"/>
        <v>0</v>
      </c>
      <c r="T1267" s="11">
        <f t="shared" si="304"/>
        <v>1666.6666666666667</v>
      </c>
      <c r="U1267" s="11">
        <f t="shared" si="305"/>
        <v>0</v>
      </c>
      <c r="V1267" s="24">
        <f t="shared" si="306"/>
        <v>0</v>
      </c>
      <c r="W1267" s="11">
        <f>IF(V1267&lt;=40000,0,
IF(V1267&lt;=55000,(V1267-40000)*10%,
IF(V1267&lt;=70000,(V1267-55000)*15%+1500,
IF(V1267&lt;=200000,(V1267-70000)*20%+1500+2250,
IF(V1267&lt;=400000,(V1267-200000)*22.5%+1500+2250+26000,
IF(V1267&lt;=600000,(V1267-400000)*25%+1500+2250+26000+45000,
IF(AND(V1267&gt;600000,V1267&lt;=1200000),(V1267-400000)*25%+1500+2250+26000+45000
+IFERROR(LOOKUP(V1267,{600001;700001;800001;900001},{4000;6750;10250;15250}),0),IF(V1267&gt;1200000,((V1267-1200000)*27.5%)+300000,0)
)))))))</f>
        <v>0</v>
      </c>
      <c r="X1267" s="12">
        <f t="shared" si="307"/>
        <v>0</v>
      </c>
      <c r="Y1267" s="12">
        <f t="shared" si="308"/>
        <v>0</v>
      </c>
      <c r="Z1267" s="11"/>
      <c r="AA1267" s="13">
        <f t="shared" si="309"/>
        <v>0</v>
      </c>
      <c r="AB1267" s="12">
        <f t="shared" si="310"/>
        <v>0</v>
      </c>
      <c r="AC1267" s="14">
        <f t="shared" si="298"/>
        <v>0</v>
      </c>
      <c r="AE1267" s="19">
        <f t="shared" si="311"/>
        <v>0</v>
      </c>
      <c r="AF1267" s="19"/>
      <c r="AG1267" s="17"/>
      <c r="AK1267" s="7"/>
      <c r="AL1267" s="108">
        <f t="shared" si="299"/>
        <v>0</v>
      </c>
      <c r="AM1267" s="108">
        <f t="shared" si="300"/>
        <v>0</v>
      </c>
      <c r="AN1267" s="113"/>
    </row>
    <row r="1268" spans="2:40" x14ac:dyDescent="0.2">
      <c r="B1268" s="7"/>
      <c r="C1268" s="8"/>
      <c r="D1268" s="8"/>
      <c r="E1268" s="9"/>
      <c r="F1268" s="6"/>
      <c r="G1268" s="8"/>
      <c r="H1268" s="32"/>
      <c r="I1268" s="10" t="str">
        <f t="shared" si="297"/>
        <v>21</v>
      </c>
      <c r="J1268" s="11">
        <v>1</v>
      </c>
      <c r="K1268" s="11"/>
      <c r="L1268" s="11"/>
      <c r="M1268" s="11">
        <f t="shared" si="301"/>
        <v>0</v>
      </c>
      <c r="N1268" s="11"/>
      <c r="O1268" s="11">
        <f t="shared" si="302"/>
        <v>0</v>
      </c>
      <c r="P1268" s="11"/>
      <c r="Q1268" s="11"/>
      <c r="R1268" s="11"/>
      <c r="S1268" s="11">
        <f t="shared" si="303"/>
        <v>0</v>
      </c>
      <c r="T1268" s="11">
        <f t="shared" si="304"/>
        <v>1666.6666666666667</v>
      </c>
      <c r="U1268" s="11">
        <f t="shared" si="305"/>
        <v>0</v>
      </c>
      <c r="V1268" s="24">
        <f t="shared" si="306"/>
        <v>0</v>
      </c>
      <c r="W1268" s="11">
        <f>IF(V1268&lt;=40000,0,
IF(V1268&lt;=55000,(V1268-40000)*10%,
IF(V1268&lt;=70000,(V1268-55000)*15%+1500,
IF(V1268&lt;=200000,(V1268-70000)*20%+1500+2250,
IF(V1268&lt;=400000,(V1268-200000)*22.5%+1500+2250+26000,
IF(V1268&lt;=600000,(V1268-400000)*25%+1500+2250+26000+45000,
IF(AND(V1268&gt;600000,V1268&lt;=1200000),(V1268-400000)*25%+1500+2250+26000+45000
+IFERROR(LOOKUP(V1268,{600001;700001;800001;900001},{4000;6750;10250;15250}),0),IF(V1268&gt;1200000,((V1268-1200000)*27.5%)+300000,0)
)))))))</f>
        <v>0</v>
      </c>
      <c r="X1268" s="12">
        <f t="shared" si="307"/>
        <v>0</v>
      </c>
      <c r="Y1268" s="12">
        <f t="shared" si="308"/>
        <v>0</v>
      </c>
      <c r="Z1268" s="11"/>
      <c r="AA1268" s="13">
        <f t="shared" si="309"/>
        <v>0</v>
      </c>
      <c r="AB1268" s="12">
        <f t="shared" si="310"/>
        <v>0</v>
      </c>
      <c r="AC1268" s="14">
        <f t="shared" si="298"/>
        <v>0</v>
      </c>
      <c r="AE1268" s="19">
        <f t="shared" si="311"/>
        <v>0</v>
      </c>
      <c r="AF1268" s="19"/>
      <c r="AG1268" s="17"/>
      <c r="AK1268" s="7"/>
      <c r="AL1268" s="108">
        <f t="shared" si="299"/>
        <v>0</v>
      </c>
      <c r="AM1268" s="108">
        <f t="shared" si="300"/>
        <v>0</v>
      </c>
      <c r="AN1268" s="113"/>
    </row>
    <row r="1269" spans="2:40" x14ac:dyDescent="0.2">
      <c r="B1269" s="7"/>
      <c r="C1269" s="8"/>
      <c r="D1269" s="8"/>
      <c r="E1269" s="9"/>
      <c r="F1269" s="6"/>
      <c r="G1269" s="8"/>
      <c r="H1269" s="32"/>
      <c r="I1269" s="10" t="str">
        <f t="shared" si="297"/>
        <v>21</v>
      </c>
      <c r="J1269" s="11">
        <v>1</v>
      </c>
      <c r="K1269" s="11"/>
      <c r="L1269" s="11"/>
      <c r="M1269" s="11">
        <f t="shared" si="301"/>
        <v>0</v>
      </c>
      <c r="N1269" s="11"/>
      <c r="O1269" s="11">
        <f t="shared" si="302"/>
        <v>0</v>
      </c>
      <c r="P1269" s="11"/>
      <c r="Q1269" s="11"/>
      <c r="R1269" s="11"/>
      <c r="S1269" s="11">
        <f t="shared" si="303"/>
        <v>0</v>
      </c>
      <c r="T1269" s="11">
        <f t="shared" si="304"/>
        <v>1666.6666666666667</v>
      </c>
      <c r="U1269" s="11">
        <f t="shared" si="305"/>
        <v>0</v>
      </c>
      <c r="V1269" s="24">
        <f t="shared" si="306"/>
        <v>0</v>
      </c>
      <c r="W1269" s="11">
        <f>IF(V1269&lt;=40000,0,
IF(V1269&lt;=55000,(V1269-40000)*10%,
IF(V1269&lt;=70000,(V1269-55000)*15%+1500,
IF(V1269&lt;=200000,(V1269-70000)*20%+1500+2250,
IF(V1269&lt;=400000,(V1269-200000)*22.5%+1500+2250+26000,
IF(V1269&lt;=600000,(V1269-400000)*25%+1500+2250+26000+45000,
IF(AND(V1269&gt;600000,V1269&lt;=1200000),(V1269-400000)*25%+1500+2250+26000+45000
+IFERROR(LOOKUP(V1269,{600001;700001;800001;900001},{4000;6750;10250;15250}),0),IF(V1269&gt;1200000,((V1269-1200000)*27.5%)+300000,0)
)))))))</f>
        <v>0</v>
      </c>
      <c r="X1269" s="12">
        <f t="shared" si="307"/>
        <v>0</v>
      </c>
      <c r="Y1269" s="12">
        <f t="shared" si="308"/>
        <v>0</v>
      </c>
      <c r="Z1269" s="11"/>
      <c r="AA1269" s="13">
        <f t="shared" si="309"/>
        <v>0</v>
      </c>
      <c r="AB1269" s="12">
        <f t="shared" si="310"/>
        <v>0</v>
      </c>
      <c r="AC1269" s="14">
        <f t="shared" si="298"/>
        <v>0</v>
      </c>
      <c r="AE1269" s="19">
        <f t="shared" si="311"/>
        <v>0</v>
      </c>
      <c r="AF1269" s="19"/>
      <c r="AG1269" s="17"/>
      <c r="AK1269" s="7"/>
      <c r="AL1269" s="108">
        <f t="shared" si="299"/>
        <v>0</v>
      </c>
      <c r="AM1269" s="108">
        <f t="shared" si="300"/>
        <v>0</v>
      </c>
      <c r="AN1269" s="113"/>
    </row>
    <row r="1270" spans="2:40" x14ac:dyDescent="0.2">
      <c r="B1270" s="7"/>
      <c r="C1270" s="8"/>
      <c r="D1270" s="8"/>
      <c r="E1270" s="9"/>
      <c r="F1270" s="6"/>
      <c r="G1270" s="8"/>
      <c r="H1270" s="32"/>
      <c r="I1270" s="10" t="str">
        <f t="shared" si="297"/>
        <v>21</v>
      </c>
      <c r="J1270" s="11">
        <v>1</v>
      </c>
      <c r="K1270" s="11"/>
      <c r="L1270" s="11"/>
      <c r="M1270" s="11">
        <f t="shared" si="301"/>
        <v>0</v>
      </c>
      <c r="N1270" s="11"/>
      <c r="O1270" s="11">
        <f t="shared" si="302"/>
        <v>0</v>
      </c>
      <c r="P1270" s="11"/>
      <c r="Q1270" s="11"/>
      <c r="R1270" s="11"/>
      <c r="S1270" s="11">
        <f t="shared" si="303"/>
        <v>0</v>
      </c>
      <c r="T1270" s="11">
        <f t="shared" si="304"/>
        <v>1666.6666666666667</v>
      </c>
      <c r="U1270" s="11">
        <f t="shared" si="305"/>
        <v>0</v>
      </c>
      <c r="V1270" s="24">
        <f t="shared" si="306"/>
        <v>0</v>
      </c>
      <c r="W1270" s="11">
        <f>IF(V1270&lt;=40000,0,
IF(V1270&lt;=55000,(V1270-40000)*10%,
IF(V1270&lt;=70000,(V1270-55000)*15%+1500,
IF(V1270&lt;=200000,(V1270-70000)*20%+1500+2250,
IF(V1270&lt;=400000,(V1270-200000)*22.5%+1500+2250+26000,
IF(V1270&lt;=600000,(V1270-400000)*25%+1500+2250+26000+45000,
IF(AND(V1270&gt;600000,V1270&lt;=1200000),(V1270-400000)*25%+1500+2250+26000+45000
+IFERROR(LOOKUP(V1270,{600001;700001;800001;900001},{4000;6750;10250;15250}),0),IF(V1270&gt;1200000,((V1270-1200000)*27.5%)+300000,0)
)))))))</f>
        <v>0</v>
      </c>
      <c r="X1270" s="12">
        <f t="shared" si="307"/>
        <v>0</v>
      </c>
      <c r="Y1270" s="12">
        <f t="shared" si="308"/>
        <v>0</v>
      </c>
      <c r="Z1270" s="11"/>
      <c r="AA1270" s="13">
        <f t="shared" si="309"/>
        <v>0</v>
      </c>
      <c r="AB1270" s="12">
        <f t="shared" si="310"/>
        <v>0</v>
      </c>
      <c r="AC1270" s="14">
        <f t="shared" si="298"/>
        <v>0</v>
      </c>
      <c r="AE1270" s="19">
        <f t="shared" si="311"/>
        <v>0</v>
      </c>
      <c r="AF1270" s="19"/>
      <c r="AG1270" s="17"/>
      <c r="AK1270" s="7"/>
      <c r="AL1270" s="108">
        <f t="shared" si="299"/>
        <v>0</v>
      </c>
      <c r="AM1270" s="108">
        <f t="shared" si="300"/>
        <v>0</v>
      </c>
      <c r="AN1270" s="113"/>
    </row>
    <row r="1271" spans="2:40" x14ac:dyDescent="0.2">
      <c r="B1271" s="7"/>
      <c r="C1271" s="8"/>
      <c r="D1271" s="8"/>
      <c r="E1271" s="9"/>
      <c r="F1271" s="6"/>
      <c r="G1271" s="8"/>
      <c r="H1271" s="32"/>
      <c r="I1271" s="10" t="str">
        <f t="shared" si="297"/>
        <v>21</v>
      </c>
      <c r="J1271" s="11">
        <v>1</v>
      </c>
      <c r="K1271" s="11"/>
      <c r="L1271" s="11"/>
      <c r="M1271" s="11">
        <f t="shared" si="301"/>
        <v>0</v>
      </c>
      <c r="N1271" s="11"/>
      <c r="O1271" s="11">
        <f t="shared" si="302"/>
        <v>0</v>
      </c>
      <c r="P1271" s="11"/>
      <c r="Q1271" s="11"/>
      <c r="R1271" s="11"/>
      <c r="S1271" s="11">
        <f t="shared" si="303"/>
        <v>0</v>
      </c>
      <c r="T1271" s="11">
        <f t="shared" si="304"/>
        <v>1666.6666666666667</v>
      </c>
      <c r="U1271" s="11">
        <f t="shared" si="305"/>
        <v>0</v>
      </c>
      <c r="V1271" s="24">
        <f t="shared" si="306"/>
        <v>0</v>
      </c>
      <c r="W1271" s="11">
        <f>IF(V1271&lt;=40000,0,
IF(V1271&lt;=55000,(V1271-40000)*10%,
IF(V1271&lt;=70000,(V1271-55000)*15%+1500,
IF(V1271&lt;=200000,(V1271-70000)*20%+1500+2250,
IF(V1271&lt;=400000,(V1271-200000)*22.5%+1500+2250+26000,
IF(V1271&lt;=600000,(V1271-400000)*25%+1500+2250+26000+45000,
IF(AND(V1271&gt;600000,V1271&lt;=1200000),(V1271-400000)*25%+1500+2250+26000+45000
+IFERROR(LOOKUP(V1271,{600001;700001;800001;900001},{4000;6750;10250;15250}),0),IF(V1271&gt;1200000,((V1271-1200000)*27.5%)+300000,0)
)))))))</f>
        <v>0</v>
      </c>
      <c r="X1271" s="12">
        <f t="shared" si="307"/>
        <v>0</v>
      </c>
      <c r="Y1271" s="12">
        <f t="shared" si="308"/>
        <v>0</v>
      </c>
      <c r="Z1271" s="11"/>
      <c r="AA1271" s="13">
        <f t="shared" si="309"/>
        <v>0</v>
      </c>
      <c r="AB1271" s="12">
        <f t="shared" si="310"/>
        <v>0</v>
      </c>
      <c r="AC1271" s="14">
        <f t="shared" si="298"/>
        <v>0</v>
      </c>
      <c r="AE1271" s="19">
        <f t="shared" si="311"/>
        <v>0</v>
      </c>
      <c r="AF1271" s="19"/>
      <c r="AG1271" s="17"/>
      <c r="AK1271" s="7"/>
      <c r="AL1271" s="108">
        <f t="shared" si="299"/>
        <v>0</v>
      </c>
      <c r="AM1271" s="108">
        <f t="shared" si="300"/>
        <v>0</v>
      </c>
      <c r="AN1271" s="113"/>
    </row>
    <row r="1272" spans="2:40" x14ac:dyDescent="0.2">
      <c r="B1272" s="7"/>
      <c r="C1272" s="8"/>
      <c r="D1272" s="8"/>
      <c r="E1272" s="9"/>
      <c r="F1272" s="6"/>
      <c r="G1272" s="8"/>
      <c r="H1272" s="32"/>
      <c r="I1272" s="10" t="str">
        <f t="shared" si="297"/>
        <v>21</v>
      </c>
      <c r="J1272" s="11">
        <v>1</v>
      </c>
      <c r="K1272" s="11"/>
      <c r="L1272" s="11"/>
      <c r="M1272" s="11">
        <f t="shared" si="301"/>
        <v>0</v>
      </c>
      <c r="N1272" s="11"/>
      <c r="O1272" s="11">
        <f t="shared" si="302"/>
        <v>0</v>
      </c>
      <c r="P1272" s="11"/>
      <c r="Q1272" s="11"/>
      <c r="R1272" s="11"/>
      <c r="S1272" s="11">
        <f t="shared" si="303"/>
        <v>0</v>
      </c>
      <c r="T1272" s="11">
        <f t="shared" si="304"/>
        <v>1666.6666666666667</v>
      </c>
      <c r="U1272" s="11">
        <f t="shared" si="305"/>
        <v>0</v>
      </c>
      <c r="V1272" s="24">
        <f t="shared" si="306"/>
        <v>0</v>
      </c>
      <c r="W1272" s="11">
        <f>IF(V1272&lt;=40000,0,
IF(V1272&lt;=55000,(V1272-40000)*10%,
IF(V1272&lt;=70000,(V1272-55000)*15%+1500,
IF(V1272&lt;=200000,(V1272-70000)*20%+1500+2250,
IF(V1272&lt;=400000,(V1272-200000)*22.5%+1500+2250+26000,
IF(V1272&lt;=600000,(V1272-400000)*25%+1500+2250+26000+45000,
IF(AND(V1272&gt;600000,V1272&lt;=1200000),(V1272-400000)*25%+1500+2250+26000+45000
+IFERROR(LOOKUP(V1272,{600001;700001;800001;900001},{4000;6750;10250;15250}),0),IF(V1272&gt;1200000,((V1272-1200000)*27.5%)+300000,0)
)))))))</f>
        <v>0</v>
      </c>
      <c r="X1272" s="12">
        <f t="shared" si="307"/>
        <v>0</v>
      </c>
      <c r="Y1272" s="12">
        <f t="shared" si="308"/>
        <v>0</v>
      </c>
      <c r="Z1272" s="11"/>
      <c r="AA1272" s="13">
        <f t="shared" si="309"/>
        <v>0</v>
      </c>
      <c r="AB1272" s="12">
        <f t="shared" si="310"/>
        <v>0</v>
      </c>
      <c r="AC1272" s="14">
        <f t="shared" si="298"/>
        <v>0</v>
      </c>
      <c r="AE1272" s="19">
        <f t="shared" si="311"/>
        <v>0</v>
      </c>
      <c r="AF1272" s="19"/>
      <c r="AG1272" s="17"/>
      <c r="AK1272" s="7"/>
      <c r="AL1272" s="108">
        <f t="shared" si="299"/>
        <v>0</v>
      </c>
      <c r="AM1272" s="108">
        <f t="shared" si="300"/>
        <v>0</v>
      </c>
      <c r="AN1272" s="113"/>
    </row>
    <row r="1273" spans="2:40" x14ac:dyDescent="0.2">
      <c r="B1273" s="7"/>
      <c r="C1273" s="8"/>
      <c r="D1273" s="8"/>
      <c r="E1273" s="9"/>
      <c r="F1273" s="6"/>
      <c r="G1273" s="8"/>
      <c r="H1273" s="32"/>
      <c r="I1273" s="10" t="str">
        <f t="shared" si="297"/>
        <v>21</v>
      </c>
      <c r="J1273" s="11">
        <v>1</v>
      </c>
      <c r="K1273" s="11"/>
      <c r="L1273" s="11"/>
      <c r="M1273" s="11">
        <f t="shared" si="301"/>
        <v>0</v>
      </c>
      <c r="N1273" s="11"/>
      <c r="O1273" s="11">
        <f t="shared" si="302"/>
        <v>0</v>
      </c>
      <c r="P1273" s="11"/>
      <c r="Q1273" s="11"/>
      <c r="R1273" s="11"/>
      <c r="S1273" s="11">
        <f t="shared" si="303"/>
        <v>0</v>
      </c>
      <c r="T1273" s="11">
        <f t="shared" si="304"/>
        <v>1666.6666666666667</v>
      </c>
      <c r="U1273" s="11">
        <f t="shared" si="305"/>
        <v>0</v>
      </c>
      <c r="V1273" s="24">
        <f t="shared" si="306"/>
        <v>0</v>
      </c>
      <c r="W1273" s="11">
        <f>IF(V1273&lt;=40000,0,
IF(V1273&lt;=55000,(V1273-40000)*10%,
IF(V1273&lt;=70000,(V1273-55000)*15%+1500,
IF(V1273&lt;=200000,(V1273-70000)*20%+1500+2250,
IF(V1273&lt;=400000,(V1273-200000)*22.5%+1500+2250+26000,
IF(V1273&lt;=600000,(V1273-400000)*25%+1500+2250+26000+45000,
IF(AND(V1273&gt;600000,V1273&lt;=1200000),(V1273-400000)*25%+1500+2250+26000+45000
+IFERROR(LOOKUP(V1273,{600001;700001;800001;900001},{4000;6750;10250;15250}),0),IF(V1273&gt;1200000,((V1273-1200000)*27.5%)+300000,0)
)))))))</f>
        <v>0</v>
      </c>
      <c r="X1273" s="12">
        <f t="shared" si="307"/>
        <v>0</v>
      </c>
      <c r="Y1273" s="12">
        <f t="shared" si="308"/>
        <v>0</v>
      </c>
      <c r="Z1273" s="11"/>
      <c r="AA1273" s="13">
        <f t="shared" si="309"/>
        <v>0</v>
      </c>
      <c r="AB1273" s="12">
        <f t="shared" si="310"/>
        <v>0</v>
      </c>
      <c r="AC1273" s="14">
        <f t="shared" si="298"/>
        <v>0</v>
      </c>
      <c r="AE1273" s="19">
        <f t="shared" si="311"/>
        <v>0</v>
      </c>
      <c r="AF1273" s="19"/>
      <c r="AG1273" s="17"/>
      <c r="AK1273" s="7"/>
      <c r="AL1273" s="108">
        <f t="shared" si="299"/>
        <v>0</v>
      </c>
      <c r="AM1273" s="108">
        <f t="shared" si="300"/>
        <v>0</v>
      </c>
      <c r="AN1273" s="113"/>
    </row>
    <row r="1274" spans="2:40" x14ac:dyDescent="0.2">
      <c r="B1274" s="7"/>
      <c r="C1274" s="8"/>
      <c r="D1274" s="8"/>
      <c r="E1274" s="9"/>
      <c r="F1274" s="6"/>
      <c r="G1274" s="8"/>
      <c r="H1274" s="32"/>
      <c r="I1274" s="10" t="str">
        <f t="shared" si="297"/>
        <v>21</v>
      </c>
      <c r="J1274" s="11">
        <v>1</v>
      </c>
      <c r="K1274" s="11"/>
      <c r="L1274" s="11"/>
      <c r="M1274" s="11">
        <f t="shared" si="301"/>
        <v>0</v>
      </c>
      <c r="N1274" s="11"/>
      <c r="O1274" s="11">
        <f t="shared" si="302"/>
        <v>0</v>
      </c>
      <c r="P1274" s="11"/>
      <c r="Q1274" s="11"/>
      <c r="R1274" s="11"/>
      <c r="S1274" s="11">
        <f t="shared" si="303"/>
        <v>0</v>
      </c>
      <c r="T1274" s="11">
        <f t="shared" si="304"/>
        <v>1666.6666666666667</v>
      </c>
      <c r="U1274" s="11">
        <f t="shared" si="305"/>
        <v>0</v>
      </c>
      <c r="V1274" s="24">
        <f t="shared" si="306"/>
        <v>0</v>
      </c>
      <c r="W1274" s="11">
        <f>IF(V1274&lt;=40000,0,
IF(V1274&lt;=55000,(V1274-40000)*10%,
IF(V1274&lt;=70000,(V1274-55000)*15%+1500,
IF(V1274&lt;=200000,(V1274-70000)*20%+1500+2250,
IF(V1274&lt;=400000,(V1274-200000)*22.5%+1500+2250+26000,
IF(V1274&lt;=600000,(V1274-400000)*25%+1500+2250+26000+45000,
IF(AND(V1274&gt;600000,V1274&lt;=1200000),(V1274-400000)*25%+1500+2250+26000+45000
+IFERROR(LOOKUP(V1274,{600001;700001;800001;900001},{4000;6750;10250;15250}),0),IF(V1274&gt;1200000,((V1274-1200000)*27.5%)+300000,0)
)))))))</f>
        <v>0</v>
      </c>
      <c r="X1274" s="12">
        <f t="shared" si="307"/>
        <v>0</v>
      </c>
      <c r="Y1274" s="12">
        <f t="shared" si="308"/>
        <v>0</v>
      </c>
      <c r="Z1274" s="11"/>
      <c r="AA1274" s="13">
        <f t="shared" si="309"/>
        <v>0</v>
      </c>
      <c r="AB1274" s="12">
        <f t="shared" si="310"/>
        <v>0</v>
      </c>
      <c r="AC1274" s="14">
        <f t="shared" si="298"/>
        <v>0</v>
      </c>
      <c r="AE1274" s="19">
        <f t="shared" si="311"/>
        <v>0</v>
      </c>
      <c r="AF1274" s="19"/>
      <c r="AG1274" s="17"/>
      <c r="AK1274" s="7"/>
      <c r="AL1274" s="108">
        <f t="shared" si="299"/>
        <v>0</v>
      </c>
      <c r="AM1274" s="108">
        <f t="shared" si="300"/>
        <v>0</v>
      </c>
      <c r="AN1274" s="113"/>
    </row>
    <row r="1275" spans="2:40" x14ac:dyDescent="0.2">
      <c r="B1275" s="7"/>
      <c r="C1275" s="8"/>
      <c r="D1275" s="8"/>
      <c r="E1275" s="9"/>
      <c r="F1275" s="6"/>
      <c r="G1275" s="8"/>
      <c r="H1275" s="32"/>
      <c r="I1275" s="10" t="str">
        <f t="shared" si="297"/>
        <v>21</v>
      </c>
      <c r="J1275" s="11">
        <v>1</v>
      </c>
      <c r="K1275" s="11"/>
      <c r="L1275" s="11"/>
      <c r="M1275" s="11">
        <f t="shared" si="301"/>
        <v>0</v>
      </c>
      <c r="N1275" s="11"/>
      <c r="O1275" s="11">
        <f t="shared" si="302"/>
        <v>0</v>
      </c>
      <c r="P1275" s="11"/>
      <c r="Q1275" s="11"/>
      <c r="R1275" s="11"/>
      <c r="S1275" s="11">
        <f t="shared" si="303"/>
        <v>0</v>
      </c>
      <c r="T1275" s="11">
        <f t="shared" si="304"/>
        <v>1666.6666666666667</v>
      </c>
      <c r="U1275" s="11">
        <f t="shared" si="305"/>
        <v>0</v>
      </c>
      <c r="V1275" s="24">
        <f t="shared" si="306"/>
        <v>0</v>
      </c>
      <c r="W1275" s="11">
        <f>IF(V1275&lt;=40000,0,
IF(V1275&lt;=55000,(V1275-40000)*10%,
IF(V1275&lt;=70000,(V1275-55000)*15%+1500,
IF(V1275&lt;=200000,(V1275-70000)*20%+1500+2250,
IF(V1275&lt;=400000,(V1275-200000)*22.5%+1500+2250+26000,
IF(V1275&lt;=600000,(V1275-400000)*25%+1500+2250+26000+45000,
IF(AND(V1275&gt;600000,V1275&lt;=1200000),(V1275-400000)*25%+1500+2250+26000+45000
+IFERROR(LOOKUP(V1275,{600001;700001;800001;900001},{4000;6750;10250;15250}),0),IF(V1275&gt;1200000,((V1275-1200000)*27.5%)+300000,0)
)))))))</f>
        <v>0</v>
      </c>
      <c r="X1275" s="12">
        <f t="shared" si="307"/>
        <v>0</v>
      </c>
      <c r="Y1275" s="12">
        <f t="shared" si="308"/>
        <v>0</v>
      </c>
      <c r="Z1275" s="11"/>
      <c r="AA1275" s="13">
        <f t="shared" si="309"/>
        <v>0</v>
      </c>
      <c r="AB1275" s="12">
        <f t="shared" si="310"/>
        <v>0</v>
      </c>
      <c r="AC1275" s="14">
        <f t="shared" si="298"/>
        <v>0</v>
      </c>
      <c r="AE1275" s="19">
        <f t="shared" si="311"/>
        <v>0</v>
      </c>
      <c r="AF1275" s="19"/>
      <c r="AG1275" s="17"/>
      <c r="AK1275" s="7"/>
      <c r="AL1275" s="108">
        <f t="shared" si="299"/>
        <v>0</v>
      </c>
      <c r="AM1275" s="108">
        <f t="shared" si="300"/>
        <v>0</v>
      </c>
      <c r="AN1275" s="113"/>
    </row>
    <row r="1276" spans="2:40" x14ac:dyDescent="0.2">
      <c r="B1276" s="7"/>
      <c r="C1276" s="8"/>
      <c r="D1276" s="8"/>
      <c r="E1276" s="9"/>
      <c r="F1276" s="6"/>
      <c r="G1276" s="8"/>
      <c r="H1276" s="32"/>
      <c r="I1276" s="10" t="str">
        <f t="shared" si="297"/>
        <v>21</v>
      </c>
      <c r="J1276" s="11">
        <v>1</v>
      </c>
      <c r="K1276" s="11"/>
      <c r="L1276" s="11"/>
      <c r="M1276" s="11">
        <f t="shared" si="301"/>
        <v>0</v>
      </c>
      <c r="N1276" s="11"/>
      <c r="O1276" s="11">
        <f t="shared" si="302"/>
        <v>0</v>
      </c>
      <c r="P1276" s="11"/>
      <c r="Q1276" s="11"/>
      <c r="R1276" s="11"/>
      <c r="S1276" s="11">
        <f t="shared" si="303"/>
        <v>0</v>
      </c>
      <c r="T1276" s="11">
        <f t="shared" si="304"/>
        <v>1666.6666666666667</v>
      </c>
      <c r="U1276" s="11">
        <f t="shared" si="305"/>
        <v>0</v>
      </c>
      <c r="V1276" s="24">
        <f t="shared" si="306"/>
        <v>0</v>
      </c>
      <c r="W1276" s="11">
        <f>IF(V1276&lt;=40000,0,
IF(V1276&lt;=55000,(V1276-40000)*10%,
IF(V1276&lt;=70000,(V1276-55000)*15%+1500,
IF(V1276&lt;=200000,(V1276-70000)*20%+1500+2250,
IF(V1276&lt;=400000,(V1276-200000)*22.5%+1500+2250+26000,
IF(V1276&lt;=600000,(V1276-400000)*25%+1500+2250+26000+45000,
IF(AND(V1276&gt;600000,V1276&lt;=1200000),(V1276-400000)*25%+1500+2250+26000+45000
+IFERROR(LOOKUP(V1276,{600001;700001;800001;900001},{4000;6750;10250;15250}),0),IF(V1276&gt;1200000,((V1276-1200000)*27.5%)+300000,0)
)))))))</f>
        <v>0</v>
      </c>
      <c r="X1276" s="12">
        <f t="shared" si="307"/>
        <v>0</v>
      </c>
      <c r="Y1276" s="12">
        <f t="shared" si="308"/>
        <v>0</v>
      </c>
      <c r="Z1276" s="11"/>
      <c r="AA1276" s="13">
        <f t="shared" si="309"/>
        <v>0</v>
      </c>
      <c r="AB1276" s="12">
        <f t="shared" si="310"/>
        <v>0</v>
      </c>
      <c r="AC1276" s="14">
        <f t="shared" si="298"/>
        <v>0</v>
      </c>
      <c r="AE1276" s="19">
        <f t="shared" si="311"/>
        <v>0</v>
      </c>
      <c r="AF1276" s="19"/>
      <c r="AG1276" s="17"/>
      <c r="AK1276" s="7"/>
      <c r="AL1276" s="108">
        <f t="shared" si="299"/>
        <v>0</v>
      </c>
      <c r="AM1276" s="108">
        <f t="shared" si="300"/>
        <v>0</v>
      </c>
      <c r="AN1276" s="113"/>
    </row>
    <row r="1277" spans="2:40" x14ac:dyDescent="0.2">
      <c r="B1277" s="7"/>
      <c r="C1277" s="8"/>
      <c r="D1277" s="8"/>
      <c r="E1277" s="9"/>
      <c r="F1277" s="6"/>
      <c r="G1277" s="8"/>
      <c r="H1277" s="32"/>
      <c r="I1277" s="10" t="str">
        <f t="shared" si="297"/>
        <v>21</v>
      </c>
      <c r="J1277" s="11">
        <v>1</v>
      </c>
      <c r="K1277" s="11"/>
      <c r="L1277" s="11"/>
      <c r="M1277" s="11">
        <f t="shared" si="301"/>
        <v>0</v>
      </c>
      <c r="N1277" s="11"/>
      <c r="O1277" s="11">
        <f t="shared" si="302"/>
        <v>0</v>
      </c>
      <c r="P1277" s="11"/>
      <c r="Q1277" s="11"/>
      <c r="R1277" s="11"/>
      <c r="S1277" s="11">
        <f t="shared" si="303"/>
        <v>0</v>
      </c>
      <c r="T1277" s="11">
        <f t="shared" si="304"/>
        <v>1666.6666666666667</v>
      </c>
      <c r="U1277" s="11">
        <f t="shared" si="305"/>
        <v>0</v>
      </c>
      <c r="V1277" s="24">
        <f t="shared" si="306"/>
        <v>0</v>
      </c>
      <c r="W1277" s="11">
        <f>IF(V1277&lt;=40000,0,
IF(V1277&lt;=55000,(V1277-40000)*10%,
IF(V1277&lt;=70000,(V1277-55000)*15%+1500,
IF(V1277&lt;=200000,(V1277-70000)*20%+1500+2250,
IF(V1277&lt;=400000,(V1277-200000)*22.5%+1500+2250+26000,
IF(V1277&lt;=600000,(V1277-400000)*25%+1500+2250+26000+45000,
IF(AND(V1277&gt;600000,V1277&lt;=1200000),(V1277-400000)*25%+1500+2250+26000+45000
+IFERROR(LOOKUP(V1277,{600001;700001;800001;900001},{4000;6750;10250;15250}),0),IF(V1277&gt;1200000,((V1277-1200000)*27.5%)+300000,0)
)))))))</f>
        <v>0</v>
      </c>
      <c r="X1277" s="12">
        <f t="shared" si="307"/>
        <v>0</v>
      </c>
      <c r="Y1277" s="12">
        <f t="shared" si="308"/>
        <v>0</v>
      </c>
      <c r="Z1277" s="11"/>
      <c r="AA1277" s="13">
        <f t="shared" si="309"/>
        <v>0</v>
      </c>
      <c r="AB1277" s="12">
        <f t="shared" si="310"/>
        <v>0</v>
      </c>
      <c r="AC1277" s="14">
        <f t="shared" si="298"/>
        <v>0</v>
      </c>
      <c r="AE1277" s="19">
        <f t="shared" si="311"/>
        <v>0</v>
      </c>
      <c r="AF1277" s="19"/>
      <c r="AG1277" s="17"/>
      <c r="AK1277" s="7"/>
      <c r="AL1277" s="108">
        <f t="shared" si="299"/>
        <v>0</v>
      </c>
      <c r="AM1277" s="108">
        <f t="shared" si="300"/>
        <v>0</v>
      </c>
      <c r="AN1277" s="113"/>
    </row>
    <row r="1278" spans="2:40" x14ac:dyDescent="0.2">
      <c r="B1278" s="7"/>
      <c r="C1278" s="8"/>
      <c r="D1278" s="8"/>
      <c r="E1278" s="9"/>
      <c r="F1278" s="6"/>
      <c r="G1278" s="8"/>
      <c r="H1278" s="32"/>
      <c r="I1278" s="10" t="str">
        <f t="shared" si="297"/>
        <v>21</v>
      </c>
      <c r="J1278" s="11">
        <v>1</v>
      </c>
      <c r="K1278" s="11"/>
      <c r="L1278" s="11"/>
      <c r="M1278" s="11">
        <f t="shared" si="301"/>
        <v>0</v>
      </c>
      <c r="N1278" s="11"/>
      <c r="O1278" s="11">
        <f t="shared" si="302"/>
        <v>0</v>
      </c>
      <c r="P1278" s="11"/>
      <c r="Q1278" s="11"/>
      <c r="R1278" s="11"/>
      <c r="S1278" s="11">
        <f t="shared" si="303"/>
        <v>0</v>
      </c>
      <c r="T1278" s="11">
        <f t="shared" si="304"/>
        <v>1666.6666666666667</v>
      </c>
      <c r="U1278" s="11">
        <f t="shared" si="305"/>
        <v>0</v>
      </c>
      <c r="V1278" s="24">
        <f t="shared" si="306"/>
        <v>0</v>
      </c>
      <c r="W1278" s="11">
        <f>IF(V1278&lt;=40000,0,
IF(V1278&lt;=55000,(V1278-40000)*10%,
IF(V1278&lt;=70000,(V1278-55000)*15%+1500,
IF(V1278&lt;=200000,(V1278-70000)*20%+1500+2250,
IF(V1278&lt;=400000,(V1278-200000)*22.5%+1500+2250+26000,
IF(V1278&lt;=600000,(V1278-400000)*25%+1500+2250+26000+45000,
IF(AND(V1278&gt;600000,V1278&lt;=1200000),(V1278-400000)*25%+1500+2250+26000+45000
+IFERROR(LOOKUP(V1278,{600001;700001;800001;900001},{4000;6750;10250;15250}),0),IF(V1278&gt;1200000,((V1278-1200000)*27.5%)+300000,0)
)))))))</f>
        <v>0</v>
      </c>
      <c r="X1278" s="12">
        <f t="shared" si="307"/>
        <v>0</v>
      </c>
      <c r="Y1278" s="12">
        <f t="shared" si="308"/>
        <v>0</v>
      </c>
      <c r="Z1278" s="11"/>
      <c r="AA1278" s="13">
        <f t="shared" si="309"/>
        <v>0</v>
      </c>
      <c r="AB1278" s="12">
        <f t="shared" si="310"/>
        <v>0</v>
      </c>
      <c r="AC1278" s="14">
        <f t="shared" si="298"/>
        <v>0</v>
      </c>
      <c r="AE1278" s="19">
        <f t="shared" si="311"/>
        <v>0</v>
      </c>
      <c r="AF1278" s="19"/>
      <c r="AG1278" s="17"/>
      <c r="AK1278" s="7"/>
      <c r="AL1278" s="108">
        <f t="shared" si="299"/>
        <v>0</v>
      </c>
      <c r="AM1278" s="108">
        <f t="shared" si="300"/>
        <v>0</v>
      </c>
      <c r="AN1278" s="113"/>
    </row>
    <row r="1279" spans="2:40" x14ac:dyDescent="0.2">
      <c r="B1279" s="7"/>
      <c r="C1279" s="8"/>
      <c r="D1279" s="8"/>
      <c r="E1279" s="9"/>
      <c r="F1279" s="6"/>
      <c r="G1279" s="8"/>
      <c r="H1279" s="32"/>
      <c r="I1279" s="10" t="str">
        <f t="shared" si="297"/>
        <v>21</v>
      </c>
      <c r="J1279" s="11">
        <v>1</v>
      </c>
      <c r="K1279" s="11"/>
      <c r="L1279" s="11"/>
      <c r="M1279" s="11">
        <f t="shared" si="301"/>
        <v>0</v>
      </c>
      <c r="N1279" s="11"/>
      <c r="O1279" s="11">
        <f t="shared" si="302"/>
        <v>0</v>
      </c>
      <c r="P1279" s="11"/>
      <c r="Q1279" s="11"/>
      <c r="R1279" s="11"/>
      <c r="S1279" s="11">
        <f t="shared" si="303"/>
        <v>0</v>
      </c>
      <c r="T1279" s="11">
        <f t="shared" si="304"/>
        <v>1666.6666666666667</v>
      </c>
      <c r="U1279" s="11">
        <f t="shared" si="305"/>
        <v>0</v>
      </c>
      <c r="V1279" s="24">
        <f t="shared" si="306"/>
        <v>0</v>
      </c>
      <c r="W1279" s="11">
        <f>IF(V1279&lt;=40000,0,
IF(V1279&lt;=55000,(V1279-40000)*10%,
IF(V1279&lt;=70000,(V1279-55000)*15%+1500,
IF(V1279&lt;=200000,(V1279-70000)*20%+1500+2250,
IF(V1279&lt;=400000,(V1279-200000)*22.5%+1500+2250+26000,
IF(V1279&lt;=600000,(V1279-400000)*25%+1500+2250+26000+45000,
IF(AND(V1279&gt;600000,V1279&lt;=1200000),(V1279-400000)*25%+1500+2250+26000+45000
+IFERROR(LOOKUP(V1279,{600001;700001;800001;900001},{4000;6750;10250;15250}),0),IF(V1279&gt;1200000,((V1279-1200000)*27.5%)+300000,0)
)))))))</f>
        <v>0</v>
      </c>
      <c r="X1279" s="12">
        <f t="shared" si="307"/>
        <v>0</v>
      </c>
      <c r="Y1279" s="12">
        <f t="shared" si="308"/>
        <v>0</v>
      </c>
      <c r="Z1279" s="11"/>
      <c r="AA1279" s="13">
        <f t="shared" si="309"/>
        <v>0</v>
      </c>
      <c r="AB1279" s="12">
        <f t="shared" si="310"/>
        <v>0</v>
      </c>
      <c r="AC1279" s="14">
        <f t="shared" si="298"/>
        <v>0</v>
      </c>
      <c r="AE1279" s="19">
        <f t="shared" si="311"/>
        <v>0</v>
      </c>
      <c r="AF1279" s="19"/>
      <c r="AG1279" s="17"/>
      <c r="AK1279" s="7"/>
      <c r="AL1279" s="108">
        <f t="shared" si="299"/>
        <v>0</v>
      </c>
      <c r="AM1279" s="108">
        <f t="shared" si="300"/>
        <v>0</v>
      </c>
      <c r="AN1279" s="113"/>
    </row>
    <row r="1280" spans="2:40" x14ac:dyDescent="0.2">
      <c r="B1280" s="7"/>
      <c r="C1280" s="8"/>
      <c r="D1280" s="8"/>
      <c r="E1280" s="9"/>
      <c r="F1280" s="6"/>
      <c r="G1280" s="8"/>
      <c r="H1280" s="32"/>
      <c r="I1280" s="10" t="str">
        <f t="shared" si="297"/>
        <v>21</v>
      </c>
      <c r="J1280" s="11">
        <v>1</v>
      </c>
      <c r="K1280" s="11"/>
      <c r="L1280" s="11"/>
      <c r="M1280" s="11">
        <f t="shared" si="301"/>
        <v>0</v>
      </c>
      <c r="N1280" s="11"/>
      <c r="O1280" s="11">
        <f t="shared" si="302"/>
        <v>0</v>
      </c>
      <c r="P1280" s="11"/>
      <c r="Q1280" s="11"/>
      <c r="R1280" s="11"/>
      <c r="S1280" s="11">
        <f t="shared" si="303"/>
        <v>0</v>
      </c>
      <c r="T1280" s="11">
        <f t="shared" si="304"/>
        <v>1666.6666666666667</v>
      </c>
      <c r="U1280" s="11">
        <f t="shared" si="305"/>
        <v>0</v>
      </c>
      <c r="V1280" s="24">
        <f t="shared" si="306"/>
        <v>0</v>
      </c>
      <c r="W1280" s="11">
        <f>IF(V1280&lt;=40000,0,
IF(V1280&lt;=55000,(V1280-40000)*10%,
IF(V1280&lt;=70000,(V1280-55000)*15%+1500,
IF(V1280&lt;=200000,(V1280-70000)*20%+1500+2250,
IF(V1280&lt;=400000,(V1280-200000)*22.5%+1500+2250+26000,
IF(V1280&lt;=600000,(V1280-400000)*25%+1500+2250+26000+45000,
IF(AND(V1280&gt;600000,V1280&lt;=1200000),(V1280-400000)*25%+1500+2250+26000+45000
+IFERROR(LOOKUP(V1280,{600001;700001;800001;900001},{4000;6750;10250;15250}),0),IF(V1280&gt;1200000,((V1280-1200000)*27.5%)+300000,0)
)))))))</f>
        <v>0</v>
      </c>
      <c r="X1280" s="12">
        <f t="shared" si="307"/>
        <v>0</v>
      </c>
      <c r="Y1280" s="12">
        <f t="shared" si="308"/>
        <v>0</v>
      </c>
      <c r="Z1280" s="11"/>
      <c r="AA1280" s="13">
        <f t="shared" si="309"/>
        <v>0</v>
      </c>
      <c r="AB1280" s="12">
        <f t="shared" si="310"/>
        <v>0</v>
      </c>
      <c r="AC1280" s="14">
        <f t="shared" si="298"/>
        <v>0</v>
      </c>
      <c r="AE1280" s="19">
        <f t="shared" si="311"/>
        <v>0</v>
      </c>
      <c r="AF1280" s="19"/>
      <c r="AG1280" s="17"/>
      <c r="AK1280" s="7"/>
      <c r="AL1280" s="108">
        <f t="shared" si="299"/>
        <v>0</v>
      </c>
      <c r="AM1280" s="108">
        <f t="shared" si="300"/>
        <v>0</v>
      </c>
      <c r="AN1280" s="113"/>
    </row>
    <row r="1281" spans="2:40" x14ac:dyDescent="0.2">
      <c r="B1281" s="7"/>
      <c r="C1281" s="8"/>
      <c r="D1281" s="8"/>
      <c r="E1281" s="9"/>
      <c r="F1281" s="6"/>
      <c r="G1281" s="8"/>
      <c r="H1281" s="32"/>
      <c r="I1281" s="10" t="str">
        <f t="shared" si="297"/>
        <v>21</v>
      </c>
      <c r="J1281" s="11">
        <v>1</v>
      </c>
      <c r="K1281" s="11"/>
      <c r="L1281" s="11"/>
      <c r="M1281" s="11">
        <f t="shared" si="301"/>
        <v>0</v>
      </c>
      <c r="N1281" s="11"/>
      <c r="O1281" s="11">
        <f t="shared" si="302"/>
        <v>0</v>
      </c>
      <c r="P1281" s="11"/>
      <c r="Q1281" s="11"/>
      <c r="R1281" s="11"/>
      <c r="S1281" s="11">
        <f t="shared" si="303"/>
        <v>0</v>
      </c>
      <c r="T1281" s="11">
        <f t="shared" si="304"/>
        <v>1666.6666666666667</v>
      </c>
      <c r="U1281" s="11">
        <f t="shared" si="305"/>
        <v>0</v>
      </c>
      <c r="V1281" s="24">
        <f t="shared" si="306"/>
        <v>0</v>
      </c>
      <c r="W1281" s="11">
        <f>IF(V1281&lt;=40000,0,
IF(V1281&lt;=55000,(V1281-40000)*10%,
IF(V1281&lt;=70000,(V1281-55000)*15%+1500,
IF(V1281&lt;=200000,(V1281-70000)*20%+1500+2250,
IF(V1281&lt;=400000,(V1281-200000)*22.5%+1500+2250+26000,
IF(V1281&lt;=600000,(V1281-400000)*25%+1500+2250+26000+45000,
IF(AND(V1281&gt;600000,V1281&lt;=1200000),(V1281-400000)*25%+1500+2250+26000+45000
+IFERROR(LOOKUP(V1281,{600001;700001;800001;900001},{4000;6750;10250;15250}),0),IF(V1281&gt;1200000,((V1281-1200000)*27.5%)+300000,0)
)))))))</f>
        <v>0</v>
      </c>
      <c r="X1281" s="12">
        <f t="shared" si="307"/>
        <v>0</v>
      </c>
      <c r="Y1281" s="12">
        <f t="shared" si="308"/>
        <v>0</v>
      </c>
      <c r="Z1281" s="11"/>
      <c r="AA1281" s="13">
        <f t="shared" si="309"/>
        <v>0</v>
      </c>
      <c r="AB1281" s="12">
        <f t="shared" si="310"/>
        <v>0</v>
      </c>
      <c r="AC1281" s="14">
        <f t="shared" si="298"/>
        <v>0</v>
      </c>
      <c r="AE1281" s="19">
        <f t="shared" si="311"/>
        <v>0</v>
      </c>
      <c r="AF1281" s="19"/>
      <c r="AG1281" s="17"/>
      <c r="AK1281" s="7"/>
      <c r="AL1281" s="108">
        <f t="shared" si="299"/>
        <v>0</v>
      </c>
      <c r="AM1281" s="108">
        <f t="shared" si="300"/>
        <v>0</v>
      </c>
      <c r="AN1281" s="113"/>
    </row>
    <row r="1282" spans="2:40" x14ac:dyDescent="0.2">
      <c r="B1282" s="7"/>
      <c r="C1282" s="8"/>
      <c r="D1282" s="8"/>
      <c r="E1282" s="9"/>
      <c r="F1282" s="6"/>
      <c r="G1282" s="8"/>
      <c r="H1282" s="32"/>
      <c r="I1282" s="10" t="str">
        <f t="shared" si="297"/>
        <v>21</v>
      </c>
      <c r="J1282" s="11">
        <v>1</v>
      </c>
      <c r="K1282" s="11"/>
      <c r="L1282" s="11"/>
      <c r="M1282" s="11">
        <f t="shared" si="301"/>
        <v>0</v>
      </c>
      <c r="N1282" s="11"/>
      <c r="O1282" s="11">
        <f t="shared" si="302"/>
        <v>0</v>
      </c>
      <c r="P1282" s="11"/>
      <c r="Q1282" s="11"/>
      <c r="R1282" s="11"/>
      <c r="S1282" s="11">
        <f t="shared" si="303"/>
        <v>0</v>
      </c>
      <c r="T1282" s="11">
        <f t="shared" si="304"/>
        <v>1666.6666666666667</v>
      </c>
      <c r="U1282" s="11">
        <f t="shared" si="305"/>
        <v>0</v>
      </c>
      <c r="V1282" s="24">
        <f t="shared" si="306"/>
        <v>0</v>
      </c>
      <c r="W1282" s="11">
        <f>IF(V1282&lt;=40000,0,
IF(V1282&lt;=55000,(V1282-40000)*10%,
IF(V1282&lt;=70000,(V1282-55000)*15%+1500,
IF(V1282&lt;=200000,(V1282-70000)*20%+1500+2250,
IF(V1282&lt;=400000,(V1282-200000)*22.5%+1500+2250+26000,
IF(V1282&lt;=600000,(V1282-400000)*25%+1500+2250+26000+45000,
IF(AND(V1282&gt;600000,V1282&lt;=1200000),(V1282-400000)*25%+1500+2250+26000+45000
+IFERROR(LOOKUP(V1282,{600001;700001;800001;900001},{4000;6750;10250;15250}),0),IF(V1282&gt;1200000,((V1282-1200000)*27.5%)+300000,0)
)))))))</f>
        <v>0</v>
      </c>
      <c r="X1282" s="12">
        <f t="shared" si="307"/>
        <v>0</v>
      </c>
      <c r="Y1282" s="12">
        <f t="shared" si="308"/>
        <v>0</v>
      </c>
      <c r="Z1282" s="11"/>
      <c r="AA1282" s="13">
        <f t="shared" si="309"/>
        <v>0</v>
      </c>
      <c r="AB1282" s="12">
        <f t="shared" si="310"/>
        <v>0</v>
      </c>
      <c r="AC1282" s="14">
        <f t="shared" si="298"/>
        <v>0</v>
      </c>
      <c r="AE1282" s="19">
        <f t="shared" si="311"/>
        <v>0</v>
      </c>
      <c r="AF1282" s="19"/>
      <c r="AG1282" s="17"/>
      <c r="AK1282" s="7"/>
      <c r="AL1282" s="108">
        <f t="shared" si="299"/>
        <v>0</v>
      </c>
      <c r="AM1282" s="108">
        <f t="shared" si="300"/>
        <v>0</v>
      </c>
      <c r="AN1282" s="113"/>
    </row>
    <row r="1283" spans="2:40" x14ac:dyDescent="0.2">
      <c r="B1283" s="7"/>
      <c r="C1283" s="8"/>
      <c r="D1283" s="8"/>
      <c r="E1283" s="9"/>
      <c r="F1283" s="6"/>
      <c r="G1283" s="8"/>
      <c r="H1283" s="32"/>
      <c r="I1283" s="10" t="str">
        <f t="shared" si="297"/>
        <v>21</v>
      </c>
      <c r="J1283" s="11">
        <v>1</v>
      </c>
      <c r="K1283" s="11"/>
      <c r="L1283" s="11"/>
      <c r="M1283" s="11">
        <f t="shared" si="301"/>
        <v>0</v>
      </c>
      <c r="N1283" s="11"/>
      <c r="O1283" s="11">
        <f t="shared" si="302"/>
        <v>0</v>
      </c>
      <c r="P1283" s="11"/>
      <c r="Q1283" s="11"/>
      <c r="R1283" s="11"/>
      <c r="S1283" s="11">
        <f t="shared" si="303"/>
        <v>0</v>
      </c>
      <c r="T1283" s="11">
        <f t="shared" si="304"/>
        <v>1666.6666666666667</v>
      </c>
      <c r="U1283" s="11">
        <f t="shared" si="305"/>
        <v>0</v>
      </c>
      <c r="V1283" s="24">
        <f t="shared" si="306"/>
        <v>0</v>
      </c>
      <c r="W1283" s="11">
        <f>IF(V1283&lt;=40000,0,
IF(V1283&lt;=55000,(V1283-40000)*10%,
IF(V1283&lt;=70000,(V1283-55000)*15%+1500,
IF(V1283&lt;=200000,(V1283-70000)*20%+1500+2250,
IF(V1283&lt;=400000,(V1283-200000)*22.5%+1500+2250+26000,
IF(V1283&lt;=600000,(V1283-400000)*25%+1500+2250+26000+45000,
IF(AND(V1283&gt;600000,V1283&lt;=1200000),(V1283-400000)*25%+1500+2250+26000+45000
+IFERROR(LOOKUP(V1283,{600001;700001;800001;900001},{4000;6750;10250;15250}),0),IF(V1283&gt;1200000,((V1283-1200000)*27.5%)+300000,0)
)))))))</f>
        <v>0</v>
      </c>
      <c r="X1283" s="12">
        <f t="shared" si="307"/>
        <v>0</v>
      </c>
      <c r="Y1283" s="12">
        <f t="shared" si="308"/>
        <v>0</v>
      </c>
      <c r="Z1283" s="11"/>
      <c r="AA1283" s="13">
        <f t="shared" si="309"/>
        <v>0</v>
      </c>
      <c r="AB1283" s="12">
        <f t="shared" si="310"/>
        <v>0</v>
      </c>
      <c r="AC1283" s="14">
        <f t="shared" si="298"/>
        <v>0</v>
      </c>
      <c r="AE1283" s="19">
        <f t="shared" si="311"/>
        <v>0</v>
      </c>
      <c r="AF1283" s="19"/>
      <c r="AG1283" s="17"/>
      <c r="AK1283" s="7"/>
      <c r="AL1283" s="108">
        <f t="shared" si="299"/>
        <v>0</v>
      </c>
      <c r="AM1283" s="108">
        <f t="shared" si="300"/>
        <v>0</v>
      </c>
      <c r="AN1283" s="113"/>
    </row>
    <row r="1284" spans="2:40" x14ac:dyDescent="0.2">
      <c r="B1284" s="7"/>
      <c r="C1284" s="8"/>
      <c r="D1284" s="8"/>
      <c r="E1284" s="9"/>
      <c r="F1284" s="6"/>
      <c r="G1284" s="8"/>
      <c r="H1284" s="32"/>
      <c r="I1284" s="10" t="str">
        <f t="shared" si="297"/>
        <v>21</v>
      </c>
      <c r="J1284" s="11">
        <v>1</v>
      </c>
      <c r="K1284" s="11"/>
      <c r="L1284" s="11"/>
      <c r="M1284" s="11">
        <f t="shared" si="301"/>
        <v>0</v>
      </c>
      <c r="N1284" s="11"/>
      <c r="O1284" s="11">
        <f t="shared" si="302"/>
        <v>0</v>
      </c>
      <c r="P1284" s="11"/>
      <c r="Q1284" s="11"/>
      <c r="R1284" s="11"/>
      <c r="S1284" s="11">
        <f t="shared" si="303"/>
        <v>0</v>
      </c>
      <c r="T1284" s="11">
        <f t="shared" si="304"/>
        <v>1666.6666666666667</v>
      </c>
      <c r="U1284" s="11">
        <f t="shared" si="305"/>
        <v>0</v>
      </c>
      <c r="V1284" s="24">
        <f t="shared" si="306"/>
        <v>0</v>
      </c>
      <c r="W1284" s="11">
        <f>IF(V1284&lt;=40000,0,
IF(V1284&lt;=55000,(V1284-40000)*10%,
IF(V1284&lt;=70000,(V1284-55000)*15%+1500,
IF(V1284&lt;=200000,(V1284-70000)*20%+1500+2250,
IF(V1284&lt;=400000,(V1284-200000)*22.5%+1500+2250+26000,
IF(V1284&lt;=600000,(V1284-400000)*25%+1500+2250+26000+45000,
IF(AND(V1284&gt;600000,V1284&lt;=1200000),(V1284-400000)*25%+1500+2250+26000+45000
+IFERROR(LOOKUP(V1284,{600001;700001;800001;900001},{4000;6750;10250;15250}),0),IF(V1284&gt;1200000,((V1284-1200000)*27.5%)+300000,0)
)))))))</f>
        <v>0</v>
      </c>
      <c r="X1284" s="12">
        <f t="shared" si="307"/>
        <v>0</v>
      </c>
      <c r="Y1284" s="12">
        <f t="shared" si="308"/>
        <v>0</v>
      </c>
      <c r="Z1284" s="11"/>
      <c r="AA1284" s="13">
        <f t="shared" si="309"/>
        <v>0</v>
      </c>
      <c r="AB1284" s="12">
        <f t="shared" si="310"/>
        <v>0</v>
      </c>
      <c r="AC1284" s="14">
        <f t="shared" si="298"/>
        <v>0</v>
      </c>
      <c r="AE1284" s="19">
        <f t="shared" si="311"/>
        <v>0</v>
      </c>
      <c r="AF1284" s="19"/>
      <c r="AG1284" s="17"/>
      <c r="AK1284" s="7"/>
      <c r="AL1284" s="108">
        <f t="shared" si="299"/>
        <v>0</v>
      </c>
      <c r="AM1284" s="108">
        <f t="shared" si="300"/>
        <v>0</v>
      </c>
      <c r="AN1284" s="113"/>
    </row>
    <row r="1285" spans="2:40" x14ac:dyDescent="0.2">
      <c r="B1285" s="7"/>
      <c r="C1285" s="8"/>
      <c r="D1285" s="8"/>
      <c r="E1285" s="9"/>
      <c r="F1285" s="6"/>
      <c r="G1285" s="8"/>
      <c r="H1285" s="32"/>
      <c r="I1285" s="10" t="str">
        <f t="shared" ref="I1285:I1348" si="312">IF(G1285&gt;0,"1","21")</f>
        <v>21</v>
      </c>
      <c r="J1285" s="11">
        <v>1</v>
      </c>
      <c r="K1285" s="11"/>
      <c r="L1285" s="11"/>
      <c r="M1285" s="11">
        <f t="shared" si="301"/>
        <v>0</v>
      </c>
      <c r="N1285" s="11"/>
      <c r="O1285" s="11">
        <f t="shared" si="302"/>
        <v>0</v>
      </c>
      <c r="P1285" s="11"/>
      <c r="Q1285" s="11"/>
      <c r="R1285" s="11"/>
      <c r="S1285" s="11">
        <f t="shared" si="303"/>
        <v>0</v>
      </c>
      <c r="T1285" s="11">
        <f t="shared" si="304"/>
        <v>1666.6666666666667</v>
      </c>
      <c r="U1285" s="11">
        <f t="shared" si="305"/>
        <v>0</v>
      </c>
      <c r="V1285" s="24">
        <f t="shared" si="306"/>
        <v>0</v>
      </c>
      <c r="W1285" s="11">
        <f>IF(V1285&lt;=40000,0,
IF(V1285&lt;=55000,(V1285-40000)*10%,
IF(V1285&lt;=70000,(V1285-55000)*15%+1500,
IF(V1285&lt;=200000,(V1285-70000)*20%+1500+2250,
IF(V1285&lt;=400000,(V1285-200000)*22.5%+1500+2250+26000,
IF(V1285&lt;=600000,(V1285-400000)*25%+1500+2250+26000+45000,
IF(AND(V1285&gt;600000,V1285&lt;=1200000),(V1285-400000)*25%+1500+2250+26000+45000
+IFERROR(LOOKUP(V1285,{600001;700001;800001;900001},{4000;6750;10250;15250}),0),IF(V1285&gt;1200000,((V1285-1200000)*27.5%)+300000,0)
)))))))</f>
        <v>0</v>
      </c>
      <c r="X1285" s="12">
        <f t="shared" si="307"/>
        <v>0</v>
      </c>
      <c r="Y1285" s="12">
        <f t="shared" si="308"/>
        <v>0</v>
      </c>
      <c r="Z1285" s="11"/>
      <c r="AA1285" s="13">
        <f t="shared" si="309"/>
        <v>0</v>
      </c>
      <c r="AB1285" s="12">
        <f t="shared" si="310"/>
        <v>0</v>
      </c>
      <c r="AC1285" s="14">
        <f t="shared" ref="AC1285:AC1348" si="313">+M1285-P1285-Y1285</f>
        <v>0</v>
      </c>
      <c r="AE1285" s="19">
        <f t="shared" si="311"/>
        <v>0</v>
      </c>
      <c r="AF1285" s="19"/>
      <c r="AG1285" s="17"/>
      <c r="AK1285" s="7"/>
      <c r="AL1285" s="108">
        <f t="shared" ref="AL1285:AL1348" si="314">+AK1285+AD1285</f>
        <v>0</v>
      </c>
      <c r="AM1285" s="108">
        <f t="shared" ref="AM1285:AM1348" si="315">+AL1285-AC1285</f>
        <v>0</v>
      </c>
      <c r="AN1285" s="113"/>
    </row>
    <row r="1286" spans="2:40" x14ac:dyDescent="0.2">
      <c r="B1286" s="7"/>
      <c r="C1286" s="8"/>
      <c r="D1286" s="8"/>
      <c r="E1286" s="9"/>
      <c r="F1286" s="6"/>
      <c r="G1286" s="8"/>
      <c r="H1286" s="32"/>
      <c r="I1286" s="10" t="str">
        <f t="shared" si="312"/>
        <v>21</v>
      </c>
      <c r="J1286" s="11">
        <v>1</v>
      </c>
      <c r="K1286" s="11"/>
      <c r="L1286" s="11"/>
      <c r="M1286" s="11">
        <f t="shared" si="301"/>
        <v>0</v>
      </c>
      <c r="N1286" s="11"/>
      <c r="O1286" s="11">
        <f t="shared" si="302"/>
        <v>0</v>
      </c>
      <c r="P1286" s="11"/>
      <c r="Q1286" s="11"/>
      <c r="R1286" s="11"/>
      <c r="S1286" s="11">
        <f t="shared" si="303"/>
        <v>0</v>
      </c>
      <c r="T1286" s="11">
        <f t="shared" si="304"/>
        <v>1666.6666666666667</v>
      </c>
      <c r="U1286" s="11">
        <f t="shared" si="305"/>
        <v>0</v>
      </c>
      <c r="V1286" s="24">
        <f t="shared" si="306"/>
        <v>0</v>
      </c>
      <c r="W1286" s="11">
        <f>IF(V1286&lt;=40000,0,
IF(V1286&lt;=55000,(V1286-40000)*10%,
IF(V1286&lt;=70000,(V1286-55000)*15%+1500,
IF(V1286&lt;=200000,(V1286-70000)*20%+1500+2250,
IF(V1286&lt;=400000,(V1286-200000)*22.5%+1500+2250+26000,
IF(V1286&lt;=600000,(V1286-400000)*25%+1500+2250+26000+45000,
IF(AND(V1286&gt;600000,V1286&lt;=1200000),(V1286-400000)*25%+1500+2250+26000+45000
+IFERROR(LOOKUP(V1286,{600001;700001;800001;900001},{4000;6750;10250;15250}),0),IF(V1286&gt;1200000,((V1286-1200000)*27.5%)+300000,0)
)))))))</f>
        <v>0</v>
      </c>
      <c r="X1286" s="12">
        <f t="shared" si="307"/>
        <v>0</v>
      </c>
      <c r="Y1286" s="12">
        <f t="shared" si="308"/>
        <v>0</v>
      </c>
      <c r="Z1286" s="11"/>
      <c r="AA1286" s="13">
        <f t="shared" si="309"/>
        <v>0</v>
      </c>
      <c r="AB1286" s="12">
        <f t="shared" si="310"/>
        <v>0</v>
      </c>
      <c r="AC1286" s="14">
        <f t="shared" si="313"/>
        <v>0</v>
      </c>
      <c r="AE1286" s="19">
        <f t="shared" si="311"/>
        <v>0</v>
      </c>
      <c r="AF1286" s="19"/>
      <c r="AG1286" s="17"/>
      <c r="AK1286" s="7"/>
      <c r="AL1286" s="108">
        <f t="shared" si="314"/>
        <v>0</v>
      </c>
      <c r="AM1286" s="108">
        <f t="shared" si="315"/>
        <v>0</v>
      </c>
      <c r="AN1286" s="113"/>
    </row>
    <row r="1287" spans="2:40" x14ac:dyDescent="0.2">
      <c r="B1287" s="7"/>
      <c r="C1287" s="8"/>
      <c r="D1287" s="8"/>
      <c r="E1287" s="9"/>
      <c r="F1287" s="6"/>
      <c r="G1287" s="8"/>
      <c r="H1287" s="32"/>
      <c r="I1287" s="10" t="str">
        <f t="shared" si="312"/>
        <v>21</v>
      </c>
      <c r="J1287" s="11">
        <v>1</v>
      </c>
      <c r="K1287" s="11"/>
      <c r="L1287" s="11"/>
      <c r="M1287" s="11">
        <f t="shared" si="301"/>
        <v>0</v>
      </c>
      <c r="N1287" s="11"/>
      <c r="O1287" s="11">
        <f t="shared" si="302"/>
        <v>0</v>
      </c>
      <c r="P1287" s="11"/>
      <c r="Q1287" s="11"/>
      <c r="R1287" s="11"/>
      <c r="S1287" s="11">
        <f t="shared" si="303"/>
        <v>0</v>
      </c>
      <c r="T1287" s="11">
        <f t="shared" si="304"/>
        <v>1666.6666666666667</v>
      </c>
      <c r="U1287" s="11">
        <f t="shared" si="305"/>
        <v>0</v>
      </c>
      <c r="V1287" s="24">
        <f t="shared" si="306"/>
        <v>0</v>
      </c>
      <c r="W1287" s="11">
        <f>IF(V1287&lt;=40000,0,
IF(V1287&lt;=55000,(V1287-40000)*10%,
IF(V1287&lt;=70000,(V1287-55000)*15%+1500,
IF(V1287&lt;=200000,(V1287-70000)*20%+1500+2250,
IF(V1287&lt;=400000,(V1287-200000)*22.5%+1500+2250+26000,
IF(V1287&lt;=600000,(V1287-400000)*25%+1500+2250+26000+45000,
IF(AND(V1287&gt;600000,V1287&lt;=1200000),(V1287-400000)*25%+1500+2250+26000+45000
+IFERROR(LOOKUP(V1287,{600001;700001;800001;900001},{4000;6750;10250;15250}),0),IF(V1287&gt;1200000,((V1287-1200000)*27.5%)+300000,0)
)))))))</f>
        <v>0</v>
      </c>
      <c r="X1287" s="12">
        <f t="shared" si="307"/>
        <v>0</v>
      </c>
      <c r="Y1287" s="12">
        <f t="shared" si="308"/>
        <v>0</v>
      </c>
      <c r="Z1287" s="11"/>
      <c r="AA1287" s="13">
        <f t="shared" si="309"/>
        <v>0</v>
      </c>
      <c r="AB1287" s="12">
        <f t="shared" si="310"/>
        <v>0</v>
      </c>
      <c r="AC1287" s="14">
        <f t="shared" si="313"/>
        <v>0</v>
      </c>
      <c r="AE1287" s="19">
        <f t="shared" si="311"/>
        <v>0</v>
      </c>
      <c r="AF1287" s="19"/>
      <c r="AG1287" s="17"/>
      <c r="AK1287" s="7"/>
      <c r="AL1287" s="108">
        <f t="shared" si="314"/>
        <v>0</v>
      </c>
      <c r="AM1287" s="108">
        <f t="shared" si="315"/>
        <v>0</v>
      </c>
      <c r="AN1287" s="113"/>
    </row>
    <row r="1288" spans="2:40" x14ac:dyDescent="0.2">
      <c r="B1288" s="7"/>
      <c r="C1288" s="8"/>
      <c r="D1288" s="8"/>
      <c r="E1288" s="9"/>
      <c r="F1288" s="6"/>
      <c r="G1288" s="8"/>
      <c r="H1288" s="32"/>
      <c r="I1288" s="10" t="str">
        <f t="shared" si="312"/>
        <v>21</v>
      </c>
      <c r="J1288" s="11">
        <v>1</v>
      </c>
      <c r="K1288" s="11"/>
      <c r="L1288" s="11"/>
      <c r="M1288" s="11">
        <f t="shared" si="301"/>
        <v>0</v>
      </c>
      <c r="N1288" s="11"/>
      <c r="O1288" s="11">
        <f t="shared" si="302"/>
        <v>0</v>
      </c>
      <c r="P1288" s="11"/>
      <c r="Q1288" s="11"/>
      <c r="R1288" s="11"/>
      <c r="S1288" s="11">
        <f t="shared" si="303"/>
        <v>0</v>
      </c>
      <c r="T1288" s="11">
        <f t="shared" si="304"/>
        <v>1666.6666666666667</v>
      </c>
      <c r="U1288" s="11">
        <f t="shared" si="305"/>
        <v>0</v>
      </c>
      <c r="V1288" s="24">
        <f t="shared" si="306"/>
        <v>0</v>
      </c>
      <c r="W1288" s="11">
        <f>IF(V1288&lt;=40000,0,
IF(V1288&lt;=55000,(V1288-40000)*10%,
IF(V1288&lt;=70000,(V1288-55000)*15%+1500,
IF(V1288&lt;=200000,(V1288-70000)*20%+1500+2250,
IF(V1288&lt;=400000,(V1288-200000)*22.5%+1500+2250+26000,
IF(V1288&lt;=600000,(V1288-400000)*25%+1500+2250+26000+45000,
IF(AND(V1288&gt;600000,V1288&lt;=1200000),(V1288-400000)*25%+1500+2250+26000+45000
+IFERROR(LOOKUP(V1288,{600001;700001;800001;900001},{4000;6750;10250;15250}),0),IF(V1288&gt;1200000,((V1288-1200000)*27.5%)+300000,0)
)))))))</f>
        <v>0</v>
      </c>
      <c r="X1288" s="12">
        <f t="shared" si="307"/>
        <v>0</v>
      </c>
      <c r="Y1288" s="12">
        <f t="shared" si="308"/>
        <v>0</v>
      </c>
      <c r="Z1288" s="11"/>
      <c r="AA1288" s="13">
        <f t="shared" si="309"/>
        <v>0</v>
      </c>
      <c r="AB1288" s="12">
        <f t="shared" si="310"/>
        <v>0</v>
      </c>
      <c r="AC1288" s="14">
        <f t="shared" si="313"/>
        <v>0</v>
      </c>
      <c r="AE1288" s="19">
        <f t="shared" si="311"/>
        <v>0</v>
      </c>
      <c r="AF1288" s="19"/>
      <c r="AG1288" s="17"/>
      <c r="AK1288" s="7"/>
      <c r="AL1288" s="108">
        <f t="shared" si="314"/>
        <v>0</v>
      </c>
      <c r="AM1288" s="108">
        <f t="shared" si="315"/>
        <v>0</v>
      </c>
      <c r="AN1288" s="113"/>
    </row>
    <row r="1289" spans="2:40" x14ac:dyDescent="0.2">
      <c r="B1289" s="7"/>
      <c r="C1289" s="8"/>
      <c r="D1289" s="8"/>
      <c r="E1289" s="9"/>
      <c r="F1289" s="6"/>
      <c r="G1289" s="8"/>
      <c r="H1289" s="32"/>
      <c r="I1289" s="10" t="str">
        <f t="shared" si="312"/>
        <v>21</v>
      </c>
      <c r="J1289" s="11">
        <v>1</v>
      </c>
      <c r="K1289" s="11"/>
      <c r="L1289" s="11"/>
      <c r="M1289" s="11">
        <f t="shared" si="301"/>
        <v>0</v>
      </c>
      <c r="N1289" s="11"/>
      <c r="O1289" s="11">
        <f t="shared" si="302"/>
        <v>0</v>
      </c>
      <c r="P1289" s="11"/>
      <c r="Q1289" s="11"/>
      <c r="R1289" s="11"/>
      <c r="S1289" s="11">
        <f t="shared" si="303"/>
        <v>0</v>
      </c>
      <c r="T1289" s="11">
        <f t="shared" si="304"/>
        <v>1666.6666666666667</v>
      </c>
      <c r="U1289" s="11">
        <f t="shared" si="305"/>
        <v>0</v>
      </c>
      <c r="V1289" s="24">
        <f t="shared" si="306"/>
        <v>0</v>
      </c>
      <c r="W1289" s="11">
        <f>IF(V1289&lt;=40000,0,
IF(V1289&lt;=55000,(V1289-40000)*10%,
IF(V1289&lt;=70000,(V1289-55000)*15%+1500,
IF(V1289&lt;=200000,(V1289-70000)*20%+1500+2250,
IF(V1289&lt;=400000,(V1289-200000)*22.5%+1500+2250+26000,
IF(V1289&lt;=600000,(V1289-400000)*25%+1500+2250+26000+45000,
IF(AND(V1289&gt;600000,V1289&lt;=1200000),(V1289-400000)*25%+1500+2250+26000+45000
+IFERROR(LOOKUP(V1289,{600001;700001;800001;900001},{4000;6750;10250;15250}),0),IF(V1289&gt;1200000,((V1289-1200000)*27.5%)+300000,0)
)))))))</f>
        <v>0</v>
      </c>
      <c r="X1289" s="12">
        <f t="shared" si="307"/>
        <v>0</v>
      </c>
      <c r="Y1289" s="12">
        <f t="shared" si="308"/>
        <v>0</v>
      </c>
      <c r="Z1289" s="11"/>
      <c r="AA1289" s="13">
        <f t="shared" si="309"/>
        <v>0</v>
      </c>
      <c r="AB1289" s="12">
        <f t="shared" si="310"/>
        <v>0</v>
      </c>
      <c r="AC1289" s="14">
        <f t="shared" si="313"/>
        <v>0</v>
      </c>
      <c r="AE1289" s="19">
        <f t="shared" si="311"/>
        <v>0</v>
      </c>
      <c r="AF1289" s="19"/>
      <c r="AG1289" s="17"/>
      <c r="AK1289" s="7"/>
      <c r="AL1289" s="108">
        <f t="shared" si="314"/>
        <v>0</v>
      </c>
      <c r="AM1289" s="108">
        <f t="shared" si="315"/>
        <v>0</v>
      </c>
      <c r="AN1289" s="113"/>
    </row>
    <row r="1290" spans="2:40" x14ac:dyDescent="0.2">
      <c r="B1290" s="7"/>
      <c r="C1290" s="8"/>
      <c r="D1290" s="8"/>
      <c r="E1290" s="9"/>
      <c r="F1290" s="6"/>
      <c r="G1290" s="8"/>
      <c r="H1290" s="32"/>
      <c r="I1290" s="10" t="str">
        <f t="shared" si="312"/>
        <v>21</v>
      </c>
      <c r="J1290" s="11">
        <v>1</v>
      </c>
      <c r="K1290" s="11"/>
      <c r="L1290" s="11"/>
      <c r="M1290" s="11">
        <f t="shared" si="301"/>
        <v>0</v>
      </c>
      <c r="N1290" s="11"/>
      <c r="O1290" s="11">
        <f t="shared" si="302"/>
        <v>0</v>
      </c>
      <c r="P1290" s="11"/>
      <c r="Q1290" s="11"/>
      <c r="R1290" s="11"/>
      <c r="S1290" s="11">
        <f t="shared" si="303"/>
        <v>0</v>
      </c>
      <c r="T1290" s="11">
        <f t="shared" si="304"/>
        <v>1666.6666666666667</v>
      </c>
      <c r="U1290" s="11">
        <f t="shared" si="305"/>
        <v>0</v>
      </c>
      <c r="V1290" s="24">
        <f t="shared" si="306"/>
        <v>0</v>
      </c>
      <c r="W1290" s="11">
        <f>IF(V1290&lt;=40000,0,
IF(V1290&lt;=55000,(V1290-40000)*10%,
IF(V1290&lt;=70000,(V1290-55000)*15%+1500,
IF(V1290&lt;=200000,(V1290-70000)*20%+1500+2250,
IF(V1290&lt;=400000,(V1290-200000)*22.5%+1500+2250+26000,
IF(V1290&lt;=600000,(V1290-400000)*25%+1500+2250+26000+45000,
IF(AND(V1290&gt;600000,V1290&lt;=1200000),(V1290-400000)*25%+1500+2250+26000+45000
+IFERROR(LOOKUP(V1290,{600001;700001;800001;900001},{4000;6750;10250;15250}),0),IF(V1290&gt;1200000,((V1290-1200000)*27.5%)+300000,0)
)))))))</f>
        <v>0</v>
      </c>
      <c r="X1290" s="12">
        <f t="shared" si="307"/>
        <v>0</v>
      </c>
      <c r="Y1290" s="12">
        <f t="shared" si="308"/>
        <v>0</v>
      </c>
      <c r="Z1290" s="11"/>
      <c r="AA1290" s="13">
        <f t="shared" si="309"/>
        <v>0</v>
      </c>
      <c r="AB1290" s="12">
        <f t="shared" si="310"/>
        <v>0</v>
      </c>
      <c r="AC1290" s="14">
        <f t="shared" si="313"/>
        <v>0</v>
      </c>
      <c r="AE1290" s="19">
        <f t="shared" si="311"/>
        <v>0</v>
      </c>
      <c r="AF1290" s="19"/>
      <c r="AG1290" s="17"/>
      <c r="AK1290" s="7"/>
      <c r="AL1290" s="108">
        <f t="shared" si="314"/>
        <v>0</v>
      </c>
      <c r="AM1290" s="108">
        <f t="shared" si="315"/>
        <v>0</v>
      </c>
      <c r="AN1290" s="113"/>
    </row>
    <row r="1291" spans="2:40" x14ac:dyDescent="0.2">
      <c r="B1291" s="7"/>
      <c r="C1291" s="8"/>
      <c r="D1291" s="8"/>
      <c r="E1291" s="9"/>
      <c r="F1291" s="6"/>
      <c r="G1291" s="8"/>
      <c r="H1291" s="32"/>
      <c r="I1291" s="10" t="str">
        <f t="shared" si="312"/>
        <v>21</v>
      </c>
      <c r="J1291" s="11">
        <v>1</v>
      </c>
      <c r="K1291" s="11"/>
      <c r="L1291" s="11"/>
      <c r="M1291" s="11">
        <f t="shared" si="301"/>
        <v>0</v>
      </c>
      <c r="N1291" s="11"/>
      <c r="O1291" s="11">
        <f t="shared" si="302"/>
        <v>0</v>
      </c>
      <c r="P1291" s="11"/>
      <c r="Q1291" s="11"/>
      <c r="R1291" s="11"/>
      <c r="S1291" s="11">
        <f t="shared" si="303"/>
        <v>0</v>
      </c>
      <c r="T1291" s="11">
        <f t="shared" si="304"/>
        <v>1666.6666666666667</v>
      </c>
      <c r="U1291" s="11">
        <f t="shared" si="305"/>
        <v>0</v>
      </c>
      <c r="V1291" s="24">
        <f t="shared" si="306"/>
        <v>0</v>
      </c>
      <c r="W1291" s="11">
        <f>IF(V1291&lt;=40000,0,
IF(V1291&lt;=55000,(V1291-40000)*10%,
IF(V1291&lt;=70000,(V1291-55000)*15%+1500,
IF(V1291&lt;=200000,(V1291-70000)*20%+1500+2250,
IF(V1291&lt;=400000,(V1291-200000)*22.5%+1500+2250+26000,
IF(V1291&lt;=600000,(V1291-400000)*25%+1500+2250+26000+45000,
IF(AND(V1291&gt;600000,V1291&lt;=1200000),(V1291-400000)*25%+1500+2250+26000+45000
+IFERROR(LOOKUP(V1291,{600001;700001;800001;900001},{4000;6750;10250;15250}),0),IF(V1291&gt;1200000,((V1291-1200000)*27.5%)+300000,0)
)))))))</f>
        <v>0</v>
      </c>
      <c r="X1291" s="12">
        <f t="shared" si="307"/>
        <v>0</v>
      </c>
      <c r="Y1291" s="12">
        <f t="shared" si="308"/>
        <v>0</v>
      </c>
      <c r="Z1291" s="11"/>
      <c r="AA1291" s="13">
        <f t="shared" si="309"/>
        <v>0</v>
      </c>
      <c r="AB1291" s="12">
        <f t="shared" si="310"/>
        <v>0</v>
      </c>
      <c r="AC1291" s="14">
        <f t="shared" si="313"/>
        <v>0</v>
      </c>
      <c r="AE1291" s="19">
        <f t="shared" si="311"/>
        <v>0</v>
      </c>
      <c r="AF1291" s="19"/>
      <c r="AG1291" s="17"/>
      <c r="AK1291" s="7"/>
      <c r="AL1291" s="108">
        <f t="shared" si="314"/>
        <v>0</v>
      </c>
      <c r="AM1291" s="108">
        <f t="shared" si="315"/>
        <v>0</v>
      </c>
      <c r="AN1291" s="113"/>
    </row>
    <row r="1292" spans="2:40" x14ac:dyDescent="0.2">
      <c r="B1292" s="7"/>
      <c r="C1292" s="8"/>
      <c r="D1292" s="8"/>
      <c r="E1292" s="9"/>
      <c r="F1292" s="6"/>
      <c r="G1292" s="8"/>
      <c r="H1292" s="32"/>
      <c r="I1292" s="10" t="str">
        <f t="shared" si="312"/>
        <v>21</v>
      </c>
      <c r="J1292" s="11">
        <v>1</v>
      </c>
      <c r="K1292" s="11"/>
      <c r="L1292" s="11"/>
      <c r="M1292" s="11">
        <f t="shared" si="301"/>
        <v>0</v>
      </c>
      <c r="N1292" s="11"/>
      <c r="O1292" s="11">
        <f t="shared" si="302"/>
        <v>0</v>
      </c>
      <c r="P1292" s="11"/>
      <c r="Q1292" s="11"/>
      <c r="R1292" s="11"/>
      <c r="S1292" s="11">
        <f t="shared" si="303"/>
        <v>0</v>
      </c>
      <c r="T1292" s="11">
        <f t="shared" si="304"/>
        <v>1666.6666666666667</v>
      </c>
      <c r="U1292" s="11">
        <f t="shared" si="305"/>
        <v>0</v>
      </c>
      <c r="V1292" s="24">
        <f t="shared" si="306"/>
        <v>0</v>
      </c>
      <c r="W1292" s="11">
        <f>IF(V1292&lt;=40000,0,
IF(V1292&lt;=55000,(V1292-40000)*10%,
IF(V1292&lt;=70000,(V1292-55000)*15%+1500,
IF(V1292&lt;=200000,(V1292-70000)*20%+1500+2250,
IF(V1292&lt;=400000,(V1292-200000)*22.5%+1500+2250+26000,
IF(V1292&lt;=600000,(V1292-400000)*25%+1500+2250+26000+45000,
IF(AND(V1292&gt;600000,V1292&lt;=1200000),(V1292-400000)*25%+1500+2250+26000+45000
+IFERROR(LOOKUP(V1292,{600001;700001;800001;900001},{4000;6750;10250;15250}),0),IF(V1292&gt;1200000,((V1292-1200000)*27.5%)+300000,0)
)))))))</f>
        <v>0</v>
      </c>
      <c r="X1292" s="12">
        <f t="shared" si="307"/>
        <v>0</v>
      </c>
      <c r="Y1292" s="12">
        <f t="shared" si="308"/>
        <v>0</v>
      </c>
      <c r="Z1292" s="11"/>
      <c r="AA1292" s="13">
        <f t="shared" si="309"/>
        <v>0</v>
      </c>
      <c r="AB1292" s="12">
        <f t="shared" si="310"/>
        <v>0</v>
      </c>
      <c r="AC1292" s="14">
        <f t="shared" si="313"/>
        <v>0</v>
      </c>
      <c r="AE1292" s="19">
        <f t="shared" si="311"/>
        <v>0</v>
      </c>
      <c r="AF1292" s="19"/>
      <c r="AG1292" s="17"/>
      <c r="AK1292" s="7"/>
      <c r="AL1292" s="108">
        <f t="shared" si="314"/>
        <v>0</v>
      </c>
      <c r="AM1292" s="108">
        <f t="shared" si="315"/>
        <v>0</v>
      </c>
      <c r="AN1292" s="113"/>
    </row>
    <row r="1293" spans="2:40" x14ac:dyDescent="0.2">
      <c r="B1293" s="7"/>
      <c r="C1293" s="8"/>
      <c r="D1293" s="8"/>
      <c r="E1293" s="9"/>
      <c r="F1293" s="6"/>
      <c r="G1293" s="8"/>
      <c r="H1293" s="32"/>
      <c r="I1293" s="10" t="str">
        <f t="shared" si="312"/>
        <v>21</v>
      </c>
      <c r="J1293" s="11">
        <v>1</v>
      </c>
      <c r="K1293" s="11"/>
      <c r="L1293" s="11"/>
      <c r="M1293" s="11">
        <f t="shared" si="301"/>
        <v>0</v>
      </c>
      <c r="N1293" s="11"/>
      <c r="O1293" s="11">
        <f t="shared" si="302"/>
        <v>0</v>
      </c>
      <c r="P1293" s="11"/>
      <c r="Q1293" s="11"/>
      <c r="R1293" s="11"/>
      <c r="S1293" s="11">
        <f t="shared" si="303"/>
        <v>0</v>
      </c>
      <c r="T1293" s="11">
        <f t="shared" si="304"/>
        <v>1666.6666666666667</v>
      </c>
      <c r="U1293" s="11">
        <f t="shared" si="305"/>
        <v>0</v>
      </c>
      <c r="V1293" s="24">
        <f t="shared" si="306"/>
        <v>0</v>
      </c>
      <c r="W1293" s="11">
        <f>IF(V1293&lt;=40000,0,
IF(V1293&lt;=55000,(V1293-40000)*10%,
IF(V1293&lt;=70000,(V1293-55000)*15%+1500,
IF(V1293&lt;=200000,(V1293-70000)*20%+1500+2250,
IF(V1293&lt;=400000,(V1293-200000)*22.5%+1500+2250+26000,
IF(V1293&lt;=600000,(V1293-400000)*25%+1500+2250+26000+45000,
IF(AND(V1293&gt;600000,V1293&lt;=1200000),(V1293-400000)*25%+1500+2250+26000+45000
+IFERROR(LOOKUP(V1293,{600001;700001;800001;900001},{4000;6750;10250;15250}),0),IF(V1293&gt;1200000,((V1293-1200000)*27.5%)+300000,0)
)))))))</f>
        <v>0</v>
      </c>
      <c r="X1293" s="12">
        <f t="shared" si="307"/>
        <v>0</v>
      </c>
      <c r="Y1293" s="12">
        <f t="shared" si="308"/>
        <v>0</v>
      </c>
      <c r="Z1293" s="11"/>
      <c r="AA1293" s="13">
        <f t="shared" si="309"/>
        <v>0</v>
      </c>
      <c r="AB1293" s="12">
        <f t="shared" si="310"/>
        <v>0</v>
      </c>
      <c r="AC1293" s="14">
        <f t="shared" si="313"/>
        <v>0</v>
      </c>
      <c r="AE1293" s="19">
        <f t="shared" si="311"/>
        <v>0</v>
      </c>
      <c r="AF1293" s="19"/>
      <c r="AG1293" s="17"/>
      <c r="AK1293" s="7"/>
      <c r="AL1293" s="108">
        <f t="shared" si="314"/>
        <v>0</v>
      </c>
      <c r="AM1293" s="108">
        <f t="shared" si="315"/>
        <v>0</v>
      </c>
      <c r="AN1293" s="113"/>
    </row>
    <row r="1294" spans="2:40" x14ac:dyDescent="0.2">
      <c r="B1294" s="7"/>
      <c r="C1294" s="8"/>
      <c r="D1294" s="8"/>
      <c r="E1294" s="9"/>
      <c r="F1294" s="6"/>
      <c r="G1294" s="8"/>
      <c r="H1294" s="32"/>
      <c r="I1294" s="10" t="str">
        <f t="shared" si="312"/>
        <v>21</v>
      </c>
      <c r="J1294" s="11">
        <v>1</v>
      </c>
      <c r="K1294" s="11"/>
      <c r="L1294" s="11"/>
      <c r="M1294" s="11">
        <f t="shared" si="301"/>
        <v>0</v>
      </c>
      <c r="N1294" s="11"/>
      <c r="O1294" s="11">
        <f t="shared" si="302"/>
        <v>0</v>
      </c>
      <c r="P1294" s="11"/>
      <c r="Q1294" s="11"/>
      <c r="R1294" s="11"/>
      <c r="S1294" s="11">
        <f t="shared" si="303"/>
        <v>0</v>
      </c>
      <c r="T1294" s="11">
        <f t="shared" si="304"/>
        <v>1666.6666666666667</v>
      </c>
      <c r="U1294" s="11">
        <f t="shared" si="305"/>
        <v>0</v>
      </c>
      <c r="V1294" s="24">
        <f t="shared" si="306"/>
        <v>0</v>
      </c>
      <c r="W1294" s="11">
        <f>IF(V1294&lt;=40000,0,
IF(V1294&lt;=55000,(V1294-40000)*10%,
IF(V1294&lt;=70000,(V1294-55000)*15%+1500,
IF(V1294&lt;=200000,(V1294-70000)*20%+1500+2250,
IF(V1294&lt;=400000,(V1294-200000)*22.5%+1500+2250+26000,
IF(V1294&lt;=600000,(V1294-400000)*25%+1500+2250+26000+45000,
IF(AND(V1294&gt;600000,V1294&lt;=1200000),(V1294-400000)*25%+1500+2250+26000+45000
+IFERROR(LOOKUP(V1294,{600001;700001;800001;900001},{4000;6750;10250;15250}),0),IF(V1294&gt;1200000,((V1294-1200000)*27.5%)+300000,0)
)))))))</f>
        <v>0</v>
      </c>
      <c r="X1294" s="12">
        <f t="shared" si="307"/>
        <v>0</v>
      </c>
      <c r="Y1294" s="12">
        <f t="shared" si="308"/>
        <v>0</v>
      </c>
      <c r="Z1294" s="11"/>
      <c r="AA1294" s="13">
        <f t="shared" si="309"/>
        <v>0</v>
      </c>
      <c r="AB1294" s="12">
        <f t="shared" si="310"/>
        <v>0</v>
      </c>
      <c r="AC1294" s="14">
        <f t="shared" si="313"/>
        <v>0</v>
      </c>
      <c r="AE1294" s="19">
        <f t="shared" si="311"/>
        <v>0</v>
      </c>
      <c r="AF1294" s="19"/>
      <c r="AG1294" s="17"/>
      <c r="AK1294" s="7"/>
      <c r="AL1294" s="108">
        <f t="shared" si="314"/>
        <v>0</v>
      </c>
      <c r="AM1294" s="108">
        <f t="shared" si="315"/>
        <v>0</v>
      </c>
      <c r="AN1294" s="113"/>
    </row>
    <row r="1295" spans="2:40" x14ac:dyDescent="0.2">
      <c r="B1295" s="7"/>
      <c r="C1295" s="8"/>
      <c r="D1295" s="8"/>
      <c r="E1295" s="9"/>
      <c r="F1295" s="6"/>
      <c r="G1295" s="8"/>
      <c r="H1295" s="32"/>
      <c r="I1295" s="10" t="str">
        <f t="shared" si="312"/>
        <v>21</v>
      </c>
      <c r="J1295" s="11">
        <v>1</v>
      </c>
      <c r="K1295" s="11"/>
      <c r="L1295" s="11"/>
      <c r="M1295" s="11">
        <f t="shared" si="301"/>
        <v>0</v>
      </c>
      <c r="N1295" s="11"/>
      <c r="O1295" s="11">
        <f t="shared" si="302"/>
        <v>0</v>
      </c>
      <c r="P1295" s="11"/>
      <c r="Q1295" s="11"/>
      <c r="R1295" s="11"/>
      <c r="S1295" s="11">
        <f t="shared" si="303"/>
        <v>0</v>
      </c>
      <c r="T1295" s="11">
        <f t="shared" si="304"/>
        <v>1666.6666666666667</v>
      </c>
      <c r="U1295" s="11">
        <f t="shared" si="305"/>
        <v>0</v>
      </c>
      <c r="V1295" s="24">
        <f t="shared" si="306"/>
        <v>0</v>
      </c>
      <c r="W1295" s="11">
        <f>IF(V1295&lt;=40000,0,
IF(V1295&lt;=55000,(V1295-40000)*10%,
IF(V1295&lt;=70000,(V1295-55000)*15%+1500,
IF(V1295&lt;=200000,(V1295-70000)*20%+1500+2250,
IF(V1295&lt;=400000,(V1295-200000)*22.5%+1500+2250+26000,
IF(V1295&lt;=600000,(V1295-400000)*25%+1500+2250+26000+45000,
IF(AND(V1295&gt;600000,V1295&lt;=1200000),(V1295-400000)*25%+1500+2250+26000+45000
+IFERROR(LOOKUP(V1295,{600001;700001;800001;900001},{4000;6750;10250;15250}),0),IF(V1295&gt;1200000,((V1295-1200000)*27.5%)+300000,0)
)))))))</f>
        <v>0</v>
      </c>
      <c r="X1295" s="12">
        <f t="shared" si="307"/>
        <v>0</v>
      </c>
      <c r="Y1295" s="12">
        <f t="shared" si="308"/>
        <v>0</v>
      </c>
      <c r="Z1295" s="11"/>
      <c r="AA1295" s="13">
        <f t="shared" si="309"/>
        <v>0</v>
      </c>
      <c r="AB1295" s="12">
        <f t="shared" si="310"/>
        <v>0</v>
      </c>
      <c r="AC1295" s="14">
        <f t="shared" si="313"/>
        <v>0</v>
      </c>
      <c r="AE1295" s="19">
        <f t="shared" si="311"/>
        <v>0</v>
      </c>
      <c r="AF1295" s="19"/>
      <c r="AG1295" s="17"/>
      <c r="AK1295" s="7"/>
      <c r="AL1295" s="108">
        <f t="shared" si="314"/>
        <v>0</v>
      </c>
      <c r="AM1295" s="108">
        <f t="shared" si="315"/>
        <v>0</v>
      </c>
      <c r="AN1295" s="113"/>
    </row>
    <row r="1296" spans="2:40" x14ac:dyDescent="0.2">
      <c r="B1296" s="7"/>
      <c r="C1296" s="8"/>
      <c r="D1296" s="8"/>
      <c r="E1296" s="9"/>
      <c r="F1296" s="6"/>
      <c r="G1296" s="8"/>
      <c r="H1296" s="32"/>
      <c r="I1296" s="10" t="str">
        <f t="shared" si="312"/>
        <v>21</v>
      </c>
      <c r="J1296" s="11">
        <v>1</v>
      </c>
      <c r="K1296" s="11"/>
      <c r="L1296" s="11"/>
      <c r="M1296" s="11">
        <f t="shared" si="301"/>
        <v>0</v>
      </c>
      <c r="N1296" s="11"/>
      <c r="O1296" s="11">
        <f t="shared" si="302"/>
        <v>0</v>
      </c>
      <c r="P1296" s="11"/>
      <c r="Q1296" s="11"/>
      <c r="R1296" s="11"/>
      <c r="S1296" s="11">
        <f t="shared" si="303"/>
        <v>0</v>
      </c>
      <c r="T1296" s="11">
        <f t="shared" si="304"/>
        <v>1666.6666666666667</v>
      </c>
      <c r="U1296" s="11">
        <f t="shared" si="305"/>
        <v>0</v>
      </c>
      <c r="V1296" s="24">
        <f t="shared" si="306"/>
        <v>0</v>
      </c>
      <c r="W1296" s="11">
        <f>IF(V1296&lt;=40000,0,
IF(V1296&lt;=55000,(V1296-40000)*10%,
IF(V1296&lt;=70000,(V1296-55000)*15%+1500,
IF(V1296&lt;=200000,(V1296-70000)*20%+1500+2250,
IF(V1296&lt;=400000,(V1296-200000)*22.5%+1500+2250+26000,
IF(V1296&lt;=600000,(V1296-400000)*25%+1500+2250+26000+45000,
IF(AND(V1296&gt;600000,V1296&lt;=1200000),(V1296-400000)*25%+1500+2250+26000+45000
+IFERROR(LOOKUP(V1296,{600001;700001;800001;900001},{4000;6750;10250;15250}),0),IF(V1296&gt;1200000,((V1296-1200000)*27.5%)+300000,0)
)))))))</f>
        <v>0</v>
      </c>
      <c r="X1296" s="12">
        <f t="shared" si="307"/>
        <v>0</v>
      </c>
      <c r="Y1296" s="12">
        <f t="shared" si="308"/>
        <v>0</v>
      </c>
      <c r="Z1296" s="11"/>
      <c r="AA1296" s="13">
        <f t="shared" si="309"/>
        <v>0</v>
      </c>
      <c r="AB1296" s="12">
        <f t="shared" si="310"/>
        <v>0</v>
      </c>
      <c r="AC1296" s="14">
        <f t="shared" si="313"/>
        <v>0</v>
      </c>
      <c r="AE1296" s="19">
        <f t="shared" si="311"/>
        <v>0</v>
      </c>
      <c r="AF1296" s="19"/>
      <c r="AG1296" s="17"/>
      <c r="AK1296" s="7"/>
      <c r="AL1296" s="108">
        <f t="shared" si="314"/>
        <v>0</v>
      </c>
      <c r="AM1296" s="108">
        <f t="shared" si="315"/>
        <v>0</v>
      </c>
      <c r="AN1296" s="113"/>
    </row>
    <row r="1297" spans="2:40" x14ac:dyDescent="0.2">
      <c r="B1297" s="7"/>
      <c r="C1297" s="8"/>
      <c r="D1297" s="8"/>
      <c r="E1297" s="9"/>
      <c r="F1297" s="6"/>
      <c r="G1297" s="8"/>
      <c r="H1297" s="32"/>
      <c r="I1297" s="10" t="str">
        <f t="shared" si="312"/>
        <v>21</v>
      </c>
      <c r="J1297" s="11">
        <v>1</v>
      </c>
      <c r="K1297" s="11"/>
      <c r="L1297" s="11"/>
      <c r="M1297" s="11">
        <f t="shared" si="301"/>
        <v>0</v>
      </c>
      <c r="N1297" s="11"/>
      <c r="O1297" s="11">
        <f t="shared" si="302"/>
        <v>0</v>
      </c>
      <c r="P1297" s="11"/>
      <c r="Q1297" s="11"/>
      <c r="R1297" s="11"/>
      <c r="S1297" s="11">
        <f t="shared" si="303"/>
        <v>0</v>
      </c>
      <c r="T1297" s="11">
        <f t="shared" si="304"/>
        <v>1666.6666666666667</v>
      </c>
      <c r="U1297" s="11">
        <f t="shared" si="305"/>
        <v>0</v>
      </c>
      <c r="V1297" s="24">
        <f t="shared" si="306"/>
        <v>0</v>
      </c>
      <c r="W1297" s="11">
        <f>IF(V1297&lt;=40000,0,
IF(V1297&lt;=55000,(V1297-40000)*10%,
IF(V1297&lt;=70000,(V1297-55000)*15%+1500,
IF(V1297&lt;=200000,(V1297-70000)*20%+1500+2250,
IF(V1297&lt;=400000,(V1297-200000)*22.5%+1500+2250+26000,
IF(V1297&lt;=600000,(V1297-400000)*25%+1500+2250+26000+45000,
IF(AND(V1297&gt;600000,V1297&lt;=1200000),(V1297-400000)*25%+1500+2250+26000+45000
+IFERROR(LOOKUP(V1297,{600001;700001;800001;900001},{4000;6750;10250;15250}),0),IF(V1297&gt;1200000,((V1297-1200000)*27.5%)+300000,0)
)))))))</f>
        <v>0</v>
      </c>
      <c r="X1297" s="12">
        <f t="shared" si="307"/>
        <v>0</v>
      </c>
      <c r="Y1297" s="12">
        <f t="shared" si="308"/>
        <v>0</v>
      </c>
      <c r="Z1297" s="11"/>
      <c r="AA1297" s="13">
        <f t="shared" si="309"/>
        <v>0</v>
      </c>
      <c r="AB1297" s="12">
        <f t="shared" si="310"/>
        <v>0</v>
      </c>
      <c r="AC1297" s="14">
        <f t="shared" si="313"/>
        <v>0</v>
      </c>
      <c r="AE1297" s="19">
        <f t="shared" si="311"/>
        <v>0</v>
      </c>
      <c r="AF1297" s="19"/>
      <c r="AG1297" s="17"/>
      <c r="AK1297" s="7"/>
      <c r="AL1297" s="108">
        <f t="shared" si="314"/>
        <v>0</v>
      </c>
      <c r="AM1297" s="108">
        <f t="shared" si="315"/>
        <v>0</v>
      </c>
      <c r="AN1297" s="113"/>
    </row>
    <row r="1298" spans="2:40" x14ac:dyDescent="0.2">
      <c r="B1298" s="7"/>
      <c r="C1298" s="8"/>
      <c r="D1298" s="8"/>
      <c r="E1298" s="9"/>
      <c r="F1298" s="6"/>
      <c r="G1298" s="8"/>
      <c r="H1298" s="32"/>
      <c r="I1298" s="10" t="str">
        <f t="shared" si="312"/>
        <v>21</v>
      </c>
      <c r="J1298" s="11">
        <v>1</v>
      </c>
      <c r="K1298" s="11"/>
      <c r="L1298" s="11"/>
      <c r="M1298" s="11">
        <f t="shared" si="301"/>
        <v>0</v>
      </c>
      <c r="N1298" s="11"/>
      <c r="O1298" s="11">
        <f t="shared" si="302"/>
        <v>0</v>
      </c>
      <c r="P1298" s="11"/>
      <c r="Q1298" s="11"/>
      <c r="R1298" s="11"/>
      <c r="S1298" s="11">
        <f t="shared" si="303"/>
        <v>0</v>
      </c>
      <c r="T1298" s="11">
        <f t="shared" si="304"/>
        <v>1666.6666666666667</v>
      </c>
      <c r="U1298" s="11">
        <f t="shared" si="305"/>
        <v>0</v>
      </c>
      <c r="V1298" s="24">
        <f t="shared" si="306"/>
        <v>0</v>
      </c>
      <c r="W1298" s="11">
        <f>IF(V1298&lt;=40000,0,
IF(V1298&lt;=55000,(V1298-40000)*10%,
IF(V1298&lt;=70000,(V1298-55000)*15%+1500,
IF(V1298&lt;=200000,(V1298-70000)*20%+1500+2250,
IF(V1298&lt;=400000,(V1298-200000)*22.5%+1500+2250+26000,
IF(V1298&lt;=600000,(V1298-400000)*25%+1500+2250+26000+45000,
IF(AND(V1298&gt;600000,V1298&lt;=1200000),(V1298-400000)*25%+1500+2250+26000+45000
+IFERROR(LOOKUP(V1298,{600001;700001;800001;900001},{4000;6750;10250;15250}),0),IF(V1298&gt;1200000,((V1298-1200000)*27.5%)+300000,0)
)))))))</f>
        <v>0</v>
      </c>
      <c r="X1298" s="12">
        <f t="shared" si="307"/>
        <v>0</v>
      </c>
      <c r="Y1298" s="12">
        <f t="shared" si="308"/>
        <v>0</v>
      </c>
      <c r="Z1298" s="11"/>
      <c r="AA1298" s="13">
        <f t="shared" si="309"/>
        <v>0</v>
      </c>
      <c r="AB1298" s="12">
        <f t="shared" si="310"/>
        <v>0</v>
      </c>
      <c r="AC1298" s="14">
        <f t="shared" si="313"/>
        <v>0</v>
      </c>
      <c r="AE1298" s="19">
        <f t="shared" si="311"/>
        <v>0</v>
      </c>
      <c r="AF1298" s="19"/>
      <c r="AG1298" s="17"/>
      <c r="AK1298" s="7"/>
      <c r="AL1298" s="108">
        <f t="shared" si="314"/>
        <v>0</v>
      </c>
      <c r="AM1298" s="108">
        <f t="shared" si="315"/>
        <v>0</v>
      </c>
      <c r="AN1298" s="113"/>
    </row>
    <row r="1299" spans="2:40" x14ac:dyDescent="0.2">
      <c r="B1299" s="7"/>
      <c r="C1299" s="8"/>
      <c r="D1299" s="8"/>
      <c r="E1299" s="9"/>
      <c r="F1299" s="6"/>
      <c r="G1299" s="8"/>
      <c r="H1299" s="32"/>
      <c r="I1299" s="10" t="str">
        <f t="shared" si="312"/>
        <v>21</v>
      </c>
      <c r="J1299" s="11">
        <v>1</v>
      </c>
      <c r="K1299" s="11"/>
      <c r="L1299" s="11"/>
      <c r="M1299" s="11">
        <f t="shared" si="301"/>
        <v>0</v>
      </c>
      <c r="N1299" s="11"/>
      <c r="O1299" s="11">
        <f t="shared" si="302"/>
        <v>0</v>
      </c>
      <c r="P1299" s="11"/>
      <c r="Q1299" s="11"/>
      <c r="R1299" s="11"/>
      <c r="S1299" s="11">
        <f t="shared" si="303"/>
        <v>0</v>
      </c>
      <c r="T1299" s="11">
        <f t="shared" si="304"/>
        <v>1666.6666666666667</v>
      </c>
      <c r="U1299" s="11">
        <f t="shared" si="305"/>
        <v>0</v>
      </c>
      <c r="V1299" s="24">
        <f t="shared" si="306"/>
        <v>0</v>
      </c>
      <c r="W1299" s="11">
        <f>IF(V1299&lt;=40000,0,
IF(V1299&lt;=55000,(V1299-40000)*10%,
IF(V1299&lt;=70000,(V1299-55000)*15%+1500,
IF(V1299&lt;=200000,(V1299-70000)*20%+1500+2250,
IF(V1299&lt;=400000,(V1299-200000)*22.5%+1500+2250+26000,
IF(V1299&lt;=600000,(V1299-400000)*25%+1500+2250+26000+45000,
IF(AND(V1299&gt;600000,V1299&lt;=1200000),(V1299-400000)*25%+1500+2250+26000+45000
+IFERROR(LOOKUP(V1299,{600001;700001;800001;900001},{4000;6750;10250;15250}),0),IF(V1299&gt;1200000,((V1299-1200000)*27.5%)+300000,0)
)))))))</f>
        <v>0</v>
      </c>
      <c r="X1299" s="12">
        <f t="shared" si="307"/>
        <v>0</v>
      </c>
      <c r="Y1299" s="12">
        <f t="shared" si="308"/>
        <v>0</v>
      </c>
      <c r="Z1299" s="11"/>
      <c r="AA1299" s="13">
        <f t="shared" si="309"/>
        <v>0</v>
      </c>
      <c r="AB1299" s="12">
        <f t="shared" si="310"/>
        <v>0</v>
      </c>
      <c r="AC1299" s="14">
        <f t="shared" si="313"/>
        <v>0</v>
      </c>
      <c r="AE1299" s="19">
        <f t="shared" si="311"/>
        <v>0</v>
      </c>
      <c r="AF1299" s="19"/>
      <c r="AG1299" s="17"/>
      <c r="AK1299" s="7"/>
      <c r="AL1299" s="108">
        <f t="shared" si="314"/>
        <v>0</v>
      </c>
      <c r="AM1299" s="108">
        <f t="shared" si="315"/>
        <v>0</v>
      </c>
      <c r="AN1299" s="113"/>
    </row>
    <row r="1300" spans="2:40" x14ac:dyDescent="0.2">
      <c r="B1300" s="7"/>
      <c r="C1300" s="8"/>
      <c r="D1300" s="8"/>
      <c r="E1300" s="9"/>
      <c r="F1300" s="6"/>
      <c r="G1300" s="8"/>
      <c r="H1300" s="32"/>
      <c r="I1300" s="10" t="str">
        <f t="shared" si="312"/>
        <v>21</v>
      </c>
      <c r="J1300" s="11">
        <v>1</v>
      </c>
      <c r="K1300" s="11"/>
      <c r="L1300" s="11"/>
      <c r="M1300" s="11">
        <f t="shared" si="301"/>
        <v>0</v>
      </c>
      <c r="N1300" s="11"/>
      <c r="O1300" s="11">
        <f t="shared" si="302"/>
        <v>0</v>
      </c>
      <c r="P1300" s="11"/>
      <c r="Q1300" s="11"/>
      <c r="R1300" s="11"/>
      <c r="S1300" s="11">
        <f t="shared" si="303"/>
        <v>0</v>
      </c>
      <c r="T1300" s="11">
        <f t="shared" si="304"/>
        <v>1666.6666666666667</v>
      </c>
      <c r="U1300" s="11">
        <f t="shared" si="305"/>
        <v>0</v>
      </c>
      <c r="V1300" s="24">
        <f t="shared" si="306"/>
        <v>0</v>
      </c>
      <c r="W1300" s="11">
        <f>IF(V1300&lt;=40000,0,
IF(V1300&lt;=55000,(V1300-40000)*10%,
IF(V1300&lt;=70000,(V1300-55000)*15%+1500,
IF(V1300&lt;=200000,(V1300-70000)*20%+1500+2250,
IF(V1300&lt;=400000,(V1300-200000)*22.5%+1500+2250+26000,
IF(V1300&lt;=600000,(V1300-400000)*25%+1500+2250+26000+45000,
IF(AND(V1300&gt;600000,V1300&lt;=1200000),(V1300-400000)*25%+1500+2250+26000+45000
+IFERROR(LOOKUP(V1300,{600001;700001;800001;900001},{4000;6750;10250;15250}),0),IF(V1300&gt;1200000,((V1300-1200000)*27.5%)+300000,0)
)))))))</f>
        <v>0</v>
      </c>
      <c r="X1300" s="12">
        <f t="shared" si="307"/>
        <v>0</v>
      </c>
      <c r="Y1300" s="12">
        <f t="shared" si="308"/>
        <v>0</v>
      </c>
      <c r="Z1300" s="11"/>
      <c r="AA1300" s="13">
        <f t="shared" si="309"/>
        <v>0</v>
      </c>
      <c r="AB1300" s="12">
        <f t="shared" si="310"/>
        <v>0</v>
      </c>
      <c r="AC1300" s="14">
        <f t="shared" si="313"/>
        <v>0</v>
      </c>
      <c r="AE1300" s="19">
        <f t="shared" si="311"/>
        <v>0</v>
      </c>
      <c r="AF1300" s="19"/>
      <c r="AG1300" s="17"/>
      <c r="AK1300" s="7"/>
      <c r="AL1300" s="108">
        <f t="shared" si="314"/>
        <v>0</v>
      </c>
      <c r="AM1300" s="108">
        <f t="shared" si="315"/>
        <v>0</v>
      </c>
      <c r="AN1300" s="113"/>
    </row>
    <row r="1301" spans="2:40" x14ac:dyDescent="0.2">
      <c r="B1301" s="7"/>
      <c r="C1301" s="8"/>
      <c r="D1301" s="8"/>
      <c r="E1301" s="9"/>
      <c r="F1301" s="6"/>
      <c r="G1301" s="8"/>
      <c r="H1301" s="32"/>
      <c r="I1301" s="10" t="str">
        <f t="shared" si="312"/>
        <v>21</v>
      </c>
      <c r="J1301" s="11">
        <v>1</v>
      </c>
      <c r="K1301" s="11"/>
      <c r="L1301" s="11"/>
      <c r="M1301" s="11">
        <f t="shared" si="301"/>
        <v>0</v>
      </c>
      <c r="N1301" s="11"/>
      <c r="O1301" s="11">
        <f t="shared" si="302"/>
        <v>0</v>
      </c>
      <c r="P1301" s="11"/>
      <c r="Q1301" s="11"/>
      <c r="R1301" s="11"/>
      <c r="S1301" s="11">
        <f t="shared" si="303"/>
        <v>0</v>
      </c>
      <c r="T1301" s="11">
        <f t="shared" si="304"/>
        <v>1666.6666666666667</v>
      </c>
      <c r="U1301" s="11">
        <f t="shared" si="305"/>
        <v>0</v>
      </c>
      <c r="V1301" s="24">
        <f t="shared" si="306"/>
        <v>0</v>
      </c>
      <c r="W1301" s="11">
        <f>IF(V1301&lt;=40000,0,
IF(V1301&lt;=55000,(V1301-40000)*10%,
IF(V1301&lt;=70000,(V1301-55000)*15%+1500,
IF(V1301&lt;=200000,(V1301-70000)*20%+1500+2250,
IF(V1301&lt;=400000,(V1301-200000)*22.5%+1500+2250+26000,
IF(V1301&lt;=600000,(V1301-400000)*25%+1500+2250+26000+45000,
IF(AND(V1301&gt;600000,V1301&lt;=1200000),(V1301-400000)*25%+1500+2250+26000+45000
+IFERROR(LOOKUP(V1301,{600001;700001;800001;900001},{4000;6750;10250;15250}),0),IF(V1301&gt;1200000,((V1301-1200000)*27.5%)+300000,0)
)))))))</f>
        <v>0</v>
      </c>
      <c r="X1301" s="12">
        <f t="shared" si="307"/>
        <v>0</v>
      </c>
      <c r="Y1301" s="12">
        <f t="shared" si="308"/>
        <v>0</v>
      </c>
      <c r="Z1301" s="11"/>
      <c r="AA1301" s="13">
        <f t="shared" si="309"/>
        <v>0</v>
      </c>
      <c r="AB1301" s="12">
        <f t="shared" si="310"/>
        <v>0</v>
      </c>
      <c r="AC1301" s="14">
        <f t="shared" si="313"/>
        <v>0</v>
      </c>
      <c r="AE1301" s="19">
        <f t="shared" si="311"/>
        <v>0</v>
      </c>
      <c r="AF1301" s="19"/>
      <c r="AG1301" s="17"/>
      <c r="AK1301" s="7"/>
      <c r="AL1301" s="108">
        <f t="shared" si="314"/>
        <v>0</v>
      </c>
      <c r="AM1301" s="108">
        <f t="shared" si="315"/>
        <v>0</v>
      </c>
      <c r="AN1301" s="113"/>
    </row>
    <row r="1302" spans="2:40" x14ac:dyDescent="0.2">
      <c r="B1302" s="7"/>
      <c r="C1302" s="8"/>
      <c r="D1302" s="8"/>
      <c r="E1302" s="9"/>
      <c r="F1302" s="6"/>
      <c r="G1302" s="8"/>
      <c r="H1302" s="32"/>
      <c r="I1302" s="10" t="str">
        <f t="shared" si="312"/>
        <v>21</v>
      </c>
      <c r="J1302" s="11">
        <v>1</v>
      </c>
      <c r="K1302" s="11"/>
      <c r="L1302" s="11"/>
      <c r="M1302" s="11">
        <f t="shared" si="301"/>
        <v>0</v>
      </c>
      <c r="N1302" s="11"/>
      <c r="O1302" s="11">
        <f t="shared" si="302"/>
        <v>0</v>
      </c>
      <c r="P1302" s="11"/>
      <c r="Q1302" s="11"/>
      <c r="R1302" s="11"/>
      <c r="S1302" s="11">
        <f t="shared" si="303"/>
        <v>0</v>
      </c>
      <c r="T1302" s="11">
        <f t="shared" si="304"/>
        <v>1666.6666666666667</v>
      </c>
      <c r="U1302" s="11">
        <f t="shared" si="305"/>
        <v>0</v>
      </c>
      <c r="V1302" s="24">
        <f t="shared" si="306"/>
        <v>0</v>
      </c>
      <c r="W1302" s="11">
        <f>IF(V1302&lt;=40000,0,
IF(V1302&lt;=55000,(V1302-40000)*10%,
IF(V1302&lt;=70000,(V1302-55000)*15%+1500,
IF(V1302&lt;=200000,(V1302-70000)*20%+1500+2250,
IF(V1302&lt;=400000,(V1302-200000)*22.5%+1500+2250+26000,
IF(V1302&lt;=600000,(V1302-400000)*25%+1500+2250+26000+45000,
IF(AND(V1302&gt;600000,V1302&lt;=1200000),(V1302-400000)*25%+1500+2250+26000+45000
+IFERROR(LOOKUP(V1302,{600001;700001;800001;900001},{4000;6750;10250;15250}),0),IF(V1302&gt;1200000,((V1302-1200000)*27.5%)+300000,0)
)))))))</f>
        <v>0</v>
      </c>
      <c r="X1302" s="12">
        <f t="shared" si="307"/>
        <v>0</v>
      </c>
      <c r="Y1302" s="12">
        <f t="shared" si="308"/>
        <v>0</v>
      </c>
      <c r="Z1302" s="11"/>
      <c r="AA1302" s="13">
        <f t="shared" si="309"/>
        <v>0</v>
      </c>
      <c r="AB1302" s="12">
        <f t="shared" si="310"/>
        <v>0</v>
      </c>
      <c r="AC1302" s="14">
        <f t="shared" si="313"/>
        <v>0</v>
      </c>
      <c r="AE1302" s="19">
        <f t="shared" si="311"/>
        <v>0</v>
      </c>
      <c r="AF1302" s="19"/>
      <c r="AG1302" s="17"/>
      <c r="AK1302" s="7"/>
      <c r="AL1302" s="108">
        <f t="shared" si="314"/>
        <v>0</v>
      </c>
      <c r="AM1302" s="108">
        <f t="shared" si="315"/>
        <v>0</v>
      </c>
      <c r="AN1302" s="113"/>
    </row>
    <row r="1303" spans="2:40" x14ac:dyDescent="0.2">
      <c r="B1303" s="7"/>
      <c r="C1303" s="8"/>
      <c r="D1303" s="8"/>
      <c r="E1303" s="9"/>
      <c r="F1303" s="6"/>
      <c r="G1303" s="8"/>
      <c r="H1303" s="32"/>
      <c r="I1303" s="10" t="str">
        <f t="shared" si="312"/>
        <v>21</v>
      </c>
      <c r="J1303" s="11">
        <v>1</v>
      </c>
      <c r="K1303" s="11"/>
      <c r="L1303" s="11"/>
      <c r="M1303" s="11">
        <f t="shared" si="301"/>
        <v>0</v>
      </c>
      <c r="N1303" s="11"/>
      <c r="O1303" s="11">
        <f t="shared" si="302"/>
        <v>0</v>
      </c>
      <c r="P1303" s="11"/>
      <c r="Q1303" s="11"/>
      <c r="R1303" s="11"/>
      <c r="S1303" s="11">
        <f t="shared" si="303"/>
        <v>0</v>
      </c>
      <c r="T1303" s="11">
        <f t="shared" si="304"/>
        <v>1666.6666666666667</v>
      </c>
      <c r="U1303" s="11">
        <f t="shared" si="305"/>
        <v>0</v>
      </c>
      <c r="V1303" s="24">
        <f t="shared" si="306"/>
        <v>0</v>
      </c>
      <c r="W1303" s="11">
        <f>IF(V1303&lt;=40000,0,
IF(V1303&lt;=55000,(V1303-40000)*10%,
IF(V1303&lt;=70000,(V1303-55000)*15%+1500,
IF(V1303&lt;=200000,(V1303-70000)*20%+1500+2250,
IF(V1303&lt;=400000,(V1303-200000)*22.5%+1500+2250+26000,
IF(V1303&lt;=600000,(V1303-400000)*25%+1500+2250+26000+45000,
IF(AND(V1303&gt;600000,V1303&lt;=1200000),(V1303-400000)*25%+1500+2250+26000+45000
+IFERROR(LOOKUP(V1303,{600001;700001;800001;900001},{4000;6750;10250;15250}),0),IF(V1303&gt;1200000,((V1303-1200000)*27.5%)+300000,0)
)))))))</f>
        <v>0</v>
      </c>
      <c r="X1303" s="12">
        <f t="shared" si="307"/>
        <v>0</v>
      </c>
      <c r="Y1303" s="12">
        <f t="shared" si="308"/>
        <v>0</v>
      </c>
      <c r="Z1303" s="11"/>
      <c r="AA1303" s="13">
        <f t="shared" si="309"/>
        <v>0</v>
      </c>
      <c r="AB1303" s="12">
        <f t="shared" si="310"/>
        <v>0</v>
      </c>
      <c r="AC1303" s="14">
        <f t="shared" si="313"/>
        <v>0</v>
      </c>
      <c r="AE1303" s="19">
        <f t="shared" si="311"/>
        <v>0</v>
      </c>
      <c r="AF1303" s="19"/>
      <c r="AG1303" s="17"/>
      <c r="AK1303" s="7"/>
      <c r="AL1303" s="108">
        <f t="shared" si="314"/>
        <v>0</v>
      </c>
      <c r="AM1303" s="108">
        <f t="shared" si="315"/>
        <v>0</v>
      </c>
      <c r="AN1303" s="113"/>
    </row>
    <row r="1304" spans="2:40" x14ac:dyDescent="0.2">
      <c r="B1304" s="7"/>
      <c r="C1304" s="8"/>
      <c r="D1304" s="8"/>
      <c r="E1304" s="9"/>
      <c r="F1304" s="6"/>
      <c r="G1304" s="8"/>
      <c r="H1304" s="32"/>
      <c r="I1304" s="10" t="str">
        <f t="shared" si="312"/>
        <v>21</v>
      </c>
      <c r="J1304" s="11">
        <v>1</v>
      </c>
      <c r="K1304" s="11"/>
      <c r="L1304" s="11"/>
      <c r="M1304" s="11">
        <f t="shared" si="301"/>
        <v>0</v>
      </c>
      <c r="N1304" s="11"/>
      <c r="O1304" s="11">
        <f t="shared" si="302"/>
        <v>0</v>
      </c>
      <c r="P1304" s="11"/>
      <c r="Q1304" s="11"/>
      <c r="R1304" s="11"/>
      <c r="S1304" s="11">
        <f t="shared" si="303"/>
        <v>0</v>
      </c>
      <c r="T1304" s="11">
        <f t="shared" si="304"/>
        <v>1666.6666666666667</v>
      </c>
      <c r="U1304" s="11">
        <f t="shared" si="305"/>
        <v>0</v>
      </c>
      <c r="V1304" s="24">
        <f t="shared" si="306"/>
        <v>0</v>
      </c>
      <c r="W1304" s="11">
        <f>IF(V1304&lt;=40000,0,
IF(V1304&lt;=55000,(V1304-40000)*10%,
IF(V1304&lt;=70000,(V1304-55000)*15%+1500,
IF(V1304&lt;=200000,(V1304-70000)*20%+1500+2250,
IF(V1304&lt;=400000,(V1304-200000)*22.5%+1500+2250+26000,
IF(V1304&lt;=600000,(V1304-400000)*25%+1500+2250+26000+45000,
IF(AND(V1304&gt;600000,V1304&lt;=1200000),(V1304-400000)*25%+1500+2250+26000+45000
+IFERROR(LOOKUP(V1304,{600001;700001;800001;900001},{4000;6750;10250;15250}),0),IF(V1304&gt;1200000,((V1304-1200000)*27.5%)+300000,0)
)))))))</f>
        <v>0</v>
      </c>
      <c r="X1304" s="12">
        <f t="shared" si="307"/>
        <v>0</v>
      </c>
      <c r="Y1304" s="12">
        <f t="shared" si="308"/>
        <v>0</v>
      </c>
      <c r="Z1304" s="11"/>
      <c r="AA1304" s="13">
        <f t="shared" si="309"/>
        <v>0</v>
      </c>
      <c r="AB1304" s="12">
        <f t="shared" si="310"/>
        <v>0</v>
      </c>
      <c r="AC1304" s="14">
        <f t="shared" si="313"/>
        <v>0</v>
      </c>
      <c r="AE1304" s="19">
        <f t="shared" si="311"/>
        <v>0</v>
      </c>
      <c r="AF1304" s="19"/>
      <c r="AG1304" s="17"/>
      <c r="AK1304" s="7"/>
      <c r="AL1304" s="108">
        <f t="shared" si="314"/>
        <v>0</v>
      </c>
      <c r="AM1304" s="108">
        <f t="shared" si="315"/>
        <v>0</v>
      </c>
      <c r="AN1304" s="113"/>
    </row>
    <row r="1305" spans="2:40" x14ac:dyDescent="0.2">
      <c r="B1305" s="7"/>
      <c r="C1305" s="8"/>
      <c r="D1305" s="8"/>
      <c r="E1305" s="9"/>
      <c r="F1305" s="6"/>
      <c r="G1305" s="8"/>
      <c r="H1305" s="32"/>
      <c r="I1305" s="10" t="str">
        <f t="shared" si="312"/>
        <v>21</v>
      </c>
      <c r="J1305" s="11">
        <v>1</v>
      </c>
      <c r="K1305" s="11"/>
      <c r="L1305" s="11"/>
      <c r="M1305" s="11">
        <f t="shared" si="301"/>
        <v>0</v>
      </c>
      <c r="N1305" s="11"/>
      <c r="O1305" s="11">
        <f t="shared" si="302"/>
        <v>0</v>
      </c>
      <c r="P1305" s="11"/>
      <c r="Q1305" s="11"/>
      <c r="R1305" s="11"/>
      <c r="S1305" s="11">
        <f t="shared" si="303"/>
        <v>0</v>
      </c>
      <c r="T1305" s="11">
        <f t="shared" si="304"/>
        <v>1666.6666666666667</v>
      </c>
      <c r="U1305" s="11">
        <f t="shared" si="305"/>
        <v>0</v>
      </c>
      <c r="V1305" s="24">
        <f t="shared" si="306"/>
        <v>0</v>
      </c>
      <c r="W1305" s="11">
        <f>IF(V1305&lt;=40000,0,
IF(V1305&lt;=55000,(V1305-40000)*10%,
IF(V1305&lt;=70000,(V1305-55000)*15%+1500,
IF(V1305&lt;=200000,(V1305-70000)*20%+1500+2250,
IF(V1305&lt;=400000,(V1305-200000)*22.5%+1500+2250+26000,
IF(V1305&lt;=600000,(V1305-400000)*25%+1500+2250+26000+45000,
IF(AND(V1305&gt;600000,V1305&lt;=1200000),(V1305-400000)*25%+1500+2250+26000+45000
+IFERROR(LOOKUP(V1305,{600001;700001;800001;900001},{4000;6750;10250;15250}),0),IF(V1305&gt;1200000,((V1305-1200000)*27.5%)+300000,0)
)))))))</f>
        <v>0</v>
      </c>
      <c r="X1305" s="12">
        <f t="shared" si="307"/>
        <v>0</v>
      </c>
      <c r="Y1305" s="12">
        <f t="shared" si="308"/>
        <v>0</v>
      </c>
      <c r="Z1305" s="11"/>
      <c r="AA1305" s="13">
        <f t="shared" si="309"/>
        <v>0</v>
      </c>
      <c r="AB1305" s="12">
        <f t="shared" si="310"/>
        <v>0</v>
      </c>
      <c r="AC1305" s="14">
        <f t="shared" si="313"/>
        <v>0</v>
      </c>
      <c r="AE1305" s="19">
        <f t="shared" si="311"/>
        <v>0</v>
      </c>
      <c r="AF1305" s="19"/>
      <c r="AG1305" s="17"/>
      <c r="AK1305" s="7"/>
      <c r="AL1305" s="108">
        <f t="shared" si="314"/>
        <v>0</v>
      </c>
      <c r="AM1305" s="108">
        <f t="shared" si="315"/>
        <v>0</v>
      </c>
      <c r="AN1305" s="113"/>
    </row>
    <row r="1306" spans="2:40" x14ac:dyDescent="0.2">
      <c r="B1306" s="7"/>
      <c r="C1306" s="8"/>
      <c r="D1306" s="8"/>
      <c r="E1306" s="9"/>
      <c r="F1306" s="6"/>
      <c r="G1306" s="8"/>
      <c r="H1306" s="32"/>
      <c r="I1306" s="10" t="str">
        <f t="shared" si="312"/>
        <v>21</v>
      </c>
      <c r="J1306" s="11">
        <v>1</v>
      </c>
      <c r="K1306" s="11"/>
      <c r="L1306" s="11"/>
      <c r="M1306" s="11">
        <f t="shared" si="301"/>
        <v>0</v>
      </c>
      <c r="N1306" s="11"/>
      <c r="O1306" s="11">
        <f t="shared" si="302"/>
        <v>0</v>
      </c>
      <c r="P1306" s="11"/>
      <c r="Q1306" s="11"/>
      <c r="R1306" s="11"/>
      <c r="S1306" s="11">
        <f t="shared" si="303"/>
        <v>0</v>
      </c>
      <c r="T1306" s="11">
        <f t="shared" si="304"/>
        <v>1666.6666666666667</v>
      </c>
      <c r="U1306" s="11">
        <f t="shared" si="305"/>
        <v>0</v>
      </c>
      <c r="V1306" s="24">
        <f t="shared" si="306"/>
        <v>0</v>
      </c>
      <c r="W1306" s="11">
        <f>IF(V1306&lt;=40000,0,
IF(V1306&lt;=55000,(V1306-40000)*10%,
IF(V1306&lt;=70000,(V1306-55000)*15%+1500,
IF(V1306&lt;=200000,(V1306-70000)*20%+1500+2250,
IF(V1306&lt;=400000,(V1306-200000)*22.5%+1500+2250+26000,
IF(V1306&lt;=600000,(V1306-400000)*25%+1500+2250+26000+45000,
IF(AND(V1306&gt;600000,V1306&lt;=1200000),(V1306-400000)*25%+1500+2250+26000+45000
+IFERROR(LOOKUP(V1306,{600001;700001;800001;900001},{4000;6750;10250;15250}),0),IF(V1306&gt;1200000,((V1306-1200000)*27.5%)+300000,0)
)))))))</f>
        <v>0</v>
      </c>
      <c r="X1306" s="12">
        <f t="shared" si="307"/>
        <v>0</v>
      </c>
      <c r="Y1306" s="12">
        <f t="shared" si="308"/>
        <v>0</v>
      </c>
      <c r="Z1306" s="11"/>
      <c r="AA1306" s="13">
        <f t="shared" si="309"/>
        <v>0</v>
      </c>
      <c r="AB1306" s="12">
        <f t="shared" si="310"/>
        <v>0</v>
      </c>
      <c r="AC1306" s="14">
        <f t="shared" si="313"/>
        <v>0</v>
      </c>
      <c r="AE1306" s="19">
        <f t="shared" si="311"/>
        <v>0</v>
      </c>
      <c r="AF1306" s="19"/>
      <c r="AG1306" s="17"/>
      <c r="AK1306" s="7"/>
      <c r="AL1306" s="108">
        <f t="shared" si="314"/>
        <v>0</v>
      </c>
      <c r="AM1306" s="108">
        <f t="shared" si="315"/>
        <v>0</v>
      </c>
      <c r="AN1306" s="113"/>
    </row>
    <row r="1307" spans="2:40" x14ac:dyDescent="0.2">
      <c r="B1307" s="7"/>
      <c r="C1307" s="8"/>
      <c r="D1307" s="8"/>
      <c r="E1307" s="9"/>
      <c r="F1307" s="6"/>
      <c r="G1307" s="8"/>
      <c r="H1307" s="32"/>
      <c r="I1307" s="10" t="str">
        <f t="shared" si="312"/>
        <v>21</v>
      </c>
      <c r="J1307" s="11">
        <v>1</v>
      </c>
      <c r="K1307" s="11"/>
      <c r="L1307" s="11"/>
      <c r="M1307" s="11">
        <f t="shared" si="301"/>
        <v>0</v>
      </c>
      <c r="N1307" s="11"/>
      <c r="O1307" s="11">
        <f t="shared" si="302"/>
        <v>0</v>
      </c>
      <c r="P1307" s="11"/>
      <c r="Q1307" s="11"/>
      <c r="R1307" s="11"/>
      <c r="S1307" s="11">
        <f t="shared" si="303"/>
        <v>0</v>
      </c>
      <c r="T1307" s="11">
        <f t="shared" si="304"/>
        <v>1666.6666666666667</v>
      </c>
      <c r="U1307" s="11">
        <f t="shared" si="305"/>
        <v>0</v>
      </c>
      <c r="V1307" s="24">
        <f t="shared" si="306"/>
        <v>0</v>
      </c>
      <c r="W1307" s="11">
        <f>IF(V1307&lt;=40000,0,
IF(V1307&lt;=55000,(V1307-40000)*10%,
IF(V1307&lt;=70000,(V1307-55000)*15%+1500,
IF(V1307&lt;=200000,(V1307-70000)*20%+1500+2250,
IF(V1307&lt;=400000,(V1307-200000)*22.5%+1500+2250+26000,
IF(V1307&lt;=600000,(V1307-400000)*25%+1500+2250+26000+45000,
IF(AND(V1307&gt;600000,V1307&lt;=1200000),(V1307-400000)*25%+1500+2250+26000+45000
+IFERROR(LOOKUP(V1307,{600001;700001;800001;900001},{4000;6750;10250;15250}),0),IF(V1307&gt;1200000,((V1307-1200000)*27.5%)+300000,0)
)))))))</f>
        <v>0</v>
      </c>
      <c r="X1307" s="12">
        <f t="shared" si="307"/>
        <v>0</v>
      </c>
      <c r="Y1307" s="12">
        <f t="shared" si="308"/>
        <v>0</v>
      </c>
      <c r="Z1307" s="11"/>
      <c r="AA1307" s="13">
        <f t="shared" si="309"/>
        <v>0</v>
      </c>
      <c r="AB1307" s="12">
        <f t="shared" si="310"/>
        <v>0</v>
      </c>
      <c r="AC1307" s="14">
        <f t="shared" si="313"/>
        <v>0</v>
      </c>
      <c r="AE1307" s="19">
        <f t="shared" si="311"/>
        <v>0</v>
      </c>
      <c r="AF1307" s="19"/>
      <c r="AG1307" s="17"/>
      <c r="AK1307" s="7"/>
      <c r="AL1307" s="108">
        <f t="shared" si="314"/>
        <v>0</v>
      </c>
      <c r="AM1307" s="108">
        <f t="shared" si="315"/>
        <v>0</v>
      </c>
      <c r="AN1307" s="113"/>
    </row>
    <row r="1308" spans="2:40" x14ac:dyDescent="0.2">
      <c r="B1308" s="7"/>
      <c r="C1308" s="8"/>
      <c r="D1308" s="8"/>
      <c r="E1308" s="9"/>
      <c r="F1308" s="6"/>
      <c r="G1308" s="8"/>
      <c r="H1308" s="32"/>
      <c r="I1308" s="10" t="str">
        <f t="shared" si="312"/>
        <v>21</v>
      </c>
      <c r="J1308" s="11">
        <v>1</v>
      </c>
      <c r="K1308" s="11"/>
      <c r="L1308" s="11"/>
      <c r="M1308" s="11">
        <f t="shared" si="301"/>
        <v>0</v>
      </c>
      <c r="N1308" s="11"/>
      <c r="O1308" s="11">
        <f t="shared" si="302"/>
        <v>0</v>
      </c>
      <c r="P1308" s="11"/>
      <c r="Q1308" s="11"/>
      <c r="R1308" s="11"/>
      <c r="S1308" s="11">
        <f t="shared" si="303"/>
        <v>0</v>
      </c>
      <c r="T1308" s="11">
        <f t="shared" si="304"/>
        <v>1666.6666666666667</v>
      </c>
      <c r="U1308" s="11">
        <f t="shared" si="305"/>
        <v>0</v>
      </c>
      <c r="V1308" s="24">
        <f t="shared" si="306"/>
        <v>0</v>
      </c>
      <c r="W1308" s="11">
        <f>IF(V1308&lt;=40000,0,
IF(V1308&lt;=55000,(V1308-40000)*10%,
IF(V1308&lt;=70000,(V1308-55000)*15%+1500,
IF(V1308&lt;=200000,(V1308-70000)*20%+1500+2250,
IF(V1308&lt;=400000,(V1308-200000)*22.5%+1500+2250+26000,
IF(V1308&lt;=600000,(V1308-400000)*25%+1500+2250+26000+45000,
IF(AND(V1308&gt;600000,V1308&lt;=1200000),(V1308-400000)*25%+1500+2250+26000+45000
+IFERROR(LOOKUP(V1308,{600001;700001;800001;900001},{4000;6750;10250;15250}),0),IF(V1308&gt;1200000,((V1308-1200000)*27.5%)+300000,0)
)))))))</f>
        <v>0</v>
      </c>
      <c r="X1308" s="12">
        <f t="shared" si="307"/>
        <v>0</v>
      </c>
      <c r="Y1308" s="12">
        <f t="shared" si="308"/>
        <v>0</v>
      </c>
      <c r="Z1308" s="11"/>
      <c r="AA1308" s="13">
        <f t="shared" si="309"/>
        <v>0</v>
      </c>
      <c r="AB1308" s="12">
        <f t="shared" si="310"/>
        <v>0</v>
      </c>
      <c r="AC1308" s="14">
        <f t="shared" si="313"/>
        <v>0</v>
      </c>
      <c r="AE1308" s="19">
        <f t="shared" si="311"/>
        <v>0</v>
      </c>
      <c r="AF1308" s="19"/>
      <c r="AG1308" s="17"/>
      <c r="AK1308" s="7"/>
      <c r="AL1308" s="108">
        <f t="shared" si="314"/>
        <v>0</v>
      </c>
      <c r="AM1308" s="108">
        <f t="shared" si="315"/>
        <v>0</v>
      </c>
      <c r="AN1308" s="113"/>
    </row>
    <row r="1309" spans="2:40" x14ac:dyDescent="0.2">
      <c r="B1309" s="7"/>
      <c r="C1309" s="8"/>
      <c r="D1309" s="8"/>
      <c r="E1309" s="9"/>
      <c r="F1309" s="6"/>
      <c r="G1309" s="8"/>
      <c r="H1309" s="32"/>
      <c r="I1309" s="10" t="str">
        <f t="shared" si="312"/>
        <v>21</v>
      </c>
      <c r="J1309" s="11">
        <v>1</v>
      </c>
      <c r="K1309" s="11"/>
      <c r="L1309" s="11"/>
      <c r="M1309" s="11">
        <f t="shared" ref="M1309:M1372" si="316">SUM(K1309:L1309)</f>
        <v>0</v>
      </c>
      <c r="N1309" s="11"/>
      <c r="O1309" s="11">
        <f t="shared" ref="O1309:O1372" si="317">+N1309+M1309</f>
        <v>0</v>
      </c>
      <c r="P1309" s="11"/>
      <c r="Q1309" s="11"/>
      <c r="R1309" s="11"/>
      <c r="S1309" s="11">
        <f t="shared" ref="S1309:S1372" si="318">O1309-P1309-Q1309-R1309</f>
        <v>0</v>
      </c>
      <c r="T1309" s="11">
        <f t="shared" ref="T1309:T1372" si="319">IF(J1309&gt;0,(20000/12*J1309),0)</f>
        <v>1666.6666666666667</v>
      </c>
      <c r="U1309" s="11">
        <f t="shared" ref="U1309:U1372" si="320">IF(AND(J1309&gt;0,S1309-T1309&gt;0),S1309-T1309,0)</f>
        <v>0</v>
      </c>
      <c r="V1309" s="24">
        <f t="shared" ref="V1309:V1372" si="321">IF(J1309=0,0,(U1309/J1309*12))</f>
        <v>0</v>
      </c>
      <c r="W1309" s="11">
        <f>IF(V1309&lt;=40000,0,
IF(V1309&lt;=55000,(V1309-40000)*10%,
IF(V1309&lt;=70000,(V1309-55000)*15%+1500,
IF(V1309&lt;=200000,(V1309-70000)*20%+1500+2250,
IF(V1309&lt;=400000,(V1309-200000)*22.5%+1500+2250+26000,
IF(V1309&lt;=600000,(V1309-400000)*25%+1500+2250+26000+45000,
IF(AND(V1309&gt;600000,V1309&lt;=1200000),(V1309-400000)*25%+1500+2250+26000+45000
+IFERROR(LOOKUP(V1309,{600001;700001;800001;900001},{4000;6750;10250;15250}),0),IF(V1309&gt;1200000,((V1309-1200000)*27.5%)+300000,0)
)))))))</f>
        <v>0</v>
      </c>
      <c r="X1309" s="12">
        <f t="shared" ref="X1309:X1372" si="322">N1309*0.1</f>
        <v>0</v>
      </c>
      <c r="Y1309" s="12">
        <f t="shared" ref="Y1309:Y1372" si="323">(W1309/12*J1309)-X1309</f>
        <v>0</v>
      </c>
      <c r="Z1309" s="11"/>
      <c r="AA1309" s="13">
        <f t="shared" ref="AA1309:AA1372" si="324">+O1309-P1309-Y1309-Z1309</f>
        <v>0</v>
      </c>
      <c r="AB1309" s="12">
        <f t="shared" ref="AB1309:AB1372" si="325">(P1309/0.11)*18.75%</f>
        <v>0</v>
      </c>
      <c r="AC1309" s="14">
        <f t="shared" si="313"/>
        <v>0</v>
      </c>
      <c r="AE1309" s="19">
        <f t="shared" ref="AE1309:AE1372" si="326">+AD1309-AC1309</f>
        <v>0</v>
      </c>
      <c r="AF1309" s="19"/>
      <c r="AG1309" s="17"/>
      <c r="AK1309" s="7"/>
      <c r="AL1309" s="108">
        <f t="shared" si="314"/>
        <v>0</v>
      </c>
      <c r="AM1309" s="108">
        <f t="shared" si="315"/>
        <v>0</v>
      </c>
      <c r="AN1309" s="113"/>
    </row>
    <row r="1310" spans="2:40" x14ac:dyDescent="0.2">
      <c r="B1310" s="7"/>
      <c r="C1310" s="8"/>
      <c r="D1310" s="8"/>
      <c r="E1310" s="9"/>
      <c r="F1310" s="6"/>
      <c r="G1310" s="8"/>
      <c r="H1310" s="32"/>
      <c r="I1310" s="10" t="str">
        <f t="shared" si="312"/>
        <v>21</v>
      </c>
      <c r="J1310" s="11">
        <v>1</v>
      </c>
      <c r="K1310" s="11"/>
      <c r="L1310" s="11"/>
      <c r="M1310" s="11">
        <f t="shared" si="316"/>
        <v>0</v>
      </c>
      <c r="N1310" s="11"/>
      <c r="O1310" s="11">
        <f t="shared" si="317"/>
        <v>0</v>
      </c>
      <c r="P1310" s="11"/>
      <c r="Q1310" s="11"/>
      <c r="R1310" s="11"/>
      <c r="S1310" s="11">
        <f t="shared" si="318"/>
        <v>0</v>
      </c>
      <c r="T1310" s="11">
        <f t="shared" si="319"/>
        <v>1666.6666666666667</v>
      </c>
      <c r="U1310" s="11">
        <f t="shared" si="320"/>
        <v>0</v>
      </c>
      <c r="V1310" s="24">
        <f t="shared" si="321"/>
        <v>0</v>
      </c>
      <c r="W1310" s="11">
        <f>IF(V1310&lt;=40000,0,
IF(V1310&lt;=55000,(V1310-40000)*10%,
IF(V1310&lt;=70000,(V1310-55000)*15%+1500,
IF(V1310&lt;=200000,(V1310-70000)*20%+1500+2250,
IF(V1310&lt;=400000,(V1310-200000)*22.5%+1500+2250+26000,
IF(V1310&lt;=600000,(V1310-400000)*25%+1500+2250+26000+45000,
IF(AND(V1310&gt;600000,V1310&lt;=1200000),(V1310-400000)*25%+1500+2250+26000+45000
+IFERROR(LOOKUP(V1310,{600001;700001;800001;900001},{4000;6750;10250;15250}),0),IF(V1310&gt;1200000,((V1310-1200000)*27.5%)+300000,0)
)))))))</f>
        <v>0</v>
      </c>
      <c r="X1310" s="12">
        <f t="shared" si="322"/>
        <v>0</v>
      </c>
      <c r="Y1310" s="12">
        <f t="shared" si="323"/>
        <v>0</v>
      </c>
      <c r="Z1310" s="11"/>
      <c r="AA1310" s="13">
        <f t="shared" si="324"/>
        <v>0</v>
      </c>
      <c r="AB1310" s="12">
        <f t="shared" si="325"/>
        <v>0</v>
      </c>
      <c r="AC1310" s="14">
        <f t="shared" si="313"/>
        <v>0</v>
      </c>
      <c r="AE1310" s="19">
        <f t="shared" si="326"/>
        <v>0</v>
      </c>
      <c r="AF1310" s="19"/>
      <c r="AG1310" s="17"/>
      <c r="AK1310" s="7"/>
      <c r="AL1310" s="108">
        <f t="shared" si="314"/>
        <v>0</v>
      </c>
      <c r="AM1310" s="108">
        <f t="shared" si="315"/>
        <v>0</v>
      </c>
      <c r="AN1310" s="113"/>
    </row>
    <row r="1311" spans="2:40" x14ac:dyDescent="0.2">
      <c r="B1311" s="7"/>
      <c r="C1311" s="8"/>
      <c r="D1311" s="8"/>
      <c r="E1311" s="9"/>
      <c r="F1311" s="6"/>
      <c r="G1311" s="8"/>
      <c r="H1311" s="32"/>
      <c r="I1311" s="10" t="str">
        <f t="shared" si="312"/>
        <v>21</v>
      </c>
      <c r="J1311" s="11">
        <v>1</v>
      </c>
      <c r="K1311" s="11"/>
      <c r="L1311" s="11"/>
      <c r="M1311" s="11">
        <f t="shared" si="316"/>
        <v>0</v>
      </c>
      <c r="N1311" s="11"/>
      <c r="O1311" s="11">
        <f t="shared" si="317"/>
        <v>0</v>
      </c>
      <c r="P1311" s="11"/>
      <c r="Q1311" s="11"/>
      <c r="R1311" s="11"/>
      <c r="S1311" s="11">
        <f t="shared" si="318"/>
        <v>0</v>
      </c>
      <c r="T1311" s="11">
        <f t="shared" si="319"/>
        <v>1666.6666666666667</v>
      </c>
      <c r="U1311" s="11">
        <f t="shared" si="320"/>
        <v>0</v>
      </c>
      <c r="V1311" s="24">
        <f t="shared" si="321"/>
        <v>0</v>
      </c>
      <c r="W1311" s="11">
        <f>IF(V1311&lt;=40000,0,
IF(V1311&lt;=55000,(V1311-40000)*10%,
IF(V1311&lt;=70000,(V1311-55000)*15%+1500,
IF(V1311&lt;=200000,(V1311-70000)*20%+1500+2250,
IF(V1311&lt;=400000,(V1311-200000)*22.5%+1500+2250+26000,
IF(V1311&lt;=600000,(V1311-400000)*25%+1500+2250+26000+45000,
IF(AND(V1311&gt;600000,V1311&lt;=1200000),(V1311-400000)*25%+1500+2250+26000+45000
+IFERROR(LOOKUP(V1311,{600001;700001;800001;900001},{4000;6750;10250;15250}),0),IF(V1311&gt;1200000,((V1311-1200000)*27.5%)+300000,0)
)))))))</f>
        <v>0</v>
      </c>
      <c r="X1311" s="12">
        <f t="shared" si="322"/>
        <v>0</v>
      </c>
      <c r="Y1311" s="12">
        <f t="shared" si="323"/>
        <v>0</v>
      </c>
      <c r="Z1311" s="11"/>
      <c r="AA1311" s="13">
        <f t="shared" si="324"/>
        <v>0</v>
      </c>
      <c r="AB1311" s="12">
        <f t="shared" si="325"/>
        <v>0</v>
      </c>
      <c r="AC1311" s="14">
        <f t="shared" si="313"/>
        <v>0</v>
      </c>
      <c r="AE1311" s="19">
        <f t="shared" si="326"/>
        <v>0</v>
      </c>
      <c r="AF1311" s="19"/>
      <c r="AG1311" s="17"/>
      <c r="AK1311" s="7"/>
      <c r="AL1311" s="108">
        <f t="shared" si="314"/>
        <v>0</v>
      </c>
      <c r="AM1311" s="108">
        <f t="shared" si="315"/>
        <v>0</v>
      </c>
      <c r="AN1311" s="113"/>
    </row>
    <row r="1312" spans="2:40" x14ac:dyDescent="0.2">
      <c r="B1312" s="7"/>
      <c r="C1312" s="8"/>
      <c r="D1312" s="8"/>
      <c r="E1312" s="9"/>
      <c r="F1312" s="6"/>
      <c r="G1312" s="8"/>
      <c r="H1312" s="32"/>
      <c r="I1312" s="10" t="str">
        <f t="shared" si="312"/>
        <v>21</v>
      </c>
      <c r="J1312" s="11">
        <v>1</v>
      </c>
      <c r="K1312" s="11"/>
      <c r="L1312" s="11"/>
      <c r="M1312" s="11">
        <f t="shared" si="316"/>
        <v>0</v>
      </c>
      <c r="N1312" s="11"/>
      <c r="O1312" s="11">
        <f t="shared" si="317"/>
        <v>0</v>
      </c>
      <c r="P1312" s="11"/>
      <c r="Q1312" s="11"/>
      <c r="R1312" s="11"/>
      <c r="S1312" s="11">
        <f t="shared" si="318"/>
        <v>0</v>
      </c>
      <c r="T1312" s="11">
        <f t="shared" si="319"/>
        <v>1666.6666666666667</v>
      </c>
      <c r="U1312" s="11">
        <f t="shared" si="320"/>
        <v>0</v>
      </c>
      <c r="V1312" s="24">
        <f t="shared" si="321"/>
        <v>0</v>
      </c>
      <c r="W1312" s="11">
        <f>IF(V1312&lt;=40000,0,
IF(V1312&lt;=55000,(V1312-40000)*10%,
IF(V1312&lt;=70000,(V1312-55000)*15%+1500,
IF(V1312&lt;=200000,(V1312-70000)*20%+1500+2250,
IF(V1312&lt;=400000,(V1312-200000)*22.5%+1500+2250+26000,
IF(V1312&lt;=600000,(V1312-400000)*25%+1500+2250+26000+45000,
IF(AND(V1312&gt;600000,V1312&lt;=1200000),(V1312-400000)*25%+1500+2250+26000+45000
+IFERROR(LOOKUP(V1312,{600001;700001;800001;900001},{4000;6750;10250;15250}),0),IF(V1312&gt;1200000,((V1312-1200000)*27.5%)+300000,0)
)))))))</f>
        <v>0</v>
      </c>
      <c r="X1312" s="12">
        <f t="shared" si="322"/>
        <v>0</v>
      </c>
      <c r="Y1312" s="12">
        <f t="shared" si="323"/>
        <v>0</v>
      </c>
      <c r="Z1312" s="11"/>
      <c r="AA1312" s="13">
        <f t="shared" si="324"/>
        <v>0</v>
      </c>
      <c r="AB1312" s="12">
        <f t="shared" si="325"/>
        <v>0</v>
      </c>
      <c r="AC1312" s="14">
        <f t="shared" si="313"/>
        <v>0</v>
      </c>
      <c r="AE1312" s="19">
        <f t="shared" si="326"/>
        <v>0</v>
      </c>
      <c r="AF1312" s="19"/>
      <c r="AG1312" s="17"/>
      <c r="AK1312" s="7"/>
      <c r="AL1312" s="108">
        <f t="shared" si="314"/>
        <v>0</v>
      </c>
      <c r="AM1312" s="108">
        <f t="shared" si="315"/>
        <v>0</v>
      </c>
      <c r="AN1312" s="113"/>
    </row>
    <row r="1313" spans="2:40" x14ac:dyDescent="0.2">
      <c r="B1313" s="7"/>
      <c r="C1313" s="8"/>
      <c r="D1313" s="8"/>
      <c r="E1313" s="9"/>
      <c r="F1313" s="6"/>
      <c r="G1313" s="8"/>
      <c r="H1313" s="32"/>
      <c r="I1313" s="10" t="str">
        <f t="shared" si="312"/>
        <v>21</v>
      </c>
      <c r="J1313" s="11">
        <v>1</v>
      </c>
      <c r="K1313" s="11"/>
      <c r="L1313" s="11"/>
      <c r="M1313" s="11">
        <f t="shared" si="316"/>
        <v>0</v>
      </c>
      <c r="N1313" s="11"/>
      <c r="O1313" s="11">
        <f t="shared" si="317"/>
        <v>0</v>
      </c>
      <c r="P1313" s="11"/>
      <c r="Q1313" s="11"/>
      <c r="R1313" s="11"/>
      <c r="S1313" s="11">
        <f t="shared" si="318"/>
        <v>0</v>
      </c>
      <c r="T1313" s="11">
        <f t="shared" si="319"/>
        <v>1666.6666666666667</v>
      </c>
      <c r="U1313" s="11">
        <f t="shared" si="320"/>
        <v>0</v>
      </c>
      <c r="V1313" s="24">
        <f t="shared" si="321"/>
        <v>0</v>
      </c>
      <c r="W1313" s="11">
        <f>IF(V1313&lt;=40000,0,
IF(V1313&lt;=55000,(V1313-40000)*10%,
IF(V1313&lt;=70000,(V1313-55000)*15%+1500,
IF(V1313&lt;=200000,(V1313-70000)*20%+1500+2250,
IF(V1313&lt;=400000,(V1313-200000)*22.5%+1500+2250+26000,
IF(V1313&lt;=600000,(V1313-400000)*25%+1500+2250+26000+45000,
IF(AND(V1313&gt;600000,V1313&lt;=1200000),(V1313-400000)*25%+1500+2250+26000+45000
+IFERROR(LOOKUP(V1313,{600001;700001;800001;900001},{4000;6750;10250;15250}),0),IF(V1313&gt;1200000,((V1313-1200000)*27.5%)+300000,0)
)))))))</f>
        <v>0</v>
      </c>
      <c r="X1313" s="12">
        <f t="shared" si="322"/>
        <v>0</v>
      </c>
      <c r="Y1313" s="12">
        <f t="shared" si="323"/>
        <v>0</v>
      </c>
      <c r="Z1313" s="11"/>
      <c r="AA1313" s="13">
        <f t="shared" si="324"/>
        <v>0</v>
      </c>
      <c r="AB1313" s="12">
        <f t="shared" si="325"/>
        <v>0</v>
      </c>
      <c r="AC1313" s="14">
        <f t="shared" si="313"/>
        <v>0</v>
      </c>
      <c r="AE1313" s="19">
        <f t="shared" si="326"/>
        <v>0</v>
      </c>
      <c r="AF1313" s="19"/>
      <c r="AG1313" s="17"/>
      <c r="AK1313" s="7"/>
      <c r="AL1313" s="108">
        <f t="shared" si="314"/>
        <v>0</v>
      </c>
      <c r="AM1313" s="108">
        <f t="shared" si="315"/>
        <v>0</v>
      </c>
      <c r="AN1313" s="113"/>
    </row>
    <row r="1314" spans="2:40" x14ac:dyDescent="0.2">
      <c r="B1314" s="7"/>
      <c r="C1314" s="8"/>
      <c r="D1314" s="8"/>
      <c r="E1314" s="9"/>
      <c r="F1314" s="6"/>
      <c r="G1314" s="8"/>
      <c r="H1314" s="32"/>
      <c r="I1314" s="10" t="str">
        <f t="shared" si="312"/>
        <v>21</v>
      </c>
      <c r="J1314" s="11">
        <v>1</v>
      </c>
      <c r="K1314" s="11"/>
      <c r="L1314" s="11"/>
      <c r="M1314" s="11">
        <f t="shared" si="316"/>
        <v>0</v>
      </c>
      <c r="N1314" s="11"/>
      <c r="O1314" s="11">
        <f t="shared" si="317"/>
        <v>0</v>
      </c>
      <c r="P1314" s="11"/>
      <c r="Q1314" s="11"/>
      <c r="R1314" s="11"/>
      <c r="S1314" s="11">
        <f t="shared" si="318"/>
        <v>0</v>
      </c>
      <c r="T1314" s="11">
        <f t="shared" si="319"/>
        <v>1666.6666666666667</v>
      </c>
      <c r="U1314" s="11">
        <f t="shared" si="320"/>
        <v>0</v>
      </c>
      <c r="V1314" s="24">
        <f t="shared" si="321"/>
        <v>0</v>
      </c>
      <c r="W1314" s="11">
        <f>IF(V1314&lt;=40000,0,
IF(V1314&lt;=55000,(V1314-40000)*10%,
IF(V1314&lt;=70000,(V1314-55000)*15%+1500,
IF(V1314&lt;=200000,(V1314-70000)*20%+1500+2250,
IF(V1314&lt;=400000,(V1314-200000)*22.5%+1500+2250+26000,
IF(V1314&lt;=600000,(V1314-400000)*25%+1500+2250+26000+45000,
IF(AND(V1314&gt;600000,V1314&lt;=1200000),(V1314-400000)*25%+1500+2250+26000+45000
+IFERROR(LOOKUP(V1314,{600001;700001;800001;900001},{4000;6750;10250;15250}),0),IF(V1314&gt;1200000,((V1314-1200000)*27.5%)+300000,0)
)))))))</f>
        <v>0</v>
      </c>
      <c r="X1314" s="12">
        <f t="shared" si="322"/>
        <v>0</v>
      </c>
      <c r="Y1314" s="12">
        <f t="shared" si="323"/>
        <v>0</v>
      </c>
      <c r="Z1314" s="11"/>
      <c r="AA1314" s="13">
        <f t="shared" si="324"/>
        <v>0</v>
      </c>
      <c r="AB1314" s="12">
        <f t="shared" si="325"/>
        <v>0</v>
      </c>
      <c r="AC1314" s="14">
        <f t="shared" si="313"/>
        <v>0</v>
      </c>
      <c r="AE1314" s="19">
        <f t="shared" si="326"/>
        <v>0</v>
      </c>
      <c r="AF1314" s="19"/>
      <c r="AG1314" s="17"/>
      <c r="AK1314" s="7"/>
      <c r="AL1314" s="108">
        <f t="shared" si="314"/>
        <v>0</v>
      </c>
      <c r="AM1314" s="108">
        <f t="shared" si="315"/>
        <v>0</v>
      </c>
      <c r="AN1314" s="113"/>
    </row>
    <row r="1315" spans="2:40" x14ac:dyDescent="0.2">
      <c r="B1315" s="7"/>
      <c r="C1315" s="8"/>
      <c r="D1315" s="8"/>
      <c r="E1315" s="9"/>
      <c r="F1315" s="6"/>
      <c r="G1315" s="8"/>
      <c r="H1315" s="32"/>
      <c r="I1315" s="10" t="str">
        <f t="shared" si="312"/>
        <v>21</v>
      </c>
      <c r="J1315" s="11">
        <v>1</v>
      </c>
      <c r="K1315" s="11"/>
      <c r="L1315" s="11"/>
      <c r="M1315" s="11">
        <f t="shared" si="316"/>
        <v>0</v>
      </c>
      <c r="N1315" s="11"/>
      <c r="O1315" s="11">
        <f t="shared" si="317"/>
        <v>0</v>
      </c>
      <c r="P1315" s="11"/>
      <c r="Q1315" s="11"/>
      <c r="R1315" s="11"/>
      <c r="S1315" s="11">
        <f t="shared" si="318"/>
        <v>0</v>
      </c>
      <c r="T1315" s="11">
        <f t="shared" si="319"/>
        <v>1666.6666666666667</v>
      </c>
      <c r="U1315" s="11">
        <f t="shared" si="320"/>
        <v>0</v>
      </c>
      <c r="V1315" s="24">
        <f t="shared" si="321"/>
        <v>0</v>
      </c>
      <c r="W1315" s="11">
        <f>IF(V1315&lt;=40000,0,
IF(V1315&lt;=55000,(V1315-40000)*10%,
IF(V1315&lt;=70000,(V1315-55000)*15%+1500,
IF(V1315&lt;=200000,(V1315-70000)*20%+1500+2250,
IF(V1315&lt;=400000,(V1315-200000)*22.5%+1500+2250+26000,
IF(V1315&lt;=600000,(V1315-400000)*25%+1500+2250+26000+45000,
IF(AND(V1315&gt;600000,V1315&lt;=1200000),(V1315-400000)*25%+1500+2250+26000+45000
+IFERROR(LOOKUP(V1315,{600001;700001;800001;900001},{4000;6750;10250;15250}),0),IF(V1315&gt;1200000,((V1315-1200000)*27.5%)+300000,0)
)))))))</f>
        <v>0</v>
      </c>
      <c r="X1315" s="12">
        <f t="shared" si="322"/>
        <v>0</v>
      </c>
      <c r="Y1315" s="12">
        <f t="shared" si="323"/>
        <v>0</v>
      </c>
      <c r="Z1315" s="11"/>
      <c r="AA1315" s="13">
        <f t="shared" si="324"/>
        <v>0</v>
      </c>
      <c r="AB1315" s="12">
        <f t="shared" si="325"/>
        <v>0</v>
      </c>
      <c r="AC1315" s="14">
        <f t="shared" si="313"/>
        <v>0</v>
      </c>
      <c r="AE1315" s="19">
        <f t="shared" si="326"/>
        <v>0</v>
      </c>
      <c r="AF1315" s="19"/>
      <c r="AG1315" s="17"/>
      <c r="AK1315" s="7"/>
      <c r="AL1315" s="108">
        <f t="shared" si="314"/>
        <v>0</v>
      </c>
      <c r="AM1315" s="108">
        <f t="shared" si="315"/>
        <v>0</v>
      </c>
      <c r="AN1315" s="113"/>
    </row>
    <row r="1316" spans="2:40" x14ac:dyDescent="0.2">
      <c r="B1316" s="7"/>
      <c r="C1316" s="8"/>
      <c r="D1316" s="8"/>
      <c r="E1316" s="9"/>
      <c r="F1316" s="6"/>
      <c r="G1316" s="8"/>
      <c r="H1316" s="32"/>
      <c r="I1316" s="10" t="str">
        <f t="shared" si="312"/>
        <v>21</v>
      </c>
      <c r="J1316" s="11">
        <v>1</v>
      </c>
      <c r="K1316" s="11"/>
      <c r="L1316" s="11"/>
      <c r="M1316" s="11">
        <f t="shared" si="316"/>
        <v>0</v>
      </c>
      <c r="N1316" s="11"/>
      <c r="O1316" s="11">
        <f t="shared" si="317"/>
        <v>0</v>
      </c>
      <c r="P1316" s="11"/>
      <c r="Q1316" s="11"/>
      <c r="R1316" s="11"/>
      <c r="S1316" s="11">
        <f t="shared" si="318"/>
        <v>0</v>
      </c>
      <c r="T1316" s="11">
        <f t="shared" si="319"/>
        <v>1666.6666666666667</v>
      </c>
      <c r="U1316" s="11">
        <f t="shared" si="320"/>
        <v>0</v>
      </c>
      <c r="V1316" s="24">
        <f t="shared" si="321"/>
        <v>0</v>
      </c>
      <c r="W1316" s="11">
        <f>IF(V1316&lt;=40000,0,
IF(V1316&lt;=55000,(V1316-40000)*10%,
IF(V1316&lt;=70000,(V1316-55000)*15%+1500,
IF(V1316&lt;=200000,(V1316-70000)*20%+1500+2250,
IF(V1316&lt;=400000,(V1316-200000)*22.5%+1500+2250+26000,
IF(V1316&lt;=600000,(V1316-400000)*25%+1500+2250+26000+45000,
IF(AND(V1316&gt;600000,V1316&lt;=1200000),(V1316-400000)*25%+1500+2250+26000+45000
+IFERROR(LOOKUP(V1316,{600001;700001;800001;900001},{4000;6750;10250;15250}),0),IF(V1316&gt;1200000,((V1316-1200000)*27.5%)+300000,0)
)))))))</f>
        <v>0</v>
      </c>
      <c r="X1316" s="12">
        <f t="shared" si="322"/>
        <v>0</v>
      </c>
      <c r="Y1316" s="12">
        <f t="shared" si="323"/>
        <v>0</v>
      </c>
      <c r="Z1316" s="11"/>
      <c r="AA1316" s="13">
        <f t="shared" si="324"/>
        <v>0</v>
      </c>
      <c r="AB1316" s="12">
        <f t="shared" si="325"/>
        <v>0</v>
      </c>
      <c r="AC1316" s="14">
        <f t="shared" si="313"/>
        <v>0</v>
      </c>
      <c r="AE1316" s="19">
        <f t="shared" si="326"/>
        <v>0</v>
      </c>
      <c r="AF1316" s="19"/>
      <c r="AG1316" s="17"/>
      <c r="AK1316" s="7"/>
      <c r="AL1316" s="108">
        <f t="shared" si="314"/>
        <v>0</v>
      </c>
      <c r="AM1316" s="108">
        <f t="shared" si="315"/>
        <v>0</v>
      </c>
      <c r="AN1316" s="113"/>
    </row>
    <row r="1317" spans="2:40" x14ac:dyDescent="0.2">
      <c r="B1317" s="7"/>
      <c r="C1317" s="8"/>
      <c r="D1317" s="8"/>
      <c r="E1317" s="9"/>
      <c r="F1317" s="6"/>
      <c r="G1317" s="8"/>
      <c r="H1317" s="32"/>
      <c r="I1317" s="10" t="str">
        <f t="shared" si="312"/>
        <v>21</v>
      </c>
      <c r="J1317" s="11">
        <v>1</v>
      </c>
      <c r="K1317" s="11"/>
      <c r="L1317" s="11"/>
      <c r="M1317" s="11">
        <f t="shared" si="316"/>
        <v>0</v>
      </c>
      <c r="N1317" s="11"/>
      <c r="O1317" s="11">
        <f t="shared" si="317"/>
        <v>0</v>
      </c>
      <c r="P1317" s="11"/>
      <c r="Q1317" s="11"/>
      <c r="R1317" s="11"/>
      <c r="S1317" s="11">
        <f t="shared" si="318"/>
        <v>0</v>
      </c>
      <c r="T1317" s="11">
        <f t="shared" si="319"/>
        <v>1666.6666666666667</v>
      </c>
      <c r="U1317" s="11">
        <f t="shared" si="320"/>
        <v>0</v>
      </c>
      <c r="V1317" s="24">
        <f t="shared" si="321"/>
        <v>0</v>
      </c>
      <c r="W1317" s="11">
        <f>IF(V1317&lt;=40000,0,
IF(V1317&lt;=55000,(V1317-40000)*10%,
IF(V1317&lt;=70000,(V1317-55000)*15%+1500,
IF(V1317&lt;=200000,(V1317-70000)*20%+1500+2250,
IF(V1317&lt;=400000,(V1317-200000)*22.5%+1500+2250+26000,
IF(V1317&lt;=600000,(V1317-400000)*25%+1500+2250+26000+45000,
IF(AND(V1317&gt;600000,V1317&lt;=1200000),(V1317-400000)*25%+1500+2250+26000+45000
+IFERROR(LOOKUP(V1317,{600001;700001;800001;900001},{4000;6750;10250;15250}),0),IF(V1317&gt;1200000,((V1317-1200000)*27.5%)+300000,0)
)))))))</f>
        <v>0</v>
      </c>
      <c r="X1317" s="12">
        <f t="shared" si="322"/>
        <v>0</v>
      </c>
      <c r="Y1317" s="12">
        <f t="shared" si="323"/>
        <v>0</v>
      </c>
      <c r="Z1317" s="11"/>
      <c r="AA1317" s="13">
        <f t="shared" si="324"/>
        <v>0</v>
      </c>
      <c r="AB1317" s="12">
        <f t="shared" si="325"/>
        <v>0</v>
      </c>
      <c r="AC1317" s="14">
        <f t="shared" si="313"/>
        <v>0</v>
      </c>
      <c r="AE1317" s="19">
        <f t="shared" si="326"/>
        <v>0</v>
      </c>
      <c r="AF1317" s="19"/>
      <c r="AG1317" s="17"/>
      <c r="AK1317" s="7"/>
      <c r="AL1317" s="108">
        <f t="shared" si="314"/>
        <v>0</v>
      </c>
      <c r="AM1317" s="108">
        <f t="shared" si="315"/>
        <v>0</v>
      </c>
      <c r="AN1317" s="113"/>
    </row>
    <row r="1318" spans="2:40" x14ac:dyDescent="0.2">
      <c r="B1318" s="7"/>
      <c r="C1318" s="8"/>
      <c r="D1318" s="8"/>
      <c r="E1318" s="9"/>
      <c r="F1318" s="6"/>
      <c r="G1318" s="8"/>
      <c r="H1318" s="32"/>
      <c r="I1318" s="10" t="str">
        <f t="shared" si="312"/>
        <v>21</v>
      </c>
      <c r="J1318" s="11">
        <v>1</v>
      </c>
      <c r="K1318" s="11"/>
      <c r="L1318" s="11"/>
      <c r="M1318" s="11">
        <f t="shared" si="316"/>
        <v>0</v>
      </c>
      <c r="N1318" s="11"/>
      <c r="O1318" s="11">
        <f t="shared" si="317"/>
        <v>0</v>
      </c>
      <c r="P1318" s="11"/>
      <c r="Q1318" s="11"/>
      <c r="R1318" s="11"/>
      <c r="S1318" s="11">
        <f t="shared" si="318"/>
        <v>0</v>
      </c>
      <c r="T1318" s="11">
        <f t="shared" si="319"/>
        <v>1666.6666666666667</v>
      </c>
      <c r="U1318" s="11">
        <f t="shared" si="320"/>
        <v>0</v>
      </c>
      <c r="V1318" s="24">
        <f t="shared" si="321"/>
        <v>0</v>
      </c>
      <c r="W1318" s="11">
        <f>IF(V1318&lt;=40000,0,
IF(V1318&lt;=55000,(V1318-40000)*10%,
IF(V1318&lt;=70000,(V1318-55000)*15%+1500,
IF(V1318&lt;=200000,(V1318-70000)*20%+1500+2250,
IF(V1318&lt;=400000,(V1318-200000)*22.5%+1500+2250+26000,
IF(V1318&lt;=600000,(V1318-400000)*25%+1500+2250+26000+45000,
IF(AND(V1318&gt;600000,V1318&lt;=1200000),(V1318-400000)*25%+1500+2250+26000+45000
+IFERROR(LOOKUP(V1318,{600001;700001;800001;900001},{4000;6750;10250;15250}),0),IF(V1318&gt;1200000,((V1318-1200000)*27.5%)+300000,0)
)))))))</f>
        <v>0</v>
      </c>
      <c r="X1318" s="12">
        <f t="shared" si="322"/>
        <v>0</v>
      </c>
      <c r="Y1318" s="12">
        <f t="shared" si="323"/>
        <v>0</v>
      </c>
      <c r="Z1318" s="11"/>
      <c r="AA1318" s="13">
        <f t="shared" si="324"/>
        <v>0</v>
      </c>
      <c r="AB1318" s="12">
        <f t="shared" si="325"/>
        <v>0</v>
      </c>
      <c r="AC1318" s="14">
        <f t="shared" si="313"/>
        <v>0</v>
      </c>
      <c r="AE1318" s="19">
        <f t="shared" si="326"/>
        <v>0</v>
      </c>
      <c r="AF1318" s="19"/>
      <c r="AG1318" s="17"/>
      <c r="AK1318" s="7"/>
      <c r="AL1318" s="108">
        <f t="shared" si="314"/>
        <v>0</v>
      </c>
      <c r="AM1318" s="108">
        <f t="shared" si="315"/>
        <v>0</v>
      </c>
      <c r="AN1318" s="113"/>
    </row>
    <row r="1319" spans="2:40" x14ac:dyDescent="0.2">
      <c r="B1319" s="7"/>
      <c r="C1319" s="8"/>
      <c r="D1319" s="8"/>
      <c r="E1319" s="9"/>
      <c r="F1319" s="6"/>
      <c r="G1319" s="8"/>
      <c r="H1319" s="32"/>
      <c r="I1319" s="10" t="str">
        <f t="shared" si="312"/>
        <v>21</v>
      </c>
      <c r="J1319" s="11">
        <v>1</v>
      </c>
      <c r="K1319" s="11"/>
      <c r="L1319" s="11"/>
      <c r="M1319" s="11">
        <f t="shared" si="316"/>
        <v>0</v>
      </c>
      <c r="N1319" s="11"/>
      <c r="O1319" s="11">
        <f t="shared" si="317"/>
        <v>0</v>
      </c>
      <c r="P1319" s="11"/>
      <c r="Q1319" s="11"/>
      <c r="R1319" s="11"/>
      <c r="S1319" s="11">
        <f t="shared" si="318"/>
        <v>0</v>
      </c>
      <c r="T1319" s="11">
        <f t="shared" si="319"/>
        <v>1666.6666666666667</v>
      </c>
      <c r="U1319" s="11">
        <f t="shared" si="320"/>
        <v>0</v>
      </c>
      <c r="V1319" s="24">
        <f t="shared" si="321"/>
        <v>0</v>
      </c>
      <c r="W1319" s="11">
        <f>IF(V1319&lt;=40000,0,
IF(V1319&lt;=55000,(V1319-40000)*10%,
IF(V1319&lt;=70000,(V1319-55000)*15%+1500,
IF(V1319&lt;=200000,(V1319-70000)*20%+1500+2250,
IF(V1319&lt;=400000,(V1319-200000)*22.5%+1500+2250+26000,
IF(V1319&lt;=600000,(V1319-400000)*25%+1500+2250+26000+45000,
IF(AND(V1319&gt;600000,V1319&lt;=1200000),(V1319-400000)*25%+1500+2250+26000+45000
+IFERROR(LOOKUP(V1319,{600001;700001;800001;900001},{4000;6750;10250;15250}),0),IF(V1319&gt;1200000,((V1319-1200000)*27.5%)+300000,0)
)))))))</f>
        <v>0</v>
      </c>
      <c r="X1319" s="12">
        <f t="shared" si="322"/>
        <v>0</v>
      </c>
      <c r="Y1319" s="12">
        <f t="shared" si="323"/>
        <v>0</v>
      </c>
      <c r="Z1319" s="11"/>
      <c r="AA1319" s="13">
        <f t="shared" si="324"/>
        <v>0</v>
      </c>
      <c r="AB1319" s="12">
        <f t="shared" si="325"/>
        <v>0</v>
      </c>
      <c r="AC1319" s="14">
        <f t="shared" si="313"/>
        <v>0</v>
      </c>
      <c r="AE1319" s="19">
        <f t="shared" si="326"/>
        <v>0</v>
      </c>
      <c r="AF1319" s="19"/>
      <c r="AG1319" s="17"/>
      <c r="AK1319" s="7"/>
      <c r="AL1319" s="108">
        <f t="shared" si="314"/>
        <v>0</v>
      </c>
      <c r="AM1319" s="108">
        <f t="shared" si="315"/>
        <v>0</v>
      </c>
      <c r="AN1319" s="113"/>
    </row>
    <row r="1320" spans="2:40" x14ac:dyDescent="0.2">
      <c r="B1320" s="7"/>
      <c r="C1320" s="8"/>
      <c r="D1320" s="8"/>
      <c r="E1320" s="9"/>
      <c r="F1320" s="6"/>
      <c r="G1320" s="8"/>
      <c r="H1320" s="32"/>
      <c r="I1320" s="10" t="str">
        <f t="shared" si="312"/>
        <v>21</v>
      </c>
      <c r="J1320" s="11">
        <v>1</v>
      </c>
      <c r="K1320" s="11"/>
      <c r="L1320" s="11"/>
      <c r="M1320" s="11">
        <f t="shared" si="316"/>
        <v>0</v>
      </c>
      <c r="N1320" s="11"/>
      <c r="O1320" s="11">
        <f t="shared" si="317"/>
        <v>0</v>
      </c>
      <c r="P1320" s="11"/>
      <c r="Q1320" s="11"/>
      <c r="R1320" s="11"/>
      <c r="S1320" s="11">
        <f t="shared" si="318"/>
        <v>0</v>
      </c>
      <c r="T1320" s="11">
        <f t="shared" si="319"/>
        <v>1666.6666666666667</v>
      </c>
      <c r="U1320" s="11">
        <f t="shared" si="320"/>
        <v>0</v>
      </c>
      <c r="V1320" s="24">
        <f t="shared" si="321"/>
        <v>0</v>
      </c>
      <c r="W1320" s="11">
        <f>IF(V1320&lt;=40000,0,
IF(V1320&lt;=55000,(V1320-40000)*10%,
IF(V1320&lt;=70000,(V1320-55000)*15%+1500,
IF(V1320&lt;=200000,(V1320-70000)*20%+1500+2250,
IF(V1320&lt;=400000,(V1320-200000)*22.5%+1500+2250+26000,
IF(V1320&lt;=600000,(V1320-400000)*25%+1500+2250+26000+45000,
IF(AND(V1320&gt;600000,V1320&lt;=1200000),(V1320-400000)*25%+1500+2250+26000+45000
+IFERROR(LOOKUP(V1320,{600001;700001;800001;900001},{4000;6750;10250;15250}),0),IF(V1320&gt;1200000,((V1320-1200000)*27.5%)+300000,0)
)))))))</f>
        <v>0</v>
      </c>
      <c r="X1320" s="12">
        <f t="shared" si="322"/>
        <v>0</v>
      </c>
      <c r="Y1320" s="12">
        <f t="shared" si="323"/>
        <v>0</v>
      </c>
      <c r="Z1320" s="11"/>
      <c r="AA1320" s="13">
        <f t="shared" si="324"/>
        <v>0</v>
      </c>
      <c r="AB1320" s="12">
        <f t="shared" si="325"/>
        <v>0</v>
      </c>
      <c r="AC1320" s="14">
        <f t="shared" si="313"/>
        <v>0</v>
      </c>
      <c r="AE1320" s="19">
        <f t="shared" si="326"/>
        <v>0</v>
      </c>
      <c r="AF1320" s="19"/>
      <c r="AG1320" s="17"/>
      <c r="AK1320" s="7"/>
      <c r="AL1320" s="108">
        <f t="shared" si="314"/>
        <v>0</v>
      </c>
      <c r="AM1320" s="108">
        <f t="shared" si="315"/>
        <v>0</v>
      </c>
      <c r="AN1320" s="113"/>
    </row>
    <row r="1321" spans="2:40" x14ac:dyDescent="0.2">
      <c r="B1321" s="7"/>
      <c r="C1321" s="8"/>
      <c r="D1321" s="8"/>
      <c r="E1321" s="9"/>
      <c r="F1321" s="6"/>
      <c r="G1321" s="8"/>
      <c r="H1321" s="32"/>
      <c r="I1321" s="10" t="str">
        <f t="shared" si="312"/>
        <v>21</v>
      </c>
      <c r="J1321" s="11">
        <v>1</v>
      </c>
      <c r="K1321" s="11"/>
      <c r="L1321" s="11"/>
      <c r="M1321" s="11">
        <f t="shared" si="316"/>
        <v>0</v>
      </c>
      <c r="N1321" s="11"/>
      <c r="O1321" s="11">
        <f t="shared" si="317"/>
        <v>0</v>
      </c>
      <c r="P1321" s="11"/>
      <c r="Q1321" s="11"/>
      <c r="R1321" s="11"/>
      <c r="S1321" s="11">
        <f t="shared" si="318"/>
        <v>0</v>
      </c>
      <c r="T1321" s="11">
        <f t="shared" si="319"/>
        <v>1666.6666666666667</v>
      </c>
      <c r="U1321" s="11">
        <f t="shared" si="320"/>
        <v>0</v>
      </c>
      <c r="V1321" s="24">
        <f t="shared" si="321"/>
        <v>0</v>
      </c>
      <c r="W1321" s="11">
        <f>IF(V1321&lt;=40000,0,
IF(V1321&lt;=55000,(V1321-40000)*10%,
IF(V1321&lt;=70000,(V1321-55000)*15%+1500,
IF(V1321&lt;=200000,(V1321-70000)*20%+1500+2250,
IF(V1321&lt;=400000,(V1321-200000)*22.5%+1500+2250+26000,
IF(V1321&lt;=600000,(V1321-400000)*25%+1500+2250+26000+45000,
IF(AND(V1321&gt;600000,V1321&lt;=1200000),(V1321-400000)*25%+1500+2250+26000+45000
+IFERROR(LOOKUP(V1321,{600001;700001;800001;900001},{4000;6750;10250;15250}),0),IF(V1321&gt;1200000,((V1321-1200000)*27.5%)+300000,0)
)))))))</f>
        <v>0</v>
      </c>
      <c r="X1321" s="12">
        <f t="shared" si="322"/>
        <v>0</v>
      </c>
      <c r="Y1321" s="12">
        <f t="shared" si="323"/>
        <v>0</v>
      </c>
      <c r="Z1321" s="11"/>
      <c r="AA1321" s="13">
        <f t="shared" si="324"/>
        <v>0</v>
      </c>
      <c r="AB1321" s="12">
        <f t="shared" si="325"/>
        <v>0</v>
      </c>
      <c r="AC1321" s="14">
        <f t="shared" si="313"/>
        <v>0</v>
      </c>
      <c r="AE1321" s="19">
        <f t="shared" si="326"/>
        <v>0</v>
      </c>
      <c r="AF1321" s="19"/>
      <c r="AG1321" s="17"/>
      <c r="AK1321" s="7"/>
      <c r="AL1321" s="108">
        <f t="shared" si="314"/>
        <v>0</v>
      </c>
      <c r="AM1321" s="108">
        <f t="shared" si="315"/>
        <v>0</v>
      </c>
      <c r="AN1321" s="113"/>
    </row>
    <row r="1322" spans="2:40" x14ac:dyDescent="0.2">
      <c r="B1322" s="7"/>
      <c r="C1322" s="8"/>
      <c r="D1322" s="8"/>
      <c r="E1322" s="9"/>
      <c r="F1322" s="6"/>
      <c r="G1322" s="8"/>
      <c r="H1322" s="32"/>
      <c r="I1322" s="10" t="str">
        <f t="shared" si="312"/>
        <v>21</v>
      </c>
      <c r="J1322" s="11">
        <v>1</v>
      </c>
      <c r="K1322" s="11"/>
      <c r="L1322" s="11"/>
      <c r="M1322" s="11">
        <f t="shared" si="316"/>
        <v>0</v>
      </c>
      <c r="N1322" s="11"/>
      <c r="O1322" s="11">
        <f t="shared" si="317"/>
        <v>0</v>
      </c>
      <c r="P1322" s="11"/>
      <c r="Q1322" s="11"/>
      <c r="R1322" s="11"/>
      <c r="S1322" s="11">
        <f t="shared" si="318"/>
        <v>0</v>
      </c>
      <c r="T1322" s="11">
        <f t="shared" si="319"/>
        <v>1666.6666666666667</v>
      </c>
      <c r="U1322" s="11">
        <f t="shared" si="320"/>
        <v>0</v>
      </c>
      <c r="V1322" s="24">
        <f t="shared" si="321"/>
        <v>0</v>
      </c>
      <c r="W1322" s="11">
        <f>IF(V1322&lt;=40000,0,
IF(V1322&lt;=55000,(V1322-40000)*10%,
IF(V1322&lt;=70000,(V1322-55000)*15%+1500,
IF(V1322&lt;=200000,(V1322-70000)*20%+1500+2250,
IF(V1322&lt;=400000,(V1322-200000)*22.5%+1500+2250+26000,
IF(V1322&lt;=600000,(V1322-400000)*25%+1500+2250+26000+45000,
IF(AND(V1322&gt;600000,V1322&lt;=1200000),(V1322-400000)*25%+1500+2250+26000+45000
+IFERROR(LOOKUP(V1322,{600001;700001;800001;900001},{4000;6750;10250;15250}),0),IF(V1322&gt;1200000,((V1322-1200000)*27.5%)+300000,0)
)))))))</f>
        <v>0</v>
      </c>
      <c r="X1322" s="12">
        <f t="shared" si="322"/>
        <v>0</v>
      </c>
      <c r="Y1322" s="12">
        <f t="shared" si="323"/>
        <v>0</v>
      </c>
      <c r="Z1322" s="11"/>
      <c r="AA1322" s="13">
        <f t="shared" si="324"/>
        <v>0</v>
      </c>
      <c r="AB1322" s="12">
        <f t="shared" si="325"/>
        <v>0</v>
      </c>
      <c r="AC1322" s="14">
        <f t="shared" si="313"/>
        <v>0</v>
      </c>
      <c r="AE1322" s="19">
        <f t="shared" si="326"/>
        <v>0</v>
      </c>
      <c r="AF1322" s="19"/>
      <c r="AG1322" s="17"/>
      <c r="AK1322" s="7"/>
      <c r="AL1322" s="108">
        <f t="shared" si="314"/>
        <v>0</v>
      </c>
      <c r="AM1322" s="108">
        <f t="shared" si="315"/>
        <v>0</v>
      </c>
      <c r="AN1322" s="113"/>
    </row>
    <row r="1323" spans="2:40" x14ac:dyDescent="0.2">
      <c r="B1323" s="7"/>
      <c r="C1323" s="8"/>
      <c r="D1323" s="8"/>
      <c r="E1323" s="9"/>
      <c r="F1323" s="6"/>
      <c r="G1323" s="8"/>
      <c r="H1323" s="32"/>
      <c r="I1323" s="10" t="str">
        <f t="shared" si="312"/>
        <v>21</v>
      </c>
      <c r="J1323" s="11">
        <v>1</v>
      </c>
      <c r="K1323" s="11"/>
      <c r="L1323" s="11"/>
      <c r="M1323" s="11">
        <f t="shared" si="316"/>
        <v>0</v>
      </c>
      <c r="N1323" s="11"/>
      <c r="O1323" s="11">
        <f t="shared" si="317"/>
        <v>0</v>
      </c>
      <c r="P1323" s="11"/>
      <c r="Q1323" s="11"/>
      <c r="R1323" s="11"/>
      <c r="S1323" s="11">
        <f t="shared" si="318"/>
        <v>0</v>
      </c>
      <c r="T1323" s="11">
        <f t="shared" si="319"/>
        <v>1666.6666666666667</v>
      </c>
      <c r="U1323" s="11">
        <f t="shared" si="320"/>
        <v>0</v>
      </c>
      <c r="V1323" s="24">
        <f t="shared" si="321"/>
        <v>0</v>
      </c>
      <c r="W1323" s="11">
        <f>IF(V1323&lt;=40000,0,
IF(V1323&lt;=55000,(V1323-40000)*10%,
IF(V1323&lt;=70000,(V1323-55000)*15%+1500,
IF(V1323&lt;=200000,(V1323-70000)*20%+1500+2250,
IF(V1323&lt;=400000,(V1323-200000)*22.5%+1500+2250+26000,
IF(V1323&lt;=600000,(V1323-400000)*25%+1500+2250+26000+45000,
IF(AND(V1323&gt;600000,V1323&lt;=1200000),(V1323-400000)*25%+1500+2250+26000+45000
+IFERROR(LOOKUP(V1323,{600001;700001;800001;900001},{4000;6750;10250;15250}),0),IF(V1323&gt;1200000,((V1323-1200000)*27.5%)+300000,0)
)))))))</f>
        <v>0</v>
      </c>
      <c r="X1323" s="12">
        <f t="shared" si="322"/>
        <v>0</v>
      </c>
      <c r="Y1323" s="12">
        <f t="shared" si="323"/>
        <v>0</v>
      </c>
      <c r="Z1323" s="11"/>
      <c r="AA1323" s="13">
        <f t="shared" si="324"/>
        <v>0</v>
      </c>
      <c r="AB1323" s="12">
        <f t="shared" si="325"/>
        <v>0</v>
      </c>
      <c r="AC1323" s="14">
        <f t="shared" si="313"/>
        <v>0</v>
      </c>
      <c r="AE1323" s="19">
        <f t="shared" si="326"/>
        <v>0</v>
      </c>
      <c r="AF1323" s="19"/>
      <c r="AG1323" s="17"/>
      <c r="AK1323" s="7"/>
      <c r="AL1323" s="108">
        <f t="shared" si="314"/>
        <v>0</v>
      </c>
      <c r="AM1323" s="108">
        <f t="shared" si="315"/>
        <v>0</v>
      </c>
      <c r="AN1323" s="113"/>
    </row>
    <row r="1324" spans="2:40" x14ac:dyDescent="0.2">
      <c r="B1324" s="7"/>
      <c r="C1324" s="8"/>
      <c r="D1324" s="8"/>
      <c r="E1324" s="9"/>
      <c r="F1324" s="6"/>
      <c r="G1324" s="8"/>
      <c r="H1324" s="32"/>
      <c r="I1324" s="10" t="str">
        <f t="shared" si="312"/>
        <v>21</v>
      </c>
      <c r="J1324" s="11">
        <v>1</v>
      </c>
      <c r="K1324" s="11"/>
      <c r="L1324" s="11"/>
      <c r="M1324" s="11">
        <f t="shared" si="316"/>
        <v>0</v>
      </c>
      <c r="N1324" s="11"/>
      <c r="O1324" s="11">
        <f t="shared" si="317"/>
        <v>0</v>
      </c>
      <c r="P1324" s="11"/>
      <c r="Q1324" s="11"/>
      <c r="R1324" s="11"/>
      <c r="S1324" s="11">
        <f t="shared" si="318"/>
        <v>0</v>
      </c>
      <c r="T1324" s="11">
        <f t="shared" si="319"/>
        <v>1666.6666666666667</v>
      </c>
      <c r="U1324" s="11">
        <f t="shared" si="320"/>
        <v>0</v>
      </c>
      <c r="V1324" s="24">
        <f t="shared" si="321"/>
        <v>0</v>
      </c>
      <c r="W1324" s="11">
        <f>IF(V1324&lt;=40000,0,
IF(V1324&lt;=55000,(V1324-40000)*10%,
IF(V1324&lt;=70000,(V1324-55000)*15%+1500,
IF(V1324&lt;=200000,(V1324-70000)*20%+1500+2250,
IF(V1324&lt;=400000,(V1324-200000)*22.5%+1500+2250+26000,
IF(V1324&lt;=600000,(V1324-400000)*25%+1500+2250+26000+45000,
IF(AND(V1324&gt;600000,V1324&lt;=1200000),(V1324-400000)*25%+1500+2250+26000+45000
+IFERROR(LOOKUP(V1324,{600001;700001;800001;900001},{4000;6750;10250;15250}),0),IF(V1324&gt;1200000,((V1324-1200000)*27.5%)+300000,0)
)))))))</f>
        <v>0</v>
      </c>
      <c r="X1324" s="12">
        <f t="shared" si="322"/>
        <v>0</v>
      </c>
      <c r="Y1324" s="12">
        <f t="shared" si="323"/>
        <v>0</v>
      </c>
      <c r="Z1324" s="11"/>
      <c r="AA1324" s="13">
        <f t="shared" si="324"/>
        <v>0</v>
      </c>
      <c r="AB1324" s="12">
        <f t="shared" si="325"/>
        <v>0</v>
      </c>
      <c r="AC1324" s="14">
        <f t="shared" si="313"/>
        <v>0</v>
      </c>
      <c r="AE1324" s="19">
        <f t="shared" si="326"/>
        <v>0</v>
      </c>
      <c r="AF1324" s="19"/>
      <c r="AG1324" s="17"/>
      <c r="AK1324" s="7"/>
      <c r="AL1324" s="108">
        <f t="shared" si="314"/>
        <v>0</v>
      </c>
      <c r="AM1324" s="108">
        <f t="shared" si="315"/>
        <v>0</v>
      </c>
      <c r="AN1324" s="113"/>
    </row>
    <row r="1325" spans="2:40" x14ac:dyDescent="0.2">
      <c r="B1325" s="7"/>
      <c r="C1325" s="8"/>
      <c r="D1325" s="8"/>
      <c r="E1325" s="9"/>
      <c r="F1325" s="6"/>
      <c r="G1325" s="8"/>
      <c r="H1325" s="32"/>
      <c r="I1325" s="10" t="str">
        <f t="shared" si="312"/>
        <v>21</v>
      </c>
      <c r="J1325" s="11">
        <v>1</v>
      </c>
      <c r="K1325" s="11"/>
      <c r="L1325" s="11"/>
      <c r="M1325" s="11">
        <f t="shared" si="316"/>
        <v>0</v>
      </c>
      <c r="N1325" s="11"/>
      <c r="O1325" s="11">
        <f t="shared" si="317"/>
        <v>0</v>
      </c>
      <c r="P1325" s="11"/>
      <c r="Q1325" s="11"/>
      <c r="R1325" s="11"/>
      <c r="S1325" s="11">
        <f t="shared" si="318"/>
        <v>0</v>
      </c>
      <c r="T1325" s="11">
        <f t="shared" si="319"/>
        <v>1666.6666666666667</v>
      </c>
      <c r="U1325" s="11">
        <f t="shared" si="320"/>
        <v>0</v>
      </c>
      <c r="V1325" s="24">
        <f t="shared" si="321"/>
        <v>0</v>
      </c>
      <c r="W1325" s="11">
        <f>IF(V1325&lt;=40000,0,
IF(V1325&lt;=55000,(V1325-40000)*10%,
IF(V1325&lt;=70000,(V1325-55000)*15%+1500,
IF(V1325&lt;=200000,(V1325-70000)*20%+1500+2250,
IF(V1325&lt;=400000,(V1325-200000)*22.5%+1500+2250+26000,
IF(V1325&lt;=600000,(V1325-400000)*25%+1500+2250+26000+45000,
IF(AND(V1325&gt;600000,V1325&lt;=1200000),(V1325-400000)*25%+1500+2250+26000+45000
+IFERROR(LOOKUP(V1325,{600001;700001;800001;900001},{4000;6750;10250;15250}),0),IF(V1325&gt;1200000,((V1325-1200000)*27.5%)+300000,0)
)))))))</f>
        <v>0</v>
      </c>
      <c r="X1325" s="12">
        <f t="shared" si="322"/>
        <v>0</v>
      </c>
      <c r="Y1325" s="12">
        <f t="shared" si="323"/>
        <v>0</v>
      </c>
      <c r="Z1325" s="11"/>
      <c r="AA1325" s="13">
        <f t="shared" si="324"/>
        <v>0</v>
      </c>
      <c r="AB1325" s="12">
        <f t="shared" si="325"/>
        <v>0</v>
      </c>
      <c r="AC1325" s="14">
        <f t="shared" si="313"/>
        <v>0</v>
      </c>
      <c r="AE1325" s="19">
        <f t="shared" si="326"/>
        <v>0</v>
      </c>
      <c r="AF1325" s="19"/>
      <c r="AG1325" s="17"/>
      <c r="AK1325" s="7"/>
      <c r="AL1325" s="108">
        <f t="shared" si="314"/>
        <v>0</v>
      </c>
      <c r="AM1325" s="108">
        <f t="shared" si="315"/>
        <v>0</v>
      </c>
      <c r="AN1325" s="113"/>
    </row>
    <row r="1326" spans="2:40" x14ac:dyDescent="0.2">
      <c r="B1326" s="7"/>
      <c r="C1326" s="8"/>
      <c r="D1326" s="8"/>
      <c r="E1326" s="9"/>
      <c r="F1326" s="6"/>
      <c r="G1326" s="8"/>
      <c r="H1326" s="32"/>
      <c r="I1326" s="10" t="str">
        <f t="shared" si="312"/>
        <v>21</v>
      </c>
      <c r="J1326" s="11">
        <v>1</v>
      </c>
      <c r="K1326" s="11"/>
      <c r="L1326" s="11"/>
      <c r="M1326" s="11">
        <f t="shared" si="316"/>
        <v>0</v>
      </c>
      <c r="N1326" s="11"/>
      <c r="O1326" s="11">
        <f t="shared" si="317"/>
        <v>0</v>
      </c>
      <c r="P1326" s="11"/>
      <c r="Q1326" s="11"/>
      <c r="R1326" s="11"/>
      <c r="S1326" s="11">
        <f t="shared" si="318"/>
        <v>0</v>
      </c>
      <c r="T1326" s="11">
        <f t="shared" si="319"/>
        <v>1666.6666666666667</v>
      </c>
      <c r="U1326" s="11">
        <f t="shared" si="320"/>
        <v>0</v>
      </c>
      <c r="V1326" s="24">
        <f t="shared" si="321"/>
        <v>0</v>
      </c>
      <c r="W1326" s="11">
        <f>IF(V1326&lt;=40000,0,
IF(V1326&lt;=55000,(V1326-40000)*10%,
IF(V1326&lt;=70000,(V1326-55000)*15%+1500,
IF(V1326&lt;=200000,(V1326-70000)*20%+1500+2250,
IF(V1326&lt;=400000,(V1326-200000)*22.5%+1500+2250+26000,
IF(V1326&lt;=600000,(V1326-400000)*25%+1500+2250+26000+45000,
IF(AND(V1326&gt;600000,V1326&lt;=1200000),(V1326-400000)*25%+1500+2250+26000+45000
+IFERROR(LOOKUP(V1326,{600001;700001;800001;900001},{4000;6750;10250;15250}),0),IF(V1326&gt;1200000,((V1326-1200000)*27.5%)+300000,0)
)))))))</f>
        <v>0</v>
      </c>
      <c r="X1326" s="12">
        <f t="shared" si="322"/>
        <v>0</v>
      </c>
      <c r="Y1326" s="12">
        <f t="shared" si="323"/>
        <v>0</v>
      </c>
      <c r="Z1326" s="11"/>
      <c r="AA1326" s="13">
        <f t="shared" si="324"/>
        <v>0</v>
      </c>
      <c r="AB1326" s="12">
        <f t="shared" si="325"/>
        <v>0</v>
      </c>
      <c r="AC1326" s="14">
        <f t="shared" si="313"/>
        <v>0</v>
      </c>
      <c r="AE1326" s="19">
        <f t="shared" si="326"/>
        <v>0</v>
      </c>
      <c r="AF1326" s="19"/>
      <c r="AG1326" s="17"/>
      <c r="AK1326" s="7"/>
      <c r="AL1326" s="108">
        <f t="shared" si="314"/>
        <v>0</v>
      </c>
      <c r="AM1326" s="108">
        <f t="shared" si="315"/>
        <v>0</v>
      </c>
      <c r="AN1326" s="113"/>
    </row>
    <row r="1327" spans="2:40" x14ac:dyDescent="0.2">
      <c r="B1327" s="7"/>
      <c r="C1327" s="8"/>
      <c r="D1327" s="8"/>
      <c r="E1327" s="9"/>
      <c r="F1327" s="6"/>
      <c r="G1327" s="8"/>
      <c r="H1327" s="32"/>
      <c r="I1327" s="10" t="str">
        <f t="shared" si="312"/>
        <v>21</v>
      </c>
      <c r="J1327" s="11">
        <v>1</v>
      </c>
      <c r="K1327" s="11"/>
      <c r="L1327" s="11"/>
      <c r="M1327" s="11">
        <f t="shared" si="316"/>
        <v>0</v>
      </c>
      <c r="N1327" s="11"/>
      <c r="O1327" s="11">
        <f t="shared" si="317"/>
        <v>0</v>
      </c>
      <c r="P1327" s="11"/>
      <c r="Q1327" s="11"/>
      <c r="R1327" s="11"/>
      <c r="S1327" s="11">
        <f t="shared" si="318"/>
        <v>0</v>
      </c>
      <c r="T1327" s="11">
        <f t="shared" si="319"/>
        <v>1666.6666666666667</v>
      </c>
      <c r="U1327" s="11">
        <f t="shared" si="320"/>
        <v>0</v>
      </c>
      <c r="V1327" s="24">
        <f t="shared" si="321"/>
        <v>0</v>
      </c>
      <c r="W1327" s="11">
        <f>IF(V1327&lt;=40000,0,
IF(V1327&lt;=55000,(V1327-40000)*10%,
IF(V1327&lt;=70000,(V1327-55000)*15%+1500,
IF(V1327&lt;=200000,(V1327-70000)*20%+1500+2250,
IF(V1327&lt;=400000,(V1327-200000)*22.5%+1500+2250+26000,
IF(V1327&lt;=600000,(V1327-400000)*25%+1500+2250+26000+45000,
IF(AND(V1327&gt;600000,V1327&lt;=1200000),(V1327-400000)*25%+1500+2250+26000+45000
+IFERROR(LOOKUP(V1327,{600001;700001;800001;900001},{4000;6750;10250;15250}),0),IF(V1327&gt;1200000,((V1327-1200000)*27.5%)+300000,0)
)))))))</f>
        <v>0</v>
      </c>
      <c r="X1327" s="12">
        <f t="shared" si="322"/>
        <v>0</v>
      </c>
      <c r="Y1327" s="12">
        <f t="shared" si="323"/>
        <v>0</v>
      </c>
      <c r="Z1327" s="11"/>
      <c r="AA1327" s="13">
        <f t="shared" si="324"/>
        <v>0</v>
      </c>
      <c r="AB1327" s="12">
        <f t="shared" si="325"/>
        <v>0</v>
      </c>
      <c r="AC1327" s="14">
        <f t="shared" si="313"/>
        <v>0</v>
      </c>
      <c r="AE1327" s="19">
        <f t="shared" si="326"/>
        <v>0</v>
      </c>
      <c r="AF1327" s="19"/>
      <c r="AG1327" s="17"/>
      <c r="AK1327" s="7"/>
      <c r="AL1327" s="108">
        <f t="shared" si="314"/>
        <v>0</v>
      </c>
      <c r="AM1327" s="108">
        <f t="shared" si="315"/>
        <v>0</v>
      </c>
      <c r="AN1327" s="113"/>
    </row>
    <row r="1328" spans="2:40" x14ac:dyDescent="0.2">
      <c r="B1328" s="7"/>
      <c r="C1328" s="8"/>
      <c r="D1328" s="8"/>
      <c r="E1328" s="9"/>
      <c r="F1328" s="6"/>
      <c r="G1328" s="8"/>
      <c r="H1328" s="32"/>
      <c r="I1328" s="10" t="str">
        <f t="shared" si="312"/>
        <v>21</v>
      </c>
      <c r="J1328" s="11">
        <v>1</v>
      </c>
      <c r="K1328" s="11"/>
      <c r="L1328" s="11"/>
      <c r="M1328" s="11">
        <f t="shared" si="316"/>
        <v>0</v>
      </c>
      <c r="N1328" s="11"/>
      <c r="O1328" s="11">
        <f t="shared" si="317"/>
        <v>0</v>
      </c>
      <c r="P1328" s="11"/>
      <c r="Q1328" s="11"/>
      <c r="R1328" s="11"/>
      <c r="S1328" s="11">
        <f t="shared" si="318"/>
        <v>0</v>
      </c>
      <c r="T1328" s="11">
        <f t="shared" si="319"/>
        <v>1666.6666666666667</v>
      </c>
      <c r="U1328" s="11">
        <f t="shared" si="320"/>
        <v>0</v>
      </c>
      <c r="V1328" s="24">
        <f t="shared" si="321"/>
        <v>0</v>
      </c>
      <c r="W1328" s="11">
        <f>IF(V1328&lt;=40000,0,
IF(V1328&lt;=55000,(V1328-40000)*10%,
IF(V1328&lt;=70000,(V1328-55000)*15%+1500,
IF(V1328&lt;=200000,(V1328-70000)*20%+1500+2250,
IF(V1328&lt;=400000,(V1328-200000)*22.5%+1500+2250+26000,
IF(V1328&lt;=600000,(V1328-400000)*25%+1500+2250+26000+45000,
IF(AND(V1328&gt;600000,V1328&lt;=1200000),(V1328-400000)*25%+1500+2250+26000+45000
+IFERROR(LOOKUP(V1328,{600001;700001;800001;900001},{4000;6750;10250;15250}),0),IF(V1328&gt;1200000,((V1328-1200000)*27.5%)+300000,0)
)))))))</f>
        <v>0</v>
      </c>
      <c r="X1328" s="12">
        <f t="shared" si="322"/>
        <v>0</v>
      </c>
      <c r="Y1328" s="12">
        <f t="shared" si="323"/>
        <v>0</v>
      </c>
      <c r="Z1328" s="11"/>
      <c r="AA1328" s="13">
        <f t="shared" si="324"/>
        <v>0</v>
      </c>
      <c r="AB1328" s="12">
        <f t="shared" si="325"/>
        <v>0</v>
      </c>
      <c r="AC1328" s="14">
        <f t="shared" si="313"/>
        <v>0</v>
      </c>
      <c r="AE1328" s="19">
        <f t="shared" si="326"/>
        <v>0</v>
      </c>
      <c r="AF1328" s="19"/>
      <c r="AG1328" s="17"/>
      <c r="AK1328" s="7"/>
      <c r="AL1328" s="108">
        <f t="shared" si="314"/>
        <v>0</v>
      </c>
      <c r="AM1328" s="108">
        <f t="shared" si="315"/>
        <v>0</v>
      </c>
      <c r="AN1328" s="113"/>
    </row>
    <row r="1329" spans="2:40" x14ac:dyDescent="0.2">
      <c r="B1329" s="7"/>
      <c r="C1329" s="8"/>
      <c r="D1329" s="8"/>
      <c r="E1329" s="9"/>
      <c r="F1329" s="6"/>
      <c r="G1329" s="8"/>
      <c r="H1329" s="32"/>
      <c r="I1329" s="10" t="str">
        <f t="shared" si="312"/>
        <v>21</v>
      </c>
      <c r="J1329" s="11">
        <v>1</v>
      </c>
      <c r="K1329" s="11"/>
      <c r="L1329" s="11"/>
      <c r="M1329" s="11">
        <f t="shared" si="316"/>
        <v>0</v>
      </c>
      <c r="N1329" s="11"/>
      <c r="O1329" s="11">
        <f t="shared" si="317"/>
        <v>0</v>
      </c>
      <c r="P1329" s="11"/>
      <c r="Q1329" s="11"/>
      <c r="R1329" s="11"/>
      <c r="S1329" s="11">
        <f t="shared" si="318"/>
        <v>0</v>
      </c>
      <c r="T1329" s="11">
        <f t="shared" si="319"/>
        <v>1666.6666666666667</v>
      </c>
      <c r="U1329" s="11">
        <f t="shared" si="320"/>
        <v>0</v>
      </c>
      <c r="V1329" s="24">
        <f t="shared" si="321"/>
        <v>0</v>
      </c>
      <c r="W1329" s="11">
        <f>IF(V1329&lt;=40000,0,
IF(V1329&lt;=55000,(V1329-40000)*10%,
IF(V1329&lt;=70000,(V1329-55000)*15%+1500,
IF(V1329&lt;=200000,(V1329-70000)*20%+1500+2250,
IF(V1329&lt;=400000,(V1329-200000)*22.5%+1500+2250+26000,
IF(V1329&lt;=600000,(V1329-400000)*25%+1500+2250+26000+45000,
IF(AND(V1329&gt;600000,V1329&lt;=1200000),(V1329-400000)*25%+1500+2250+26000+45000
+IFERROR(LOOKUP(V1329,{600001;700001;800001;900001},{4000;6750;10250;15250}),0),IF(V1329&gt;1200000,((V1329-1200000)*27.5%)+300000,0)
)))))))</f>
        <v>0</v>
      </c>
      <c r="X1329" s="12">
        <f t="shared" si="322"/>
        <v>0</v>
      </c>
      <c r="Y1329" s="12">
        <f t="shared" si="323"/>
        <v>0</v>
      </c>
      <c r="Z1329" s="11"/>
      <c r="AA1329" s="13">
        <f t="shared" si="324"/>
        <v>0</v>
      </c>
      <c r="AB1329" s="12">
        <f t="shared" si="325"/>
        <v>0</v>
      </c>
      <c r="AC1329" s="14">
        <f t="shared" si="313"/>
        <v>0</v>
      </c>
      <c r="AE1329" s="19">
        <f t="shared" si="326"/>
        <v>0</v>
      </c>
      <c r="AF1329" s="19"/>
      <c r="AG1329" s="17"/>
      <c r="AK1329" s="7"/>
      <c r="AL1329" s="108">
        <f t="shared" si="314"/>
        <v>0</v>
      </c>
      <c r="AM1329" s="108">
        <f t="shared" si="315"/>
        <v>0</v>
      </c>
      <c r="AN1329" s="113"/>
    </row>
    <row r="1330" spans="2:40" x14ac:dyDescent="0.2">
      <c r="B1330" s="7"/>
      <c r="C1330" s="8"/>
      <c r="D1330" s="8"/>
      <c r="E1330" s="9"/>
      <c r="F1330" s="6"/>
      <c r="G1330" s="8"/>
      <c r="H1330" s="32"/>
      <c r="I1330" s="10" t="str">
        <f t="shared" si="312"/>
        <v>21</v>
      </c>
      <c r="J1330" s="11">
        <v>1</v>
      </c>
      <c r="K1330" s="11"/>
      <c r="L1330" s="11"/>
      <c r="M1330" s="11">
        <f t="shared" si="316"/>
        <v>0</v>
      </c>
      <c r="N1330" s="11"/>
      <c r="O1330" s="11">
        <f t="shared" si="317"/>
        <v>0</v>
      </c>
      <c r="P1330" s="11"/>
      <c r="Q1330" s="11"/>
      <c r="R1330" s="11"/>
      <c r="S1330" s="11">
        <f t="shared" si="318"/>
        <v>0</v>
      </c>
      <c r="T1330" s="11">
        <f t="shared" si="319"/>
        <v>1666.6666666666667</v>
      </c>
      <c r="U1330" s="11">
        <f t="shared" si="320"/>
        <v>0</v>
      </c>
      <c r="V1330" s="24">
        <f t="shared" si="321"/>
        <v>0</v>
      </c>
      <c r="W1330" s="11">
        <f>IF(V1330&lt;=40000,0,
IF(V1330&lt;=55000,(V1330-40000)*10%,
IF(V1330&lt;=70000,(V1330-55000)*15%+1500,
IF(V1330&lt;=200000,(V1330-70000)*20%+1500+2250,
IF(V1330&lt;=400000,(V1330-200000)*22.5%+1500+2250+26000,
IF(V1330&lt;=600000,(V1330-400000)*25%+1500+2250+26000+45000,
IF(AND(V1330&gt;600000,V1330&lt;=1200000),(V1330-400000)*25%+1500+2250+26000+45000
+IFERROR(LOOKUP(V1330,{600001;700001;800001;900001},{4000;6750;10250;15250}),0),IF(V1330&gt;1200000,((V1330-1200000)*27.5%)+300000,0)
)))))))</f>
        <v>0</v>
      </c>
      <c r="X1330" s="12">
        <f t="shared" si="322"/>
        <v>0</v>
      </c>
      <c r="Y1330" s="12">
        <f t="shared" si="323"/>
        <v>0</v>
      </c>
      <c r="Z1330" s="11"/>
      <c r="AA1330" s="13">
        <f t="shared" si="324"/>
        <v>0</v>
      </c>
      <c r="AB1330" s="12">
        <f t="shared" si="325"/>
        <v>0</v>
      </c>
      <c r="AC1330" s="14">
        <f t="shared" si="313"/>
        <v>0</v>
      </c>
      <c r="AE1330" s="19">
        <f t="shared" si="326"/>
        <v>0</v>
      </c>
      <c r="AF1330" s="19"/>
      <c r="AG1330" s="17"/>
      <c r="AK1330" s="7"/>
      <c r="AL1330" s="108">
        <f t="shared" si="314"/>
        <v>0</v>
      </c>
      <c r="AM1330" s="108">
        <f t="shared" si="315"/>
        <v>0</v>
      </c>
      <c r="AN1330" s="113"/>
    </row>
    <row r="1331" spans="2:40" x14ac:dyDescent="0.2">
      <c r="B1331" s="7"/>
      <c r="C1331" s="8"/>
      <c r="D1331" s="8"/>
      <c r="E1331" s="9"/>
      <c r="F1331" s="6"/>
      <c r="G1331" s="8"/>
      <c r="H1331" s="32"/>
      <c r="I1331" s="10" t="str">
        <f t="shared" si="312"/>
        <v>21</v>
      </c>
      <c r="J1331" s="11">
        <v>1</v>
      </c>
      <c r="K1331" s="11"/>
      <c r="L1331" s="11"/>
      <c r="M1331" s="11">
        <f t="shared" si="316"/>
        <v>0</v>
      </c>
      <c r="N1331" s="11"/>
      <c r="O1331" s="11">
        <f t="shared" si="317"/>
        <v>0</v>
      </c>
      <c r="P1331" s="11"/>
      <c r="Q1331" s="11"/>
      <c r="R1331" s="11"/>
      <c r="S1331" s="11">
        <f t="shared" si="318"/>
        <v>0</v>
      </c>
      <c r="T1331" s="11">
        <f t="shared" si="319"/>
        <v>1666.6666666666667</v>
      </c>
      <c r="U1331" s="11">
        <f t="shared" si="320"/>
        <v>0</v>
      </c>
      <c r="V1331" s="24">
        <f t="shared" si="321"/>
        <v>0</v>
      </c>
      <c r="W1331" s="11">
        <f>IF(V1331&lt;=40000,0,
IF(V1331&lt;=55000,(V1331-40000)*10%,
IF(V1331&lt;=70000,(V1331-55000)*15%+1500,
IF(V1331&lt;=200000,(V1331-70000)*20%+1500+2250,
IF(V1331&lt;=400000,(V1331-200000)*22.5%+1500+2250+26000,
IF(V1331&lt;=600000,(V1331-400000)*25%+1500+2250+26000+45000,
IF(AND(V1331&gt;600000,V1331&lt;=1200000),(V1331-400000)*25%+1500+2250+26000+45000
+IFERROR(LOOKUP(V1331,{600001;700001;800001;900001},{4000;6750;10250;15250}),0),IF(V1331&gt;1200000,((V1331-1200000)*27.5%)+300000,0)
)))))))</f>
        <v>0</v>
      </c>
      <c r="X1331" s="12">
        <f t="shared" si="322"/>
        <v>0</v>
      </c>
      <c r="Y1331" s="12">
        <f t="shared" si="323"/>
        <v>0</v>
      </c>
      <c r="Z1331" s="11"/>
      <c r="AA1331" s="13">
        <f t="shared" si="324"/>
        <v>0</v>
      </c>
      <c r="AB1331" s="12">
        <f t="shared" si="325"/>
        <v>0</v>
      </c>
      <c r="AC1331" s="14">
        <f t="shared" si="313"/>
        <v>0</v>
      </c>
      <c r="AE1331" s="19">
        <f t="shared" si="326"/>
        <v>0</v>
      </c>
      <c r="AF1331" s="19"/>
      <c r="AG1331" s="17"/>
      <c r="AK1331" s="7"/>
      <c r="AL1331" s="108">
        <f t="shared" si="314"/>
        <v>0</v>
      </c>
      <c r="AM1331" s="108">
        <f t="shared" si="315"/>
        <v>0</v>
      </c>
      <c r="AN1331" s="113"/>
    </row>
    <row r="1332" spans="2:40" x14ac:dyDescent="0.2">
      <c r="B1332" s="7"/>
      <c r="C1332" s="8"/>
      <c r="D1332" s="8"/>
      <c r="E1332" s="9"/>
      <c r="F1332" s="6"/>
      <c r="G1332" s="8"/>
      <c r="H1332" s="32"/>
      <c r="I1332" s="10" t="str">
        <f t="shared" si="312"/>
        <v>21</v>
      </c>
      <c r="J1332" s="11">
        <v>1</v>
      </c>
      <c r="K1332" s="11"/>
      <c r="L1332" s="11"/>
      <c r="M1332" s="11">
        <f t="shared" si="316"/>
        <v>0</v>
      </c>
      <c r="N1332" s="11"/>
      <c r="O1332" s="11">
        <f t="shared" si="317"/>
        <v>0</v>
      </c>
      <c r="P1332" s="11"/>
      <c r="Q1332" s="11"/>
      <c r="R1332" s="11"/>
      <c r="S1332" s="11">
        <f t="shared" si="318"/>
        <v>0</v>
      </c>
      <c r="T1332" s="11">
        <f t="shared" si="319"/>
        <v>1666.6666666666667</v>
      </c>
      <c r="U1332" s="11">
        <f t="shared" si="320"/>
        <v>0</v>
      </c>
      <c r="V1332" s="24">
        <f t="shared" si="321"/>
        <v>0</v>
      </c>
      <c r="W1332" s="11">
        <f>IF(V1332&lt;=40000,0,
IF(V1332&lt;=55000,(V1332-40000)*10%,
IF(V1332&lt;=70000,(V1332-55000)*15%+1500,
IF(V1332&lt;=200000,(V1332-70000)*20%+1500+2250,
IF(V1332&lt;=400000,(V1332-200000)*22.5%+1500+2250+26000,
IF(V1332&lt;=600000,(V1332-400000)*25%+1500+2250+26000+45000,
IF(AND(V1332&gt;600000,V1332&lt;=1200000),(V1332-400000)*25%+1500+2250+26000+45000
+IFERROR(LOOKUP(V1332,{600001;700001;800001;900001},{4000;6750;10250;15250}),0),IF(V1332&gt;1200000,((V1332-1200000)*27.5%)+300000,0)
)))))))</f>
        <v>0</v>
      </c>
      <c r="X1332" s="12">
        <f t="shared" si="322"/>
        <v>0</v>
      </c>
      <c r="Y1332" s="12">
        <f t="shared" si="323"/>
        <v>0</v>
      </c>
      <c r="Z1332" s="11"/>
      <c r="AA1332" s="13">
        <f t="shared" si="324"/>
        <v>0</v>
      </c>
      <c r="AB1332" s="12">
        <f t="shared" si="325"/>
        <v>0</v>
      </c>
      <c r="AC1332" s="14">
        <f t="shared" si="313"/>
        <v>0</v>
      </c>
      <c r="AE1332" s="19">
        <f t="shared" si="326"/>
        <v>0</v>
      </c>
      <c r="AF1332" s="19"/>
      <c r="AG1332" s="17"/>
      <c r="AK1332" s="7"/>
      <c r="AL1332" s="108">
        <f t="shared" si="314"/>
        <v>0</v>
      </c>
      <c r="AM1332" s="108">
        <f t="shared" si="315"/>
        <v>0</v>
      </c>
      <c r="AN1332" s="113"/>
    </row>
    <row r="1333" spans="2:40" x14ac:dyDescent="0.2">
      <c r="B1333" s="7"/>
      <c r="C1333" s="8"/>
      <c r="D1333" s="8"/>
      <c r="E1333" s="9"/>
      <c r="F1333" s="6"/>
      <c r="G1333" s="8"/>
      <c r="H1333" s="32"/>
      <c r="I1333" s="10" t="str">
        <f t="shared" si="312"/>
        <v>21</v>
      </c>
      <c r="J1333" s="11">
        <v>1</v>
      </c>
      <c r="K1333" s="11"/>
      <c r="L1333" s="11"/>
      <c r="M1333" s="11">
        <f t="shared" si="316"/>
        <v>0</v>
      </c>
      <c r="N1333" s="11"/>
      <c r="O1333" s="11">
        <f t="shared" si="317"/>
        <v>0</v>
      </c>
      <c r="P1333" s="11"/>
      <c r="Q1333" s="11"/>
      <c r="R1333" s="11"/>
      <c r="S1333" s="11">
        <f t="shared" si="318"/>
        <v>0</v>
      </c>
      <c r="T1333" s="11">
        <f t="shared" si="319"/>
        <v>1666.6666666666667</v>
      </c>
      <c r="U1333" s="11">
        <f t="shared" si="320"/>
        <v>0</v>
      </c>
      <c r="V1333" s="24">
        <f t="shared" si="321"/>
        <v>0</v>
      </c>
      <c r="W1333" s="11">
        <f>IF(V1333&lt;=40000,0,
IF(V1333&lt;=55000,(V1333-40000)*10%,
IF(V1333&lt;=70000,(V1333-55000)*15%+1500,
IF(V1333&lt;=200000,(V1333-70000)*20%+1500+2250,
IF(V1333&lt;=400000,(V1333-200000)*22.5%+1500+2250+26000,
IF(V1333&lt;=600000,(V1333-400000)*25%+1500+2250+26000+45000,
IF(AND(V1333&gt;600000,V1333&lt;=1200000),(V1333-400000)*25%+1500+2250+26000+45000
+IFERROR(LOOKUP(V1333,{600001;700001;800001;900001},{4000;6750;10250;15250}),0),IF(V1333&gt;1200000,((V1333-1200000)*27.5%)+300000,0)
)))))))</f>
        <v>0</v>
      </c>
      <c r="X1333" s="12">
        <f t="shared" si="322"/>
        <v>0</v>
      </c>
      <c r="Y1333" s="12">
        <f t="shared" si="323"/>
        <v>0</v>
      </c>
      <c r="Z1333" s="11"/>
      <c r="AA1333" s="13">
        <f t="shared" si="324"/>
        <v>0</v>
      </c>
      <c r="AB1333" s="12">
        <f t="shared" si="325"/>
        <v>0</v>
      </c>
      <c r="AC1333" s="14">
        <f t="shared" si="313"/>
        <v>0</v>
      </c>
      <c r="AE1333" s="19">
        <f t="shared" si="326"/>
        <v>0</v>
      </c>
      <c r="AF1333" s="19"/>
      <c r="AG1333" s="17"/>
      <c r="AK1333" s="7"/>
      <c r="AL1333" s="108">
        <f t="shared" si="314"/>
        <v>0</v>
      </c>
      <c r="AM1333" s="108">
        <f t="shared" si="315"/>
        <v>0</v>
      </c>
      <c r="AN1333" s="113"/>
    </row>
    <row r="1334" spans="2:40" x14ac:dyDescent="0.2">
      <c r="B1334" s="7"/>
      <c r="C1334" s="8"/>
      <c r="D1334" s="8"/>
      <c r="E1334" s="9"/>
      <c r="F1334" s="6"/>
      <c r="G1334" s="8"/>
      <c r="H1334" s="32"/>
      <c r="I1334" s="10" t="str">
        <f t="shared" si="312"/>
        <v>21</v>
      </c>
      <c r="J1334" s="11">
        <v>1</v>
      </c>
      <c r="K1334" s="11"/>
      <c r="L1334" s="11"/>
      <c r="M1334" s="11">
        <f t="shared" si="316"/>
        <v>0</v>
      </c>
      <c r="N1334" s="11"/>
      <c r="O1334" s="11">
        <f t="shared" si="317"/>
        <v>0</v>
      </c>
      <c r="P1334" s="11"/>
      <c r="Q1334" s="11"/>
      <c r="R1334" s="11"/>
      <c r="S1334" s="11">
        <f t="shared" si="318"/>
        <v>0</v>
      </c>
      <c r="T1334" s="11">
        <f t="shared" si="319"/>
        <v>1666.6666666666667</v>
      </c>
      <c r="U1334" s="11">
        <f t="shared" si="320"/>
        <v>0</v>
      </c>
      <c r="V1334" s="24">
        <f t="shared" si="321"/>
        <v>0</v>
      </c>
      <c r="W1334" s="11">
        <f>IF(V1334&lt;=40000,0,
IF(V1334&lt;=55000,(V1334-40000)*10%,
IF(V1334&lt;=70000,(V1334-55000)*15%+1500,
IF(V1334&lt;=200000,(V1334-70000)*20%+1500+2250,
IF(V1334&lt;=400000,(V1334-200000)*22.5%+1500+2250+26000,
IF(V1334&lt;=600000,(V1334-400000)*25%+1500+2250+26000+45000,
IF(AND(V1334&gt;600000,V1334&lt;=1200000),(V1334-400000)*25%+1500+2250+26000+45000
+IFERROR(LOOKUP(V1334,{600001;700001;800001;900001},{4000;6750;10250;15250}),0),IF(V1334&gt;1200000,((V1334-1200000)*27.5%)+300000,0)
)))))))</f>
        <v>0</v>
      </c>
      <c r="X1334" s="12">
        <f t="shared" si="322"/>
        <v>0</v>
      </c>
      <c r="Y1334" s="12">
        <f t="shared" si="323"/>
        <v>0</v>
      </c>
      <c r="Z1334" s="11"/>
      <c r="AA1334" s="13">
        <f t="shared" si="324"/>
        <v>0</v>
      </c>
      <c r="AB1334" s="12">
        <f t="shared" si="325"/>
        <v>0</v>
      </c>
      <c r="AC1334" s="14">
        <f t="shared" si="313"/>
        <v>0</v>
      </c>
      <c r="AE1334" s="19">
        <f t="shared" si="326"/>
        <v>0</v>
      </c>
      <c r="AF1334" s="19"/>
      <c r="AG1334" s="17"/>
      <c r="AK1334" s="7"/>
      <c r="AL1334" s="108">
        <f t="shared" si="314"/>
        <v>0</v>
      </c>
      <c r="AM1334" s="108">
        <f t="shared" si="315"/>
        <v>0</v>
      </c>
      <c r="AN1334" s="113"/>
    </row>
    <row r="1335" spans="2:40" x14ac:dyDescent="0.2">
      <c r="B1335" s="7"/>
      <c r="C1335" s="8"/>
      <c r="D1335" s="8"/>
      <c r="E1335" s="9"/>
      <c r="F1335" s="6"/>
      <c r="G1335" s="8"/>
      <c r="H1335" s="32"/>
      <c r="I1335" s="10" t="str">
        <f t="shared" si="312"/>
        <v>21</v>
      </c>
      <c r="J1335" s="11">
        <v>1</v>
      </c>
      <c r="K1335" s="11"/>
      <c r="L1335" s="11"/>
      <c r="M1335" s="11">
        <f t="shared" si="316"/>
        <v>0</v>
      </c>
      <c r="N1335" s="11"/>
      <c r="O1335" s="11">
        <f t="shared" si="317"/>
        <v>0</v>
      </c>
      <c r="P1335" s="11"/>
      <c r="Q1335" s="11"/>
      <c r="R1335" s="11"/>
      <c r="S1335" s="11">
        <f t="shared" si="318"/>
        <v>0</v>
      </c>
      <c r="T1335" s="11">
        <f t="shared" si="319"/>
        <v>1666.6666666666667</v>
      </c>
      <c r="U1335" s="11">
        <f t="shared" si="320"/>
        <v>0</v>
      </c>
      <c r="V1335" s="24">
        <f t="shared" si="321"/>
        <v>0</v>
      </c>
      <c r="W1335" s="11">
        <f>IF(V1335&lt;=40000,0,
IF(V1335&lt;=55000,(V1335-40000)*10%,
IF(V1335&lt;=70000,(V1335-55000)*15%+1500,
IF(V1335&lt;=200000,(V1335-70000)*20%+1500+2250,
IF(V1335&lt;=400000,(V1335-200000)*22.5%+1500+2250+26000,
IF(V1335&lt;=600000,(V1335-400000)*25%+1500+2250+26000+45000,
IF(AND(V1335&gt;600000,V1335&lt;=1200000),(V1335-400000)*25%+1500+2250+26000+45000
+IFERROR(LOOKUP(V1335,{600001;700001;800001;900001},{4000;6750;10250;15250}),0),IF(V1335&gt;1200000,((V1335-1200000)*27.5%)+300000,0)
)))))))</f>
        <v>0</v>
      </c>
      <c r="X1335" s="12">
        <f t="shared" si="322"/>
        <v>0</v>
      </c>
      <c r="Y1335" s="12">
        <f t="shared" si="323"/>
        <v>0</v>
      </c>
      <c r="Z1335" s="11"/>
      <c r="AA1335" s="13">
        <f t="shared" si="324"/>
        <v>0</v>
      </c>
      <c r="AB1335" s="12">
        <f t="shared" si="325"/>
        <v>0</v>
      </c>
      <c r="AC1335" s="14">
        <f t="shared" si="313"/>
        <v>0</v>
      </c>
      <c r="AE1335" s="19">
        <f t="shared" si="326"/>
        <v>0</v>
      </c>
      <c r="AF1335" s="19"/>
      <c r="AG1335" s="17"/>
      <c r="AK1335" s="7"/>
      <c r="AL1335" s="108">
        <f t="shared" si="314"/>
        <v>0</v>
      </c>
      <c r="AM1335" s="108">
        <f t="shared" si="315"/>
        <v>0</v>
      </c>
      <c r="AN1335" s="113"/>
    </row>
    <row r="1336" spans="2:40" x14ac:dyDescent="0.2">
      <c r="B1336" s="7"/>
      <c r="C1336" s="8"/>
      <c r="D1336" s="8"/>
      <c r="E1336" s="9"/>
      <c r="F1336" s="6"/>
      <c r="G1336" s="8"/>
      <c r="H1336" s="32"/>
      <c r="I1336" s="10" t="str">
        <f t="shared" si="312"/>
        <v>21</v>
      </c>
      <c r="J1336" s="11">
        <v>1</v>
      </c>
      <c r="K1336" s="11"/>
      <c r="L1336" s="11"/>
      <c r="M1336" s="11">
        <f t="shared" si="316"/>
        <v>0</v>
      </c>
      <c r="N1336" s="11"/>
      <c r="O1336" s="11">
        <f t="shared" si="317"/>
        <v>0</v>
      </c>
      <c r="P1336" s="11"/>
      <c r="Q1336" s="11"/>
      <c r="R1336" s="11"/>
      <c r="S1336" s="11">
        <f t="shared" si="318"/>
        <v>0</v>
      </c>
      <c r="T1336" s="11">
        <f t="shared" si="319"/>
        <v>1666.6666666666667</v>
      </c>
      <c r="U1336" s="11">
        <f t="shared" si="320"/>
        <v>0</v>
      </c>
      <c r="V1336" s="24">
        <f t="shared" si="321"/>
        <v>0</v>
      </c>
      <c r="W1336" s="11">
        <f>IF(V1336&lt;=40000,0,
IF(V1336&lt;=55000,(V1336-40000)*10%,
IF(V1336&lt;=70000,(V1336-55000)*15%+1500,
IF(V1336&lt;=200000,(V1336-70000)*20%+1500+2250,
IF(V1336&lt;=400000,(V1336-200000)*22.5%+1500+2250+26000,
IF(V1336&lt;=600000,(V1336-400000)*25%+1500+2250+26000+45000,
IF(AND(V1336&gt;600000,V1336&lt;=1200000),(V1336-400000)*25%+1500+2250+26000+45000
+IFERROR(LOOKUP(V1336,{600001;700001;800001;900001},{4000;6750;10250;15250}),0),IF(V1336&gt;1200000,((V1336-1200000)*27.5%)+300000,0)
)))))))</f>
        <v>0</v>
      </c>
      <c r="X1336" s="12">
        <f t="shared" si="322"/>
        <v>0</v>
      </c>
      <c r="Y1336" s="12">
        <f t="shared" si="323"/>
        <v>0</v>
      </c>
      <c r="Z1336" s="11"/>
      <c r="AA1336" s="13">
        <f t="shared" si="324"/>
        <v>0</v>
      </c>
      <c r="AB1336" s="12">
        <f t="shared" si="325"/>
        <v>0</v>
      </c>
      <c r="AC1336" s="14">
        <f t="shared" si="313"/>
        <v>0</v>
      </c>
      <c r="AE1336" s="19">
        <f t="shared" si="326"/>
        <v>0</v>
      </c>
      <c r="AF1336" s="19"/>
      <c r="AG1336" s="17"/>
      <c r="AK1336" s="7"/>
      <c r="AL1336" s="108">
        <f t="shared" si="314"/>
        <v>0</v>
      </c>
      <c r="AM1336" s="108">
        <f t="shared" si="315"/>
        <v>0</v>
      </c>
      <c r="AN1336" s="113"/>
    </row>
    <row r="1337" spans="2:40" x14ac:dyDescent="0.2">
      <c r="B1337" s="7"/>
      <c r="C1337" s="8"/>
      <c r="D1337" s="8"/>
      <c r="E1337" s="9"/>
      <c r="F1337" s="6"/>
      <c r="G1337" s="8"/>
      <c r="H1337" s="32"/>
      <c r="I1337" s="10" t="str">
        <f t="shared" si="312"/>
        <v>21</v>
      </c>
      <c r="J1337" s="11">
        <v>1</v>
      </c>
      <c r="K1337" s="11"/>
      <c r="L1337" s="11"/>
      <c r="M1337" s="11">
        <f t="shared" si="316"/>
        <v>0</v>
      </c>
      <c r="N1337" s="11"/>
      <c r="O1337" s="11">
        <f t="shared" si="317"/>
        <v>0</v>
      </c>
      <c r="P1337" s="11"/>
      <c r="Q1337" s="11"/>
      <c r="R1337" s="11"/>
      <c r="S1337" s="11">
        <f t="shared" si="318"/>
        <v>0</v>
      </c>
      <c r="T1337" s="11">
        <f t="shared" si="319"/>
        <v>1666.6666666666667</v>
      </c>
      <c r="U1337" s="11">
        <f t="shared" si="320"/>
        <v>0</v>
      </c>
      <c r="V1337" s="24">
        <f t="shared" si="321"/>
        <v>0</v>
      </c>
      <c r="W1337" s="11">
        <f>IF(V1337&lt;=40000,0,
IF(V1337&lt;=55000,(V1337-40000)*10%,
IF(V1337&lt;=70000,(V1337-55000)*15%+1500,
IF(V1337&lt;=200000,(V1337-70000)*20%+1500+2250,
IF(V1337&lt;=400000,(V1337-200000)*22.5%+1500+2250+26000,
IF(V1337&lt;=600000,(V1337-400000)*25%+1500+2250+26000+45000,
IF(AND(V1337&gt;600000,V1337&lt;=1200000),(V1337-400000)*25%+1500+2250+26000+45000
+IFERROR(LOOKUP(V1337,{600001;700001;800001;900001},{4000;6750;10250;15250}),0),IF(V1337&gt;1200000,((V1337-1200000)*27.5%)+300000,0)
)))))))</f>
        <v>0</v>
      </c>
      <c r="X1337" s="12">
        <f t="shared" si="322"/>
        <v>0</v>
      </c>
      <c r="Y1337" s="12">
        <f t="shared" si="323"/>
        <v>0</v>
      </c>
      <c r="Z1337" s="11"/>
      <c r="AA1337" s="13">
        <f t="shared" si="324"/>
        <v>0</v>
      </c>
      <c r="AB1337" s="12">
        <f t="shared" si="325"/>
        <v>0</v>
      </c>
      <c r="AC1337" s="14">
        <f t="shared" si="313"/>
        <v>0</v>
      </c>
      <c r="AE1337" s="19">
        <f t="shared" si="326"/>
        <v>0</v>
      </c>
      <c r="AF1337" s="19"/>
      <c r="AG1337" s="17"/>
      <c r="AK1337" s="7"/>
      <c r="AL1337" s="108">
        <f t="shared" si="314"/>
        <v>0</v>
      </c>
      <c r="AM1337" s="108">
        <f t="shared" si="315"/>
        <v>0</v>
      </c>
      <c r="AN1337" s="113"/>
    </row>
    <row r="1338" spans="2:40" x14ac:dyDescent="0.2">
      <c r="B1338" s="7"/>
      <c r="C1338" s="8"/>
      <c r="D1338" s="8"/>
      <c r="E1338" s="9"/>
      <c r="F1338" s="6"/>
      <c r="G1338" s="8"/>
      <c r="H1338" s="32"/>
      <c r="I1338" s="10" t="str">
        <f t="shared" si="312"/>
        <v>21</v>
      </c>
      <c r="J1338" s="11">
        <v>1</v>
      </c>
      <c r="K1338" s="11"/>
      <c r="L1338" s="11"/>
      <c r="M1338" s="11">
        <f t="shared" si="316"/>
        <v>0</v>
      </c>
      <c r="N1338" s="11"/>
      <c r="O1338" s="11">
        <f t="shared" si="317"/>
        <v>0</v>
      </c>
      <c r="P1338" s="11"/>
      <c r="Q1338" s="11"/>
      <c r="R1338" s="11"/>
      <c r="S1338" s="11">
        <f t="shared" si="318"/>
        <v>0</v>
      </c>
      <c r="T1338" s="11">
        <f t="shared" si="319"/>
        <v>1666.6666666666667</v>
      </c>
      <c r="U1338" s="11">
        <f t="shared" si="320"/>
        <v>0</v>
      </c>
      <c r="V1338" s="24">
        <f t="shared" si="321"/>
        <v>0</v>
      </c>
      <c r="W1338" s="11">
        <f>IF(V1338&lt;=40000,0,
IF(V1338&lt;=55000,(V1338-40000)*10%,
IF(V1338&lt;=70000,(V1338-55000)*15%+1500,
IF(V1338&lt;=200000,(V1338-70000)*20%+1500+2250,
IF(V1338&lt;=400000,(V1338-200000)*22.5%+1500+2250+26000,
IF(V1338&lt;=600000,(V1338-400000)*25%+1500+2250+26000+45000,
IF(AND(V1338&gt;600000,V1338&lt;=1200000),(V1338-400000)*25%+1500+2250+26000+45000
+IFERROR(LOOKUP(V1338,{600001;700001;800001;900001},{4000;6750;10250;15250}),0),IF(V1338&gt;1200000,((V1338-1200000)*27.5%)+300000,0)
)))))))</f>
        <v>0</v>
      </c>
      <c r="X1338" s="12">
        <f t="shared" si="322"/>
        <v>0</v>
      </c>
      <c r="Y1338" s="12">
        <f t="shared" si="323"/>
        <v>0</v>
      </c>
      <c r="Z1338" s="11"/>
      <c r="AA1338" s="13">
        <f t="shared" si="324"/>
        <v>0</v>
      </c>
      <c r="AB1338" s="12">
        <f t="shared" si="325"/>
        <v>0</v>
      </c>
      <c r="AC1338" s="14">
        <f t="shared" si="313"/>
        <v>0</v>
      </c>
      <c r="AE1338" s="19">
        <f t="shared" si="326"/>
        <v>0</v>
      </c>
      <c r="AF1338" s="19"/>
      <c r="AG1338" s="17"/>
      <c r="AK1338" s="7"/>
      <c r="AL1338" s="108">
        <f t="shared" si="314"/>
        <v>0</v>
      </c>
      <c r="AM1338" s="108">
        <f t="shared" si="315"/>
        <v>0</v>
      </c>
      <c r="AN1338" s="113"/>
    </row>
    <row r="1339" spans="2:40" x14ac:dyDescent="0.2">
      <c r="B1339" s="7"/>
      <c r="C1339" s="8"/>
      <c r="D1339" s="8"/>
      <c r="E1339" s="9"/>
      <c r="F1339" s="6"/>
      <c r="G1339" s="8"/>
      <c r="H1339" s="32"/>
      <c r="I1339" s="10" t="str">
        <f t="shared" si="312"/>
        <v>21</v>
      </c>
      <c r="J1339" s="11">
        <v>1</v>
      </c>
      <c r="K1339" s="11"/>
      <c r="L1339" s="11"/>
      <c r="M1339" s="11">
        <f t="shared" si="316"/>
        <v>0</v>
      </c>
      <c r="N1339" s="11"/>
      <c r="O1339" s="11">
        <f t="shared" si="317"/>
        <v>0</v>
      </c>
      <c r="P1339" s="11"/>
      <c r="Q1339" s="11"/>
      <c r="R1339" s="11"/>
      <c r="S1339" s="11">
        <f t="shared" si="318"/>
        <v>0</v>
      </c>
      <c r="T1339" s="11">
        <f t="shared" si="319"/>
        <v>1666.6666666666667</v>
      </c>
      <c r="U1339" s="11">
        <f t="shared" si="320"/>
        <v>0</v>
      </c>
      <c r="V1339" s="24">
        <f t="shared" si="321"/>
        <v>0</v>
      </c>
      <c r="W1339" s="11">
        <f>IF(V1339&lt;=40000,0,
IF(V1339&lt;=55000,(V1339-40000)*10%,
IF(V1339&lt;=70000,(V1339-55000)*15%+1500,
IF(V1339&lt;=200000,(V1339-70000)*20%+1500+2250,
IF(V1339&lt;=400000,(V1339-200000)*22.5%+1500+2250+26000,
IF(V1339&lt;=600000,(V1339-400000)*25%+1500+2250+26000+45000,
IF(AND(V1339&gt;600000,V1339&lt;=1200000),(V1339-400000)*25%+1500+2250+26000+45000
+IFERROR(LOOKUP(V1339,{600001;700001;800001;900001},{4000;6750;10250;15250}),0),IF(V1339&gt;1200000,((V1339-1200000)*27.5%)+300000,0)
)))))))</f>
        <v>0</v>
      </c>
      <c r="X1339" s="12">
        <f t="shared" si="322"/>
        <v>0</v>
      </c>
      <c r="Y1339" s="12">
        <f t="shared" si="323"/>
        <v>0</v>
      </c>
      <c r="Z1339" s="11"/>
      <c r="AA1339" s="13">
        <f t="shared" si="324"/>
        <v>0</v>
      </c>
      <c r="AB1339" s="12">
        <f t="shared" si="325"/>
        <v>0</v>
      </c>
      <c r="AC1339" s="14">
        <f t="shared" si="313"/>
        <v>0</v>
      </c>
      <c r="AE1339" s="19">
        <f t="shared" si="326"/>
        <v>0</v>
      </c>
      <c r="AF1339" s="19"/>
      <c r="AG1339" s="17"/>
      <c r="AK1339" s="7"/>
      <c r="AL1339" s="108">
        <f t="shared" si="314"/>
        <v>0</v>
      </c>
      <c r="AM1339" s="108">
        <f t="shared" si="315"/>
        <v>0</v>
      </c>
      <c r="AN1339" s="113"/>
    </row>
    <row r="1340" spans="2:40" x14ac:dyDescent="0.2">
      <c r="B1340" s="7"/>
      <c r="C1340" s="8"/>
      <c r="D1340" s="8"/>
      <c r="E1340" s="9"/>
      <c r="F1340" s="6"/>
      <c r="G1340" s="8"/>
      <c r="H1340" s="32"/>
      <c r="I1340" s="10" t="str">
        <f t="shared" si="312"/>
        <v>21</v>
      </c>
      <c r="J1340" s="11">
        <v>1</v>
      </c>
      <c r="K1340" s="11"/>
      <c r="L1340" s="11"/>
      <c r="M1340" s="11">
        <f t="shared" si="316"/>
        <v>0</v>
      </c>
      <c r="N1340" s="11"/>
      <c r="O1340" s="11">
        <f t="shared" si="317"/>
        <v>0</v>
      </c>
      <c r="P1340" s="11"/>
      <c r="Q1340" s="11"/>
      <c r="R1340" s="11"/>
      <c r="S1340" s="11">
        <f t="shared" si="318"/>
        <v>0</v>
      </c>
      <c r="T1340" s="11">
        <f t="shared" si="319"/>
        <v>1666.6666666666667</v>
      </c>
      <c r="U1340" s="11">
        <f t="shared" si="320"/>
        <v>0</v>
      </c>
      <c r="V1340" s="24">
        <f t="shared" si="321"/>
        <v>0</v>
      </c>
      <c r="W1340" s="11">
        <f>IF(V1340&lt;=40000,0,
IF(V1340&lt;=55000,(V1340-40000)*10%,
IF(V1340&lt;=70000,(V1340-55000)*15%+1500,
IF(V1340&lt;=200000,(V1340-70000)*20%+1500+2250,
IF(V1340&lt;=400000,(V1340-200000)*22.5%+1500+2250+26000,
IF(V1340&lt;=600000,(V1340-400000)*25%+1500+2250+26000+45000,
IF(AND(V1340&gt;600000,V1340&lt;=1200000),(V1340-400000)*25%+1500+2250+26000+45000
+IFERROR(LOOKUP(V1340,{600001;700001;800001;900001},{4000;6750;10250;15250}),0),IF(V1340&gt;1200000,((V1340-1200000)*27.5%)+300000,0)
)))))))</f>
        <v>0</v>
      </c>
      <c r="X1340" s="12">
        <f t="shared" si="322"/>
        <v>0</v>
      </c>
      <c r="Y1340" s="12">
        <f t="shared" si="323"/>
        <v>0</v>
      </c>
      <c r="Z1340" s="11"/>
      <c r="AA1340" s="13">
        <f t="shared" si="324"/>
        <v>0</v>
      </c>
      <c r="AB1340" s="12">
        <f t="shared" si="325"/>
        <v>0</v>
      </c>
      <c r="AC1340" s="14">
        <f t="shared" si="313"/>
        <v>0</v>
      </c>
      <c r="AE1340" s="19">
        <f t="shared" si="326"/>
        <v>0</v>
      </c>
      <c r="AF1340" s="19"/>
      <c r="AG1340" s="17"/>
      <c r="AK1340" s="7"/>
      <c r="AL1340" s="108">
        <f t="shared" si="314"/>
        <v>0</v>
      </c>
      <c r="AM1340" s="108">
        <f t="shared" si="315"/>
        <v>0</v>
      </c>
      <c r="AN1340" s="113"/>
    </row>
    <row r="1341" spans="2:40" x14ac:dyDescent="0.2">
      <c r="B1341" s="7"/>
      <c r="C1341" s="8"/>
      <c r="D1341" s="8"/>
      <c r="E1341" s="9"/>
      <c r="F1341" s="6"/>
      <c r="G1341" s="8"/>
      <c r="H1341" s="32"/>
      <c r="I1341" s="10" t="str">
        <f t="shared" si="312"/>
        <v>21</v>
      </c>
      <c r="J1341" s="11">
        <v>1</v>
      </c>
      <c r="K1341" s="11"/>
      <c r="L1341" s="11"/>
      <c r="M1341" s="11">
        <f t="shared" si="316"/>
        <v>0</v>
      </c>
      <c r="N1341" s="11"/>
      <c r="O1341" s="11">
        <f t="shared" si="317"/>
        <v>0</v>
      </c>
      <c r="P1341" s="11"/>
      <c r="Q1341" s="11"/>
      <c r="R1341" s="11"/>
      <c r="S1341" s="11">
        <f t="shared" si="318"/>
        <v>0</v>
      </c>
      <c r="T1341" s="11">
        <f t="shared" si="319"/>
        <v>1666.6666666666667</v>
      </c>
      <c r="U1341" s="11">
        <f t="shared" si="320"/>
        <v>0</v>
      </c>
      <c r="V1341" s="24">
        <f t="shared" si="321"/>
        <v>0</v>
      </c>
      <c r="W1341" s="11">
        <f>IF(V1341&lt;=40000,0,
IF(V1341&lt;=55000,(V1341-40000)*10%,
IF(V1341&lt;=70000,(V1341-55000)*15%+1500,
IF(V1341&lt;=200000,(V1341-70000)*20%+1500+2250,
IF(V1341&lt;=400000,(V1341-200000)*22.5%+1500+2250+26000,
IF(V1341&lt;=600000,(V1341-400000)*25%+1500+2250+26000+45000,
IF(AND(V1341&gt;600000,V1341&lt;=1200000),(V1341-400000)*25%+1500+2250+26000+45000
+IFERROR(LOOKUP(V1341,{600001;700001;800001;900001},{4000;6750;10250;15250}),0),IF(V1341&gt;1200000,((V1341-1200000)*27.5%)+300000,0)
)))))))</f>
        <v>0</v>
      </c>
      <c r="X1341" s="12">
        <f t="shared" si="322"/>
        <v>0</v>
      </c>
      <c r="Y1341" s="12">
        <f t="shared" si="323"/>
        <v>0</v>
      </c>
      <c r="Z1341" s="11"/>
      <c r="AA1341" s="13">
        <f t="shared" si="324"/>
        <v>0</v>
      </c>
      <c r="AB1341" s="12">
        <f t="shared" si="325"/>
        <v>0</v>
      </c>
      <c r="AC1341" s="14">
        <f t="shared" si="313"/>
        <v>0</v>
      </c>
      <c r="AE1341" s="19">
        <f t="shared" si="326"/>
        <v>0</v>
      </c>
      <c r="AF1341" s="19"/>
      <c r="AG1341" s="17"/>
      <c r="AK1341" s="7"/>
      <c r="AL1341" s="108">
        <f t="shared" si="314"/>
        <v>0</v>
      </c>
      <c r="AM1341" s="108">
        <f t="shared" si="315"/>
        <v>0</v>
      </c>
      <c r="AN1341" s="113"/>
    </row>
    <row r="1342" spans="2:40" x14ac:dyDescent="0.2">
      <c r="B1342" s="7"/>
      <c r="C1342" s="8"/>
      <c r="D1342" s="8"/>
      <c r="E1342" s="9"/>
      <c r="F1342" s="6"/>
      <c r="G1342" s="8"/>
      <c r="H1342" s="32"/>
      <c r="I1342" s="10" t="str">
        <f t="shared" si="312"/>
        <v>21</v>
      </c>
      <c r="J1342" s="11">
        <v>1</v>
      </c>
      <c r="K1342" s="11"/>
      <c r="L1342" s="11"/>
      <c r="M1342" s="11">
        <f t="shared" si="316"/>
        <v>0</v>
      </c>
      <c r="N1342" s="11"/>
      <c r="O1342" s="11">
        <f t="shared" si="317"/>
        <v>0</v>
      </c>
      <c r="P1342" s="11"/>
      <c r="Q1342" s="11"/>
      <c r="R1342" s="11"/>
      <c r="S1342" s="11">
        <f t="shared" si="318"/>
        <v>0</v>
      </c>
      <c r="T1342" s="11">
        <f t="shared" si="319"/>
        <v>1666.6666666666667</v>
      </c>
      <c r="U1342" s="11">
        <f t="shared" si="320"/>
        <v>0</v>
      </c>
      <c r="V1342" s="24">
        <f t="shared" si="321"/>
        <v>0</v>
      </c>
      <c r="W1342" s="11">
        <f>IF(V1342&lt;=40000,0,
IF(V1342&lt;=55000,(V1342-40000)*10%,
IF(V1342&lt;=70000,(V1342-55000)*15%+1500,
IF(V1342&lt;=200000,(V1342-70000)*20%+1500+2250,
IF(V1342&lt;=400000,(V1342-200000)*22.5%+1500+2250+26000,
IF(V1342&lt;=600000,(V1342-400000)*25%+1500+2250+26000+45000,
IF(AND(V1342&gt;600000,V1342&lt;=1200000),(V1342-400000)*25%+1500+2250+26000+45000
+IFERROR(LOOKUP(V1342,{600001;700001;800001;900001},{4000;6750;10250;15250}),0),IF(V1342&gt;1200000,((V1342-1200000)*27.5%)+300000,0)
)))))))</f>
        <v>0</v>
      </c>
      <c r="X1342" s="12">
        <f t="shared" si="322"/>
        <v>0</v>
      </c>
      <c r="Y1342" s="12">
        <f t="shared" si="323"/>
        <v>0</v>
      </c>
      <c r="Z1342" s="11"/>
      <c r="AA1342" s="13">
        <f t="shared" si="324"/>
        <v>0</v>
      </c>
      <c r="AB1342" s="12">
        <f t="shared" si="325"/>
        <v>0</v>
      </c>
      <c r="AC1342" s="14">
        <f t="shared" si="313"/>
        <v>0</v>
      </c>
      <c r="AE1342" s="19">
        <f t="shared" si="326"/>
        <v>0</v>
      </c>
      <c r="AF1342" s="19"/>
      <c r="AG1342" s="17"/>
      <c r="AK1342" s="7"/>
      <c r="AL1342" s="108">
        <f t="shared" si="314"/>
        <v>0</v>
      </c>
      <c r="AM1342" s="108">
        <f t="shared" si="315"/>
        <v>0</v>
      </c>
      <c r="AN1342" s="113"/>
    </row>
    <row r="1343" spans="2:40" x14ac:dyDescent="0.2">
      <c r="B1343" s="7"/>
      <c r="C1343" s="8"/>
      <c r="D1343" s="8"/>
      <c r="E1343" s="9"/>
      <c r="F1343" s="6"/>
      <c r="G1343" s="8"/>
      <c r="H1343" s="32"/>
      <c r="I1343" s="10" t="str">
        <f t="shared" si="312"/>
        <v>21</v>
      </c>
      <c r="J1343" s="11">
        <v>1</v>
      </c>
      <c r="K1343" s="11"/>
      <c r="L1343" s="11"/>
      <c r="M1343" s="11">
        <f t="shared" si="316"/>
        <v>0</v>
      </c>
      <c r="N1343" s="11"/>
      <c r="O1343" s="11">
        <f t="shared" si="317"/>
        <v>0</v>
      </c>
      <c r="P1343" s="11"/>
      <c r="Q1343" s="11"/>
      <c r="R1343" s="11"/>
      <c r="S1343" s="11">
        <f t="shared" si="318"/>
        <v>0</v>
      </c>
      <c r="T1343" s="11">
        <f t="shared" si="319"/>
        <v>1666.6666666666667</v>
      </c>
      <c r="U1343" s="11">
        <f t="shared" si="320"/>
        <v>0</v>
      </c>
      <c r="V1343" s="24">
        <f t="shared" si="321"/>
        <v>0</v>
      </c>
      <c r="W1343" s="11">
        <f>IF(V1343&lt;=40000,0,
IF(V1343&lt;=55000,(V1343-40000)*10%,
IF(V1343&lt;=70000,(V1343-55000)*15%+1500,
IF(V1343&lt;=200000,(V1343-70000)*20%+1500+2250,
IF(V1343&lt;=400000,(V1343-200000)*22.5%+1500+2250+26000,
IF(V1343&lt;=600000,(V1343-400000)*25%+1500+2250+26000+45000,
IF(AND(V1343&gt;600000,V1343&lt;=1200000),(V1343-400000)*25%+1500+2250+26000+45000
+IFERROR(LOOKUP(V1343,{600001;700001;800001;900001},{4000;6750;10250;15250}),0),IF(V1343&gt;1200000,((V1343-1200000)*27.5%)+300000,0)
)))))))</f>
        <v>0</v>
      </c>
      <c r="X1343" s="12">
        <f t="shared" si="322"/>
        <v>0</v>
      </c>
      <c r="Y1343" s="12">
        <f t="shared" si="323"/>
        <v>0</v>
      </c>
      <c r="Z1343" s="11"/>
      <c r="AA1343" s="13">
        <f t="shared" si="324"/>
        <v>0</v>
      </c>
      <c r="AB1343" s="12">
        <f t="shared" si="325"/>
        <v>0</v>
      </c>
      <c r="AC1343" s="14">
        <f t="shared" si="313"/>
        <v>0</v>
      </c>
      <c r="AE1343" s="19">
        <f t="shared" si="326"/>
        <v>0</v>
      </c>
      <c r="AF1343" s="19"/>
      <c r="AG1343" s="17"/>
      <c r="AK1343" s="7"/>
      <c r="AL1343" s="108">
        <f t="shared" si="314"/>
        <v>0</v>
      </c>
      <c r="AM1343" s="108">
        <f t="shared" si="315"/>
        <v>0</v>
      </c>
      <c r="AN1343" s="113"/>
    </row>
    <row r="1344" spans="2:40" x14ac:dyDescent="0.2">
      <c r="B1344" s="7"/>
      <c r="C1344" s="8"/>
      <c r="D1344" s="8"/>
      <c r="E1344" s="9"/>
      <c r="F1344" s="6"/>
      <c r="G1344" s="8"/>
      <c r="H1344" s="32"/>
      <c r="I1344" s="10" t="str">
        <f t="shared" si="312"/>
        <v>21</v>
      </c>
      <c r="J1344" s="11">
        <v>1</v>
      </c>
      <c r="K1344" s="11"/>
      <c r="L1344" s="11"/>
      <c r="M1344" s="11">
        <f t="shared" si="316"/>
        <v>0</v>
      </c>
      <c r="N1344" s="11"/>
      <c r="O1344" s="11">
        <f t="shared" si="317"/>
        <v>0</v>
      </c>
      <c r="P1344" s="11"/>
      <c r="Q1344" s="11"/>
      <c r="R1344" s="11"/>
      <c r="S1344" s="11">
        <f t="shared" si="318"/>
        <v>0</v>
      </c>
      <c r="T1344" s="11">
        <f t="shared" si="319"/>
        <v>1666.6666666666667</v>
      </c>
      <c r="U1344" s="11">
        <f t="shared" si="320"/>
        <v>0</v>
      </c>
      <c r="V1344" s="24">
        <f t="shared" si="321"/>
        <v>0</v>
      </c>
      <c r="W1344" s="11">
        <f>IF(V1344&lt;=40000,0,
IF(V1344&lt;=55000,(V1344-40000)*10%,
IF(V1344&lt;=70000,(V1344-55000)*15%+1500,
IF(V1344&lt;=200000,(V1344-70000)*20%+1500+2250,
IF(V1344&lt;=400000,(V1344-200000)*22.5%+1500+2250+26000,
IF(V1344&lt;=600000,(V1344-400000)*25%+1500+2250+26000+45000,
IF(AND(V1344&gt;600000,V1344&lt;=1200000),(V1344-400000)*25%+1500+2250+26000+45000
+IFERROR(LOOKUP(V1344,{600001;700001;800001;900001},{4000;6750;10250;15250}),0),IF(V1344&gt;1200000,((V1344-1200000)*27.5%)+300000,0)
)))))))</f>
        <v>0</v>
      </c>
      <c r="X1344" s="12">
        <f t="shared" si="322"/>
        <v>0</v>
      </c>
      <c r="Y1344" s="12">
        <f t="shared" si="323"/>
        <v>0</v>
      </c>
      <c r="Z1344" s="11"/>
      <c r="AA1344" s="13">
        <f t="shared" si="324"/>
        <v>0</v>
      </c>
      <c r="AB1344" s="12">
        <f t="shared" si="325"/>
        <v>0</v>
      </c>
      <c r="AC1344" s="14">
        <f t="shared" si="313"/>
        <v>0</v>
      </c>
      <c r="AE1344" s="19">
        <f t="shared" si="326"/>
        <v>0</v>
      </c>
      <c r="AF1344" s="19"/>
      <c r="AG1344" s="17"/>
      <c r="AK1344" s="7"/>
      <c r="AL1344" s="108">
        <f t="shared" si="314"/>
        <v>0</v>
      </c>
      <c r="AM1344" s="108">
        <f t="shared" si="315"/>
        <v>0</v>
      </c>
      <c r="AN1344" s="113"/>
    </row>
    <row r="1345" spans="2:40" x14ac:dyDescent="0.2">
      <c r="B1345" s="7"/>
      <c r="C1345" s="8"/>
      <c r="D1345" s="8"/>
      <c r="E1345" s="9"/>
      <c r="F1345" s="6"/>
      <c r="G1345" s="8"/>
      <c r="H1345" s="32"/>
      <c r="I1345" s="10" t="str">
        <f t="shared" si="312"/>
        <v>21</v>
      </c>
      <c r="J1345" s="11">
        <v>1</v>
      </c>
      <c r="K1345" s="11"/>
      <c r="L1345" s="11"/>
      <c r="M1345" s="11">
        <f t="shared" si="316"/>
        <v>0</v>
      </c>
      <c r="N1345" s="11"/>
      <c r="O1345" s="11">
        <f t="shared" si="317"/>
        <v>0</v>
      </c>
      <c r="P1345" s="11"/>
      <c r="Q1345" s="11"/>
      <c r="R1345" s="11"/>
      <c r="S1345" s="11">
        <f t="shared" si="318"/>
        <v>0</v>
      </c>
      <c r="T1345" s="11">
        <f t="shared" si="319"/>
        <v>1666.6666666666667</v>
      </c>
      <c r="U1345" s="11">
        <f t="shared" si="320"/>
        <v>0</v>
      </c>
      <c r="V1345" s="24">
        <f t="shared" si="321"/>
        <v>0</v>
      </c>
      <c r="W1345" s="11">
        <f>IF(V1345&lt;=40000,0,
IF(V1345&lt;=55000,(V1345-40000)*10%,
IF(V1345&lt;=70000,(V1345-55000)*15%+1500,
IF(V1345&lt;=200000,(V1345-70000)*20%+1500+2250,
IF(V1345&lt;=400000,(V1345-200000)*22.5%+1500+2250+26000,
IF(V1345&lt;=600000,(V1345-400000)*25%+1500+2250+26000+45000,
IF(AND(V1345&gt;600000,V1345&lt;=1200000),(V1345-400000)*25%+1500+2250+26000+45000
+IFERROR(LOOKUP(V1345,{600001;700001;800001;900001},{4000;6750;10250;15250}),0),IF(V1345&gt;1200000,((V1345-1200000)*27.5%)+300000,0)
)))))))</f>
        <v>0</v>
      </c>
      <c r="X1345" s="12">
        <f t="shared" si="322"/>
        <v>0</v>
      </c>
      <c r="Y1345" s="12">
        <f t="shared" si="323"/>
        <v>0</v>
      </c>
      <c r="Z1345" s="11"/>
      <c r="AA1345" s="13">
        <f t="shared" si="324"/>
        <v>0</v>
      </c>
      <c r="AB1345" s="12">
        <f t="shared" si="325"/>
        <v>0</v>
      </c>
      <c r="AC1345" s="14">
        <f t="shared" si="313"/>
        <v>0</v>
      </c>
      <c r="AE1345" s="19">
        <f t="shared" si="326"/>
        <v>0</v>
      </c>
      <c r="AF1345" s="19"/>
      <c r="AG1345" s="17"/>
      <c r="AK1345" s="7"/>
      <c r="AL1345" s="108">
        <f t="shared" si="314"/>
        <v>0</v>
      </c>
      <c r="AM1345" s="108">
        <f t="shared" si="315"/>
        <v>0</v>
      </c>
      <c r="AN1345" s="113"/>
    </row>
    <row r="1346" spans="2:40" x14ac:dyDescent="0.2">
      <c r="B1346" s="7"/>
      <c r="C1346" s="8"/>
      <c r="D1346" s="8"/>
      <c r="E1346" s="9"/>
      <c r="F1346" s="6"/>
      <c r="G1346" s="8"/>
      <c r="H1346" s="32"/>
      <c r="I1346" s="10" t="str">
        <f t="shared" si="312"/>
        <v>21</v>
      </c>
      <c r="J1346" s="11">
        <v>1</v>
      </c>
      <c r="K1346" s="11"/>
      <c r="L1346" s="11"/>
      <c r="M1346" s="11">
        <f t="shared" si="316"/>
        <v>0</v>
      </c>
      <c r="N1346" s="11"/>
      <c r="O1346" s="11">
        <f t="shared" si="317"/>
        <v>0</v>
      </c>
      <c r="P1346" s="11"/>
      <c r="Q1346" s="11"/>
      <c r="R1346" s="11"/>
      <c r="S1346" s="11">
        <f t="shared" si="318"/>
        <v>0</v>
      </c>
      <c r="T1346" s="11">
        <f t="shared" si="319"/>
        <v>1666.6666666666667</v>
      </c>
      <c r="U1346" s="11">
        <f t="shared" si="320"/>
        <v>0</v>
      </c>
      <c r="V1346" s="24">
        <f t="shared" si="321"/>
        <v>0</v>
      </c>
      <c r="W1346" s="11">
        <f>IF(V1346&lt;=40000,0,
IF(V1346&lt;=55000,(V1346-40000)*10%,
IF(V1346&lt;=70000,(V1346-55000)*15%+1500,
IF(V1346&lt;=200000,(V1346-70000)*20%+1500+2250,
IF(V1346&lt;=400000,(V1346-200000)*22.5%+1500+2250+26000,
IF(V1346&lt;=600000,(V1346-400000)*25%+1500+2250+26000+45000,
IF(AND(V1346&gt;600000,V1346&lt;=1200000),(V1346-400000)*25%+1500+2250+26000+45000
+IFERROR(LOOKUP(V1346,{600001;700001;800001;900001},{4000;6750;10250;15250}),0),IF(V1346&gt;1200000,((V1346-1200000)*27.5%)+300000,0)
)))))))</f>
        <v>0</v>
      </c>
      <c r="X1346" s="12">
        <f t="shared" si="322"/>
        <v>0</v>
      </c>
      <c r="Y1346" s="12">
        <f t="shared" si="323"/>
        <v>0</v>
      </c>
      <c r="Z1346" s="11"/>
      <c r="AA1346" s="13">
        <f t="shared" si="324"/>
        <v>0</v>
      </c>
      <c r="AB1346" s="12">
        <f t="shared" si="325"/>
        <v>0</v>
      </c>
      <c r="AC1346" s="14">
        <f t="shared" si="313"/>
        <v>0</v>
      </c>
      <c r="AE1346" s="19">
        <f t="shared" si="326"/>
        <v>0</v>
      </c>
      <c r="AF1346" s="19"/>
      <c r="AG1346" s="17"/>
      <c r="AK1346" s="7"/>
      <c r="AL1346" s="108">
        <f t="shared" si="314"/>
        <v>0</v>
      </c>
      <c r="AM1346" s="108">
        <f t="shared" si="315"/>
        <v>0</v>
      </c>
      <c r="AN1346" s="113"/>
    </row>
    <row r="1347" spans="2:40" x14ac:dyDescent="0.2">
      <c r="B1347" s="7"/>
      <c r="C1347" s="8"/>
      <c r="D1347" s="8"/>
      <c r="E1347" s="9"/>
      <c r="F1347" s="6"/>
      <c r="G1347" s="8"/>
      <c r="H1347" s="32"/>
      <c r="I1347" s="10" t="str">
        <f t="shared" si="312"/>
        <v>21</v>
      </c>
      <c r="J1347" s="11">
        <v>1</v>
      </c>
      <c r="K1347" s="11"/>
      <c r="L1347" s="11"/>
      <c r="M1347" s="11">
        <f t="shared" si="316"/>
        <v>0</v>
      </c>
      <c r="N1347" s="11"/>
      <c r="O1347" s="11">
        <f t="shared" si="317"/>
        <v>0</v>
      </c>
      <c r="P1347" s="11"/>
      <c r="Q1347" s="11"/>
      <c r="R1347" s="11"/>
      <c r="S1347" s="11">
        <f t="shared" si="318"/>
        <v>0</v>
      </c>
      <c r="T1347" s="11">
        <f t="shared" si="319"/>
        <v>1666.6666666666667</v>
      </c>
      <c r="U1347" s="11">
        <f t="shared" si="320"/>
        <v>0</v>
      </c>
      <c r="V1347" s="24">
        <f t="shared" si="321"/>
        <v>0</v>
      </c>
      <c r="W1347" s="11">
        <f>IF(V1347&lt;=40000,0,
IF(V1347&lt;=55000,(V1347-40000)*10%,
IF(V1347&lt;=70000,(V1347-55000)*15%+1500,
IF(V1347&lt;=200000,(V1347-70000)*20%+1500+2250,
IF(V1347&lt;=400000,(V1347-200000)*22.5%+1500+2250+26000,
IF(V1347&lt;=600000,(V1347-400000)*25%+1500+2250+26000+45000,
IF(AND(V1347&gt;600000,V1347&lt;=1200000),(V1347-400000)*25%+1500+2250+26000+45000
+IFERROR(LOOKUP(V1347,{600001;700001;800001;900001},{4000;6750;10250;15250}),0),IF(V1347&gt;1200000,((V1347-1200000)*27.5%)+300000,0)
)))))))</f>
        <v>0</v>
      </c>
      <c r="X1347" s="12">
        <f t="shared" si="322"/>
        <v>0</v>
      </c>
      <c r="Y1347" s="12">
        <f t="shared" si="323"/>
        <v>0</v>
      </c>
      <c r="Z1347" s="11"/>
      <c r="AA1347" s="13">
        <f t="shared" si="324"/>
        <v>0</v>
      </c>
      <c r="AB1347" s="12">
        <f t="shared" si="325"/>
        <v>0</v>
      </c>
      <c r="AC1347" s="14">
        <f t="shared" si="313"/>
        <v>0</v>
      </c>
      <c r="AE1347" s="19">
        <f t="shared" si="326"/>
        <v>0</v>
      </c>
      <c r="AF1347" s="19"/>
      <c r="AG1347" s="17"/>
      <c r="AK1347" s="7"/>
      <c r="AL1347" s="108">
        <f t="shared" si="314"/>
        <v>0</v>
      </c>
      <c r="AM1347" s="108">
        <f t="shared" si="315"/>
        <v>0</v>
      </c>
      <c r="AN1347" s="113"/>
    </row>
    <row r="1348" spans="2:40" x14ac:dyDescent="0.2">
      <c r="B1348" s="7"/>
      <c r="C1348" s="8"/>
      <c r="D1348" s="8"/>
      <c r="E1348" s="9"/>
      <c r="F1348" s="6"/>
      <c r="G1348" s="8"/>
      <c r="H1348" s="32"/>
      <c r="I1348" s="10" t="str">
        <f t="shared" si="312"/>
        <v>21</v>
      </c>
      <c r="J1348" s="11">
        <v>1</v>
      </c>
      <c r="K1348" s="11"/>
      <c r="L1348" s="11"/>
      <c r="M1348" s="11">
        <f t="shared" si="316"/>
        <v>0</v>
      </c>
      <c r="N1348" s="11"/>
      <c r="O1348" s="11">
        <f t="shared" si="317"/>
        <v>0</v>
      </c>
      <c r="P1348" s="11"/>
      <c r="Q1348" s="11"/>
      <c r="R1348" s="11"/>
      <c r="S1348" s="11">
        <f t="shared" si="318"/>
        <v>0</v>
      </c>
      <c r="T1348" s="11">
        <f t="shared" si="319"/>
        <v>1666.6666666666667</v>
      </c>
      <c r="U1348" s="11">
        <f t="shared" si="320"/>
        <v>0</v>
      </c>
      <c r="V1348" s="24">
        <f t="shared" si="321"/>
        <v>0</v>
      </c>
      <c r="W1348" s="11">
        <f>IF(V1348&lt;=40000,0,
IF(V1348&lt;=55000,(V1348-40000)*10%,
IF(V1348&lt;=70000,(V1348-55000)*15%+1500,
IF(V1348&lt;=200000,(V1348-70000)*20%+1500+2250,
IF(V1348&lt;=400000,(V1348-200000)*22.5%+1500+2250+26000,
IF(V1348&lt;=600000,(V1348-400000)*25%+1500+2250+26000+45000,
IF(AND(V1348&gt;600000,V1348&lt;=1200000),(V1348-400000)*25%+1500+2250+26000+45000
+IFERROR(LOOKUP(V1348,{600001;700001;800001;900001},{4000;6750;10250;15250}),0),IF(V1348&gt;1200000,((V1348-1200000)*27.5%)+300000,0)
)))))))</f>
        <v>0</v>
      </c>
      <c r="X1348" s="12">
        <f t="shared" si="322"/>
        <v>0</v>
      </c>
      <c r="Y1348" s="12">
        <f t="shared" si="323"/>
        <v>0</v>
      </c>
      <c r="Z1348" s="11"/>
      <c r="AA1348" s="13">
        <f t="shared" si="324"/>
        <v>0</v>
      </c>
      <c r="AB1348" s="12">
        <f t="shared" si="325"/>
        <v>0</v>
      </c>
      <c r="AC1348" s="14">
        <f t="shared" si="313"/>
        <v>0</v>
      </c>
      <c r="AE1348" s="19">
        <f t="shared" si="326"/>
        <v>0</v>
      </c>
      <c r="AF1348" s="19"/>
      <c r="AG1348" s="17"/>
      <c r="AK1348" s="7"/>
      <c r="AL1348" s="108">
        <f t="shared" si="314"/>
        <v>0</v>
      </c>
      <c r="AM1348" s="108">
        <f t="shared" si="315"/>
        <v>0</v>
      </c>
      <c r="AN1348" s="113"/>
    </row>
    <row r="1349" spans="2:40" x14ac:dyDescent="0.2">
      <c r="B1349" s="7"/>
      <c r="C1349" s="8"/>
      <c r="D1349" s="8"/>
      <c r="E1349" s="9"/>
      <c r="F1349" s="6"/>
      <c r="G1349" s="8"/>
      <c r="H1349" s="32"/>
      <c r="I1349" s="10" t="str">
        <f t="shared" ref="I1349:I1381" si="327">IF(G1349&gt;0,"1","21")</f>
        <v>21</v>
      </c>
      <c r="J1349" s="11">
        <v>1</v>
      </c>
      <c r="K1349" s="11"/>
      <c r="L1349" s="11"/>
      <c r="M1349" s="11">
        <f t="shared" si="316"/>
        <v>0</v>
      </c>
      <c r="N1349" s="11"/>
      <c r="O1349" s="11">
        <f t="shared" si="317"/>
        <v>0</v>
      </c>
      <c r="P1349" s="11"/>
      <c r="Q1349" s="11"/>
      <c r="R1349" s="11"/>
      <c r="S1349" s="11">
        <f t="shared" si="318"/>
        <v>0</v>
      </c>
      <c r="T1349" s="11">
        <f t="shared" si="319"/>
        <v>1666.6666666666667</v>
      </c>
      <c r="U1349" s="11">
        <f t="shared" si="320"/>
        <v>0</v>
      </c>
      <c r="V1349" s="24">
        <f t="shared" si="321"/>
        <v>0</v>
      </c>
      <c r="W1349" s="11">
        <f>IF(V1349&lt;=40000,0,
IF(V1349&lt;=55000,(V1349-40000)*10%,
IF(V1349&lt;=70000,(V1349-55000)*15%+1500,
IF(V1349&lt;=200000,(V1349-70000)*20%+1500+2250,
IF(V1349&lt;=400000,(V1349-200000)*22.5%+1500+2250+26000,
IF(V1349&lt;=600000,(V1349-400000)*25%+1500+2250+26000+45000,
IF(AND(V1349&gt;600000,V1349&lt;=1200000),(V1349-400000)*25%+1500+2250+26000+45000
+IFERROR(LOOKUP(V1349,{600001;700001;800001;900001},{4000;6750;10250;15250}),0),IF(V1349&gt;1200000,((V1349-1200000)*27.5%)+300000,0)
)))))))</f>
        <v>0</v>
      </c>
      <c r="X1349" s="12">
        <f t="shared" si="322"/>
        <v>0</v>
      </c>
      <c r="Y1349" s="12">
        <f t="shared" si="323"/>
        <v>0</v>
      </c>
      <c r="Z1349" s="11"/>
      <c r="AA1349" s="13">
        <f t="shared" si="324"/>
        <v>0</v>
      </c>
      <c r="AB1349" s="12">
        <f t="shared" si="325"/>
        <v>0</v>
      </c>
      <c r="AC1349" s="14">
        <f t="shared" ref="AC1349:AC1381" si="328">+M1349-P1349-Y1349</f>
        <v>0</v>
      </c>
      <c r="AE1349" s="19">
        <f t="shared" si="326"/>
        <v>0</v>
      </c>
      <c r="AF1349" s="19"/>
      <c r="AG1349" s="17"/>
      <c r="AK1349" s="7"/>
      <c r="AL1349" s="108">
        <f t="shared" ref="AL1349:AL1381" si="329">+AK1349+AD1349</f>
        <v>0</v>
      </c>
      <c r="AM1349" s="108">
        <f t="shared" ref="AM1349:AM1381" si="330">+AL1349-AC1349</f>
        <v>0</v>
      </c>
      <c r="AN1349" s="113"/>
    </row>
    <row r="1350" spans="2:40" x14ac:dyDescent="0.2">
      <c r="B1350" s="7"/>
      <c r="C1350" s="8"/>
      <c r="D1350" s="8"/>
      <c r="E1350" s="9"/>
      <c r="F1350" s="6"/>
      <c r="G1350" s="8"/>
      <c r="H1350" s="32"/>
      <c r="I1350" s="10" t="str">
        <f t="shared" si="327"/>
        <v>21</v>
      </c>
      <c r="J1350" s="11">
        <v>1</v>
      </c>
      <c r="K1350" s="11"/>
      <c r="L1350" s="11"/>
      <c r="M1350" s="11">
        <f t="shared" si="316"/>
        <v>0</v>
      </c>
      <c r="N1350" s="11"/>
      <c r="O1350" s="11">
        <f t="shared" si="317"/>
        <v>0</v>
      </c>
      <c r="P1350" s="11"/>
      <c r="Q1350" s="11"/>
      <c r="R1350" s="11"/>
      <c r="S1350" s="11">
        <f t="shared" si="318"/>
        <v>0</v>
      </c>
      <c r="T1350" s="11">
        <f t="shared" si="319"/>
        <v>1666.6666666666667</v>
      </c>
      <c r="U1350" s="11">
        <f t="shared" si="320"/>
        <v>0</v>
      </c>
      <c r="V1350" s="24">
        <f t="shared" si="321"/>
        <v>0</v>
      </c>
      <c r="W1350" s="11">
        <f>IF(V1350&lt;=40000,0,
IF(V1350&lt;=55000,(V1350-40000)*10%,
IF(V1350&lt;=70000,(V1350-55000)*15%+1500,
IF(V1350&lt;=200000,(V1350-70000)*20%+1500+2250,
IF(V1350&lt;=400000,(V1350-200000)*22.5%+1500+2250+26000,
IF(V1350&lt;=600000,(V1350-400000)*25%+1500+2250+26000+45000,
IF(AND(V1350&gt;600000,V1350&lt;=1200000),(V1350-400000)*25%+1500+2250+26000+45000
+IFERROR(LOOKUP(V1350,{600001;700001;800001;900001},{4000;6750;10250;15250}),0),IF(V1350&gt;1200000,((V1350-1200000)*27.5%)+300000,0)
)))))))</f>
        <v>0</v>
      </c>
      <c r="X1350" s="12">
        <f t="shared" si="322"/>
        <v>0</v>
      </c>
      <c r="Y1350" s="12">
        <f t="shared" si="323"/>
        <v>0</v>
      </c>
      <c r="Z1350" s="11"/>
      <c r="AA1350" s="13">
        <f t="shared" si="324"/>
        <v>0</v>
      </c>
      <c r="AB1350" s="12">
        <f t="shared" si="325"/>
        <v>0</v>
      </c>
      <c r="AC1350" s="14">
        <f t="shared" si="328"/>
        <v>0</v>
      </c>
      <c r="AE1350" s="19">
        <f t="shared" si="326"/>
        <v>0</v>
      </c>
      <c r="AF1350" s="19"/>
      <c r="AG1350" s="17"/>
      <c r="AK1350" s="7"/>
      <c r="AL1350" s="108">
        <f t="shared" si="329"/>
        <v>0</v>
      </c>
      <c r="AM1350" s="108">
        <f t="shared" si="330"/>
        <v>0</v>
      </c>
      <c r="AN1350" s="113"/>
    </row>
    <row r="1351" spans="2:40" x14ac:dyDescent="0.2">
      <c r="B1351" s="7"/>
      <c r="C1351" s="8"/>
      <c r="D1351" s="8"/>
      <c r="E1351" s="9"/>
      <c r="F1351" s="6"/>
      <c r="G1351" s="8"/>
      <c r="H1351" s="32"/>
      <c r="I1351" s="10" t="str">
        <f t="shared" si="327"/>
        <v>21</v>
      </c>
      <c r="J1351" s="11">
        <v>1</v>
      </c>
      <c r="K1351" s="11"/>
      <c r="L1351" s="11"/>
      <c r="M1351" s="11">
        <f t="shared" si="316"/>
        <v>0</v>
      </c>
      <c r="N1351" s="11"/>
      <c r="O1351" s="11">
        <f t="shared" si="317"/>
        <v>0</v>
      </c>
      <c r="P1351" s="11"/>
      <c r="Q1351" s="11"/>
      <c r="R1351" s="11"/>
      <c r="S1351" s="11">
        <f t="shared" si="318"/>
        <v>0</v>
      </c>
      <c r="T1351" s="11">
        <f t="shared" si="319"/>
        <v>1666.6666666666667</v>
      </c>
      <c r="U1351" s="11">
        <f t="shared" si="320"/>
        <v>0</v>
      </c>
      <c r="V1351" s="24">
        <f t="shared" si="321"/>
        <v>0</v>
      </c>
      <c r="W1351" s="11">
        <f>IF(V1351&lt;=40000,0,
IF(V1351&lt;=55000,(V1351-40000)*10%,
IF(V1351&lt;=70000,(V1351-55000)*15%+1500,
IF(V1351&lt;=200000,(V1351-70000)*20%+1500+2250,
IF(V1351&lt;=400000,(V1351-200000)*22.5%+1500+2250+26000,
IF(V1351&lt;=600000,(V1351-400000)*25%+1500+2250+26000+45000,
IF(AND(V1351&gt;600000,V1351&lt;=1200000),(V1351-400000)*25%+1500+2250+26000+45000
+IFERROR(LOOKUP(V1351,{600001;700001;800001;900001},{4000;6750;10250;15250}),0),IF(V1351&gt;1200000,((V1351-1200000)*27.5%)+300000,0)
)))))))</f>
        <v>0</v>
      </c>
      <c r="X1351" s="12">
        <f t="shared" si="322"/>
        <v>0</v>
      </c>
      <c r="Y1351" s="12">
        <f t="shared" si="323"/>
        <v>0</v>
      </c>
      <c r="Z1351" s="11"/>
      <c r="AA1351" s="13">
        <f t="shared" si="324"/>
        <v>0</v>
      </c>
      <c r="AB1351" s="12">
        <f t="shared" si="325"/>
        <v>0</v>
      </c>
      <c r="AC1351" s="14">
        <f t="shared" si="328"/>
        <v>0</v>
      </c>
      <c r="AE1351" s="19">
        <f t="shared" si="326"/>
        <v>0</v>
      </c>
      <c r="AF1351" s="19"/>
      <c r="AG1351" s="17"/>
      <c r="AK1351" s="7"/>
      <c r="AL1351" s="108">
        <f t="shared" si="329"/>
        <v>0</v>
      </c>
      <c r="AM1351" s="108">
        <f t="shared" si="330"/>
        <v>0</v>
      </c>
      <c r="AN1351" s="113"/>
    </row>
    <row r="1352" spans="2:40" x14ac:dyDescent="0.2">
      <c r="B1352" s="7"/>
      <c r="C1352" s="8"/>
      <c r="D1352" s="8"/>
      <c r="E1352" s="9"/>
      <c r="F1352" s="6"/>
      <c r="G1352" s="8"/>
      <c r="H1352" s="32"/>
      <c r="I1352" s="10" t="str">
        <f t="shared" si="327"/>
        <v>21</v>
      </c>
      <c r="J1352" s="11">
        <v>1</v>
      </c>
      <c r="K1352" s="11"/>
      <c r="L1352" s="11"/>
      <c r="M1352" s="11">
        <f t="shared" si="316"/>
        <v>0</v>
      </c>
      <c r="N1352" s="11"/>
      <c r="O1352" s="11">
        <f t="shared" si="317"/>
        <v>0</v>
      </c>
      <c r="P1352" s="11"/>
      <c r="Q1352" s="11"/>
      <c r="R1352" s="11"/>
      <c r="S1352" s="11">
        <f t="shared" si="318"/>
        <v>0</v>
      </c>
      <c r="T1352" s="11">
        <f t="shared" si="319"/>
        <v>1666.6666666666667</v>
      </c>
      <c r="U1352" s="11">
        <f t="shared" si="320"/>
        <v>0</v>
      </c>
      <c r="V1352" s="24">
        <f t="shared" si="321"/>
        <v>0</v>
      </c>
      <c r="W1352" s="11">
        <f>IF(V1352&lt;=40000,0,
IF(V1352&lt;=55000,(V1352-40000)*10%,
IF(V1352&lt;=70000,(V1352-55000)*15%+1500,
IF(V1352&lt;=200000,(V1352-70000)*20%+1500+2250,
IF(V1352&lt;=400000,(V1352-200000)*22.5%+1500+2250+26000,
IF(V1352&lt;=600000,(V1352-400000)*25%+1500+2250+26000+45000,
IF(AND(V1352&gt;600000,V1352&lt;=1200000),(V1352-400000)*25%+1500+2250+26000+45000
+IFERROR(LOOKUP(V1352,{600001;700001;800001;900001},{4000;6750;10250;15250}),0),IF(V1352&gt;1200000,((V1352-1200000)*27.5%)+300000,0)
)))))))</f>
        <v>0</v>
      </c>
      <c r="X1352" s="12">
        <f t="shared" si="322"/>
        <v>0</v>
      </c>
      <c r="Y1352" s="12">
        <f t="shared" si="323"/>
        <v>0</v>
      </c>
      <c r="Z1352" s="11"/>
      <c r="AA1352" s="13">
        <f t="shared" si="324"/>
        <v>0</v>
      </c>
      <c r="AB1352" s="12">
        <f t="shared" si="325"/>
        <v>0</v>
      </c>
      <c r="AC1352" s="14">
        <f t="shared" si="328"/>
        <v>0</v>
      </c>
      <c r="AE1352" s="19">
        <f t="shared" si="326"/>
        <v>0</v>
      </c>
      <c r="AF1352" s="19"/>
      <c r="AG1352" s="17"/>
      <c r="AK1352" s="7"/>
      <c r="AL1352" s="108">
        <f t="shared" si="329"/>
        <v>0</v>
      </c>
      <c r="AM1352" s="108">
        <f t="shared" si="330"/>
        <v>0</v>
      </c>
      <c r="AN1352" s="113"/>
    </row>
    <row r="1353" spans="2:40" x14ac:dyDescent="0.2">
      <c r="B1353" s="7"/>
      <c r="C1353" s="8"/>
      <c r="D1353" s="8"/>
      <c r="E1353" s="9"/>
      <c r="F1353" s="6"/>
      <c r="G1353" s="8"/>
      <c r="H1353" s="32"/>
      <c r="I1353" s="10" t="str">
        <f t="shared" si="327"/>
        <v>21</v>
      </c>
      <c r="J1353" s="11">
        <v>1</v>
      </c>
      <c r="K1353" s="11"/>
      <c r="L1353" s="11"/>
      <c r="M1353" s="11">
        <f t="shared" si="316"/>
        <v>0</v>
      </c>
      <c r="N1353" s="11"/>
      <c r="O1353" s="11">
        <f t="shared" si="317"/>
        <v>0</v>
      </c>
      <c r="P1353" s="11"/>
      <c r="Q1353" s="11"/>
      <c r="R1353" s="11"/>
      <c r="S1353" s="11">
        <f t="shared" si="318"/>
        <v>0</v>
      </c>
      <c r="T1353" s="11">
        <f t="shared" si="319"/>
        <v>1666.6666666666667</v>
      </c>
      <c r="U1353" s="11">
        <f t="shared" si="320"/>
        <v>0</v>
      </c>
      <c r="V1353" s="24">
        <f t="shared" si="321"/>
        <v>0</v>
      </c>
      <c r="W1353" s="11">
        <f>IF(V1353&lt;=40000,0,
IF(V1353&lt;=55000,(V1353-40000)*10%,
IF(V1353&lt;=70000,(V1353-55000)*15%+1500,
IF(V1353&lt;=200000,(V1353-70000)*20%+1500+2250,
IF(V1353&lt;=400000,(V1353-200000)*22.5%+1500+2250+26000,
IF(V1353&lt;=600000,(V1353-400000)*25%+1500+2250+26000+45000,
IF(AND(V1353&gt;600000,V1353&lt;=1200000),(V1353-400000)*25%+1500+2250+26000+45000
+IFERROR(LOOKUP(V1353,{600001;700001;800001;900001},{4000;6750;10250;15250}),0),IF(V1353&gt;1200000,((V1353-1200000)*27.5%)+300000,0)
)))))))</f>
        <v>0</v>
      </c>
      <c r="X1353" s="12">
        <f t="shared" si="322"/>
        <v>0</v>
      </c>
      <c r="Y1353" s="12">
        <f t="shared" si="323"/>
        <v>0</v>
      </c>
      <c r="Z1353" s="11"/>
      <c r="AA1353" s="13">
        <f t="shared" si="324"/>
        <v>0</v>
      </c>
      <c r="AB1353" s="12">
        <f t="shared" si="325"/>
        <v>0</v>
      </c>
      <c r="AC1353" s="14">
        <f t="shared" si="328"/>
        <v>0</v>
      </c>
      <c r="AE1353" s="19">
        <f t="shared" si="326"/>
        <v>0</v>
      </c>
      <c r="AF1353" s="19"/>
      <c r="AG1353" s="17"/>
      <c r="AK1353" s="7"/>
      <c r="AL1353" s="108">
        <f t="shared" si="329"/>
        <v>0</v>
      </c>
      <c r="AM1353" s="108">
        <f t="shared" si="330"/>
        <v>0</v>
      </c>
      <c r="AN1353" s="113"/>
    </row>
    <row r="1354" spans="2:40" x14ac:dyDescent="0.2">
      <c r="B1354" s="7"/>
      <c r="C1354" s="8"/>
      <c r="D1354" s="8"/>
      <c r="E1354" s="9"/>
      <c r="F1354" s="6"/>
      <c r="G1354" s="8"/>
      <c r="H1354" s="32"/>
      <c r="I1354" s="10" t="str">
        <f t="shared" si="327"/>
        <v>21</v>
      </c>
      <c r="J1354" s="11">
        <v>1</v>
      </c>
      <c r="K1354" s="11"/>
      <c r="L1354" s="11"/>
      <c r="M1354" s="11">
        <f t="shared" si="316"/>
        <v>0</v>
      </c>
      <c r="N1354" s="11"/>
      <c r="O1354" s="11">
        <f t="shared" si="317"/>
        <v>0</v>
      </c>
      <c r="P1354" s="11"/>
      <c r="Q1354" s="11"/>
      <c r="R1354" s="11"/>
      <c r="S1354" s="11">
        <f t="shared" si="318"/>
        <v>0</v>
      </c>
      <c r="T1354" s="11">
        <f t="shared" si="319"/>
        <v>1666.6666666666667</v>
      </c>
      <c r="U1354" s="11">
        <f t="shared" si="320"/>
        <v>0</v>
      </c>
      <c r="V1354" s="24">
        <f t="shared" si="321"/>
        <v>0</v>
      </c>
      <c r="W1354" s="11">
        <f>IF(V1354&lt;=40000,0,
IF(V1354&lt;=55000,(V1354-40000)*10%,
IF(V1354&lt;=70000,(V1354-55000)*15%+1500,
IF(V1354&lt;=200000,(V1354-70000)*20%+1500+2250,
IF(V1354&lt;=400000,(V1354-200000)*22.5%+1500+2250+26000,
IF(V1354&lt;=600000,(V1354-400000)*25%+1500+2250+26000+45000,
IF(AND(V1354&gt;600000,V1354&lt;=1200000),(V1354-400000)*25%+1500+2250+26000+45000
+IFERROR(LOOKUP(V1354,{600001;700001;800001;900001},{4000;6750;10250;15250}),0),IF(V1354&gt;1200000,((V1354-1200000)*27.5%)+300000,0)
)))))))</f>
        <v>0</v>
      </c>
      <c r="X1354" s="12">
        <f t="shared" si="322"/>
        <v>0</v>
      </c>
      <c r="Y1354" s="12">
        <f t="shared" si="323"/>
        <v>0</v>
      </c>
      <c r="Z1354" s="11"/>
      <c r="AA1354" s="13">
        <f t="shared" si="324"/>
        <v>0</v>
      </c>
      <c r="AB1354" s="12">
        <f t="shared" si="325"/>
        <v>0</v>
      </c>
      <c r="AC1354" s="14">
        <f t="shared" si="328"/>
        <v>0</v>
      </c>
      <c r="AE1354" s="19">
        <f t="shared" si="326"/>
        <v>0</v>
      </c>
      <c r="AF1354" s="19"/>
      <c r="AG1354" s="17"/>
      <c r="AK1354" s="7"/>
      <c r="AL1354" s="108">
        <f t="shared" si="329"/>
        <v>0</v>
      </c>
      <c r="AM1354" s="108">
        <f t="shared" si="330"/>
        <v>0</v>
      </c>
      <c r="AN1354" s="113"/>
    </row>
    <row r="1355" spans="2:40" x14ac:dyDescent="0.2">
      <c r="B1355" s="7"/>
      <c r="C1355" s="8"/>
      <c r="D1355" s="8"/>
      <c r="E1355" s="9"/>
      <c r="F1355" s="6"/>
      <c r="G1355" s="8"/>
      <c r="H1355" s="32"/>
      <c r="I1355" s="10" t="str">
        <f t="shared" si="327"/>
        <v>21</v>
      </c>
      <c r="J1355" s="11">
        <v>1</v>
      </c>
      <c r="K1355" s="11"/>
      <c r="L1355" s="11"/>
      <c r="M1355" s="11">
        <f t="shared" si="316"/>
        <v>0</v>
      </c>
      <c r="N1355" s="11"/>
      <c r="O1355" s="11">
        <f t="shared" si="317"/>
        <v>0</v>
      </c>
      <c r="P1355" s="11"/>
      <c r="Q1355" s="11"/>
      <c r="R1355" s="11"/>
      <c r="S1355" s="11">
        <f t="shared" si="318"/>
        <v>0</v>
      </c>
      <c r="T1355" s="11">
        <f t="shared" si="319"/>
        <v>1666.6666666666667</v>
      </c>
      <c r="U1355" s="11">
        <f t="shared" si="320"/>
        <v>0</v>
      </c>
      <c r="V1355" s="24">
        <f t="shared" si="321"/>
        <v>0</v>
      </c>
      <c r="W1355" s="11">
        <f>IF(V1355&lt;=40000,0,
IF(V1355&lt;=55000,(V1355-40000)*10%,
IF(V1355&lt;=70000,(V1355-55000)*15%+1500,
IF(V1355&lt;=200000,(V1355-70000)*20%+1500+2250,
IF(V1355&lt;=400000,(V1355-200000)*22.5%+1500+2250+26000,
IF(V1355&lt;=600000,(V1355-400000)*25%+1500+2250+26000+45000,
IF(AND(V1355&gt;600000,V1355&lt;=1200000),(V1355-400000)*25%+1500+2250+26000+45000
+IFERROR(LOOKUP(V1355,{600001;700001;800001;900001},{4000;6750;10250;15250}),0),IF(V1355&gt;1200000,((V1355-1200000)*27.5%)+300000,0)
)))))))</f>
        <v>0</v>
      </c>
      <c r="X1355" s="12">
        <f t="shared" si="322"/>
        <v>0</v>
      </c>
      <c r="Y1355" s="12">
        <f t="shared" si="323"/>
        <v>0</v>
      </c>
      <c r="Z1355" s="11"/>
      <c r="AA1355" s="13">
        <f t="shared" si="324"/>
        <v>0</v>
      </c>
      <c r="AB1355" s="12">
        <f t="shared" si="325"/>
        <v>0</v>
      </c>
      <c r="AC1355" s="14">
        <f t="shared" si="328"/>
        <v>0</v>
      </c>
      <c r="AE1355" s="19">
        <f t="shared" si="326"/>
        <v>0</v>
      </c>
      <c r="AF1355" s="19"/>
      <c r="AG1355" s="17"/>
      <c r="AK1355" s="7"/>
      <c r="AL1355" s="108">
        <f t="shared" si="329"/>
        <v>0</v>
      </c>
      <c r="AM1355" s="108">
        <f t="shared" si="330"/>
        <v>0</v>
      </c>
      <c r="AN1355" s="113"/>
    </row>
    <row r="1356" spans="2:40" x14ac:dyDescent="0.2">
      <c r="B1356" s="7"/>
      <c r="C1356" s="8"/>
      <c r="D1356" s="8"/>
      <c r="E1356" s="9"/>
      <c r="F1356" s="6"/>
      <c r="G1356" s="8"/>
      <c r="H1356" s="32"/>
      <c r="I1356" s="10" t="str">
        <f t="shared" si="327"/>
        <v>21</v>
      </c>
      <c r="J1356" s="11">
        <v>1</v>
      </c>
      <c r="K1356" s="11"/>
      <c r="L1356" s="11"/>
      <c r="M1356" s="11">
        <f t="shared" si="316"/>
        <v>0</v>
      </c>
      <c r="N1356" s="11"/>
      <c r="O1356" s="11">
        <f t="shared" si="317"/>
        <v>0</v>
      </c>
      <c r="P1356" s="11"/>
      <c r="Q1356" s="11"/>
      <c r="R1356" s="11"/>
      <c r="S1356" s="11">
        <f t="shared" si="318"/>
        <v>0</v>
      </c>
      <c r="T1356" s="11">
        <f t="shared" si="319"/>
        <v>1666.6666666666667</v>
      </c>
      <c r="U1356" s="11">
        <f t="shared" si="320"/>
        <v>0</v>
      </c>
      <c r="V1356" s="24">
        <f t="shared" si="321"/>
        <v>0</v>
      </c>
      <c r="W1356" s="11">
        <f>IF(V1356&lt;=40000,0,
IF(V1356&lt;=55000,(V1356-40000)*10%,
IF(V1356&lt;=70000,(V1356-55000)*15%+1500,
IF(V1356&lt;=200000,(V1356-70000)*20%+1500+2250,
IF(V1356&lt;=400000,(V1356-200000)*22.5%+1500+2250+26000,
IF(V1356&lt;=600000,(V1356-400000)*25%+1500+2250+26000+45000,
IF(AND(V1356&gt;600000,V1356&lt;=1200000),(V1356-400000)*25%+1500+2250+26000+45000
+IFERROR(LOOKUP(V1356,{600001;700001;800001;900001},{4000;6750;10250;15250}),0),IF(V1356&gt;1200000,((V1356-1200000)*27.5%)+300000,0)
)))))))</f>
        <v>0</v>
      </c>
      <c r="X1356" s="12">
        <f t="shared" si="322"/>
        <v>0</v>
      </c>
      <c r="Y1356" s="12">
        <f t="shared" si="323"/>
        <v>0</v>
      </c>
      <c r="Z1356" s="11"/>
      <c r="AA1356" s="13">
        <f t="shared" si="324"/>
        <v>0</v>
      </c>
      <c r="AB1356" s="12">
        <f t="shared" si="325"/>
        <v>0</v>
      </c>
      <c r="AC1356" s="14">
        <f t="shared" si="328"/>
        <v>0</v>
      </c>
      <c r="AE1356" s="19">
        <f t="shared" si="326"/>
        <v>0</v>
      </c>
      <c r="AF1356" s="19"/>
      <c r="AG1356" s="17"/>
      <c r="AK1356" s="7"/>
      <c r="AL1356" s="108">
        <f t="shared" si="329"/>
        <v>0</v>
      </c>
      <c r="AM1356" s="108">
        <f t="shared" si="330"/>
        <v>0</v>
      </c>
      <c r="AN1356" s="113"/>
    </row>
    <row r="1357" spans="2:40" x14ac:dyDescent="0.2">
      <c r="B1357" s="7"/>
      <c r="C1357" s="8"/>
      <c r="D1357" s="8"/>
      <c r="E1357" s="9"/>
      <c r="F1357" s="6"/>
      <c r="G1357" s="8"/>
      <c r="H1357" s="32"/>
      <c r="I1357" s="10" t="str">
        <f t="shared" si="327"/>
        <v>21</v>
      </c>
      <c r="J1357" s="11">
        <v>1</v>
      </c>
      <c r="K1357" s="11"/>
      <c r="L1357" s="11"/>
      <c r="M1357" s="11">
        <f t="shared" si="316"/>
        <v>0</v>
      </c>
      <c r="N1357" s="11"/>
      <c r="O1357" s="11">
        <f t="shared" si="317"/>
        <v>0</v>
      </c>
      <c r="P1357" s="11"/>
      <c r="Q1357" s="11"/>
      <c r="R1357" s="11"/>
      <c r="S1357" s="11">
        <f t="shared" si="318"/>
        <v>0</v>
      </c>
      <c r="T1357" s="11">
        <f t="shared" si="319"/>
        <v>1666.6666666666667</v>
      </c>
      <c r="U1357" s="11">
        <f t="shared" si="320"/>
        <v>0</v>
      </c>
      <c r="V1357" s="24">
        <f t="shared" si="321"/>
        <v>0</v>
      </c>
      <c r="W1357" s="11">
        <f>IF(V1357&lt;=40000,0,
IF(V1357&lt;=55000,(V1357-40000)*10%,
IF(V1357&lt;=70000,(V1357-55000)*15%+1500,
IF(V1357&lt;=200000,(V1357-70000)*20%+1500+2250,
IF(V1357&lt;=400000,(V1357-200000)*22.5%+1500+2250+26000,
IF(V1357&lt;=600000,(V1357-400000)*25%+1500+2250+26000+45000,
IF(AND(V1357&gt;600000,V1357&lt;=1200000),(V1357-400000)*25%+1500+2250+26000+45000
+IFERROR(LOOKUP(V1357,{600001;700001;800001;900001},{4000;6750;10250;15250}),0),IF(V1357&gt;1200000,((V1357-1200000)*27.5%)+300000,0)
)))))))</f>
        <v>0</v>
      </c>
      <c r="X1357" s="12">
        <f t="shared" si="322"/>
        <v>0</v>
      </c>
      <c r="Y1357" s="12">
        <f t="shared" si="323"/>
        <v>0</v>
      </c>
      <c r="Z1357" s="11"/>
      <c r="AA1357" s="13">
        <f t="shared" si="324"/>
        <v>0</v>
      </c>
      <c r="AB1357" s="12">
        <f t="shared" si="325"/>
        <v>0</v>
      </c>
      <c r="AC1357" s="14">
        <f t="shared" si="328"/>
        <v>0</v>
      </c>
      <c r="AE1357" s="19">
        <f t="shared" si="326"/>
        <v>0</v>
      </c>
      <c r="AF1357" s="19"/>
      <c r="AG1357" s="17"/>
      <c r="AK1357" s="7"/>
      <c r="AL1357" s="108">
        <f t="shared" si="329"/>
        <v>0</v>
      </c>
      <c r="AM1357" s="108">
        <f t="shared" si="330"/>
        <v>0</v>
      </c>
      <c r="AN1357" s="113"/>
    </row>
    <row r="1358" spans="2:40" x14ac:dyDescent="0.2">
      <c r="B1358" s="7"/>
      <c r="C1358" s="8"/>
      <c r="D1358" s="8"/>
      <c r="E1358" s="9"/>
      <c r="F1358" s="6"/>
      <c r="G1358" s="8"/>
      <c r="H1358" s="32"/>
      <c r="I1358" s="10" t="str">
        <f t="shared" si="327"/>
        <v>21</v>
      </c>
      <c r="J1358" s="11">
        <v>1</v>
      </c>
      <c r="K1358" s="11"/>
      <c r="L1358" s="11"/>
      <c r="M1358" s="11">
        <f t="shared" si="316"/>
        <v>0</v>
      </c>
      <c r="N1358" s="11"/>
      <c r="O1358" s="11">
        <f t="shared" si="317"/>
        <v>0</v>
      </c>
      <c r="P1358" s="11"/>
      <c r="Q1358" s="11"/>
      <c r="R1358" s="11"/>
      <c r="S1358" s="11">
        <f t="shared" si="318"/>
        <v>0</v>
      </c>
      <c r="T1358" s="11">
        <f t="shared" si="319"/>
        <v>1666.6666666666667</v>
      </c>
      <c r="U1358" s="11">
        <f t="shared" si="320"/>
        <v>0</v>
      </c>
      <c r="V1358" s="24">
        <f t="shared" si="321"/>
        <v>0</v>
      </c>
      <c r="W1358" s="11">
        <f>IF(V1358&lt;=40000,0,
IF(V1358&lt;=55000,(V1358-40000)*10%,
IF(V1358&lt;=70000,(V1358-55000)*15%+1500,
IF(V1358&lt;=200000,(V1358-70000)*20%+1500+2250,
IF(V1358&lt;=400000,(V1358-200000)*22.5%+1500+2250+26000,
IF(V1358&lt;=600000,(V1358-400000)*25%+1500+2250+26000+45000,
IF(AND(V1358&gt;600000,V1358&lt;=1200000),(V1358-400000)*25%+1500+2250+26000+45000
+IFERROR(LOOKUP(V1358,{600001;700001;800001;900001},{4000;6750;10250;15250}),0),IF(V1358&gt;1200000,((V1358-1200000)*27.5%)+300000,0)
)))))))</f>
        <v>0</v>
      </c>
      <c r="X1358" s="12">
        <f t="shared" si="322"/>
        <v>0</v>
      </c>
      <c r="Y1358" s="12">
        <f t="shared" si="323"/>
        <v>0</v>
      </c>
      <c r="Z1358" s="11"/>
      <c r="AA1358" s="13">
        <f t="shared" si="324"/>
        <v>0</v>
      </c>
      <c r="AB1358" s="12">
        <f t="shared" si="325"/>
        <v>0</v>
      </c>
      <c r="AC1358" s="14">
        <f t="shared" si="328"/>
        <v>0</v>
      </c>
      <c r="AE1358" s="19">
        <f t="shared" si="326"/>
        <v>0</v>
      </c>
      <c r="AF1358" s="19"/>
      <c r="AG1358" s="17"/>
      <c r="AK1358" s="7"/>
      <c r="AL1358" s="108">
        <f t="shared" si="329"/>
        <v>0</v>
      </c>
      <c r="AM1358" s="108">
        <f t="shared" si="330"/>
        <v>0</v>
      </c>
      <c r="AN1358" s="113"/>
    </row>
    <row r="1359" spans="2:40" x14ac:dyDescent="0.2">
      <c r="B1359" s="7"/>
      <c r="C1359" s="8"/>
      <c r="D1359" s="8"/>
      <c r="E1359" s="9"/>
      <c r="F1359" s="6"/>
      <c r="G1359" s="8"/>
      <c r="H1359" s="32"/>
      <c r="I1359" s="10" t="str">
        <f t="shared" si="327"/>
        <v>21</v>
      </c>
      <c r="J1359" s="11">
        <v>1</v>
      </c>
      <c r="K1359" s="11"/>
      <c r="L1359" s="11"/>
      <c r="M1359" s="11">
        <f t="shared" si="316"/>
        <v>0</v>
      </c>
      <c r="N1359" s="11"/>
      <c r="O1359" s="11">
        <f t="shared" si="317"/>
        <v>0</v>
      </c>
      <c r="P1359" s="11"/>
      <c r="Q1359" s="11"/>
      <c r="R1359" s="11"/>
      <c r="S1359" s="11">
        <f t="shared" si="318"/>
        <v>0</v>
      </c>
      <c r="T1359" s="11">
        <f t="shared" si="319"/>
        <v>1666.6666666666667</v>
      </c>
      <c r="U1359" s="11">
        <f t="shared" si="320"/>
        <v>0</v>
      </c>
      <c r="V1359" s="24">
        <f t="shared" si="321"/>
        <v>0</v>
      </c>
      <c r="W1359" s="11">
        <f>IF(V1359&lt;=40000,0,
IF(V1359&lt;=55000,(V1359-40000)*10%,
IF(V1359&lt;=70000,(V1359-55000)*15%+1500,
IF(V1359&lt;=200000,(V1359-70000)*20%+1500+2250,
IF(V1359&lt;=400000,(V1359-200000)*22.5%+1500+2250+26000,
IF(V1359&lt;=600000,(V1359-400000)*25%+1500+2250+26000+45000,
IF(AND(V1359&gt;600000,V1359&lt;=1200000),(V1359-400000)*25%+1500+2250+26000+45000
+IFERROR(LOOKUP(V1359,{600001;700001;800001;900001},{4000;6750;10250;15250}),0),IF(V1359&gt;1200000,((V1359-1200000)*27.5%)+300000,0)
)))))))</f>
        <v>0</v>
      </c>
      <c r="X1359" s="12">
        <f t="shared" si="322"/>
        <v>0</v>
      </c>
      <c r="Y1359" s="12">
        <f t="shared" si="323"/>
        <v>0</v>
      </c>
      <c r="Z1359" s="11"/>
      <c r="AA1359" s="13">
        <f t="shared" si="324"/>
        <v>0</v>
      </c>
      <c r="AB1359" s="12">
        <f t="shared" si="325"/>
        <v>0</v>
      </c>
      <c r="AC1359" s="14">
        <f t="shared" si="328"/>
        <v>0</v>
      </c>
      <c r="AE1359" s="19">
        <f t="shared" si="326"/>
        <v>0</v>
      </c>
      <c r="AF1359" s="19"/>
      <c r="AG1359" s="17"/>
      <c r="AK1359" s="7"/>
      <c r="AL1359" s="108">
        <f t="shared" si="329"/>
        <v>0</v>
      </c>
      <c r="AM1359" s="108">
        <f t="shared" si="330"/>
        <v>0</v>
      </c>
      <c r="AN1359" s="113"/>
    </row>
    <row r="1360" spans="2:40" x14ac:dyDescent="0.2">
      <c r="B1360" s="7"/>
      <c r="C1360" s="8"/>
      <c r="D1360" s="8"/>
      <c r="E1360" s="9"/>
      <c r="F1360" s="6"/>
      <c r="G1360" s="8"/>
      <c r="H1360" s="32"/>
      <c r="I1360" s="10" t="str">
        <f t="shared" si="327"/>
        <v>21</v>
      </c>
      <c r="J1360" s="11">
        <v>1</v>
      </c>
      <c r="K1360" s="11"/>
      <c r="L1360" s="11"/>
      <c r="M1360" s="11">
        <f t="shared" si="316"/>
        <v>0</v>
      </c>
      <c r="N1360" s="11"/>
      <c r="O1360" s="11">
        <f t="shared" si="317"/>
        <v>0</v>
      </c>
      <c r="P1360" s="11"/>
      <c r="Q1360" s="11"/>
      <c r="R1360" s="11"/>
      <c r="S1360" s="11">
        <f t="shared" si="318"/>
        <v>0</v>
      </c>
      <c r="T1360" s="11">
        <f t="shared" si="319"/>
        <v>1666.6666666666667</v>
      </c>
      <c r="U1360" s="11">
        <f t="shared" si="320"/>
        <v>0</v>
      </c>
      <c r="V1360" s="24">
        <f t="shared" si="321"/>
        <v>0</v>
      </c>
      <c r="W1360" s="11">
        <f>IF(V1360&lt;=40000,0,
IF(V1360&lt;=55000,(V1360-40000)*10%,
IF(V1360&lt;=70000,(V1360-55000)*15%+1500,
IF(V1360&lt;=200000,(V1360-70000)*20%+1500+2250,
IF(V1360&lt;=400000,(V1360-200000)*22.5%+1500+2250+26000,
IF(V1360&lt;=600000,(V1360-400000)*25%+1500+2250+26000+45000,
IF(AND(V1360&gt;600000,V1360&lt;=1200000),(V1360-400000)*25%+1500+2250+26000+45000
+IFERROR(LOOKUP(V1360,{600001;700001;800001;900001},{4000;6750;10250;15250}),0),IF(V1360&gt;1200000,((V1360-1200000)*27.5%)+300000,0)
)))))))</f>
        <v>0</v>
      </c>
      <c r="X1360" s="12">
        <f t="shared" si="322"/>
        <v>0</v>
      </c>
      <c r="Y1360" s="12">
        <f t="shared" si="323"/>
        <v>0</v>
      </c>
      <c r="Z1360" s="11"/>
      <c r="AA1360" s="13">
        <f t="shared" si="324"/>
        <v>0</v>
      </c>
      <c r="AB1360" s="12">
        <f t="shared" si="325"/>
        <v>0</v>
      </c>
      <c r="AC1360" s="14">
        <f t="shared" si="328"/>
        <v>0</v>
      </c>
      <c r="AE1360" s="19">
        <f t="shared" si="326"/>
        <v>0</v>
      </c>
      <c r="AF1360" s="19"/>
      <c r="AG1360" s="17"/>
      <c r="AK1360" s="7"/>
      <c r="AL1360" s="108">
        <f t="shared" si="329"/>
        <v>0</v>
      </c>
      <c r="AM1360" s="108">
        <f t="shared" si="330"/>
        <v>0</v>
      </c>
      <c r="AN1360" s="113"/>
    </row>
    <row r="1361" spans="2:40" x14ac:dyDescent="0.2">
      <c r="B1361" s="7"/>
      <c r="C1361" s="8"/>
      <c r="D1361" s="8"/>
      <c r="E1361" s="9"/>
      <c r="F1361" s="6"/>
      <c r="G1361" s="8"/>
      <c r="H1361" s="32"/>
      <c r="I1361" s="10" t="str">
        <f t="shared" si="327"/>
        <v>21</v>
      </c>
      <c r="J1361" s="11">
        <v>1</v>
      </c>
      <c r="K1361" s="11"/>
      <c r="L1361" s="11"/>
      <c r="M1361" s="11">
        <f t="shared" si="316"/>
        <v>0</v>
      </c>
      <c r="N1361" s="11"/>
      <c r="O1361" s="11">
        <f t="shared" si="317"/>
        <v>0</v>
      </c>
      <c r="P1361" s="11"/>
      <c r="Q1361" s="11"/>
      <c r="R1361" s="11"/>
      <c r="S1361" s="11">
        <f t="shared" si="318"/>
        <v>0</v>
      </c>
      <c r="T1361" s="11">
        <f t="shared" si="319"/>
        <v>1666.6666666666667</v>
      </c>
      <c r="U1361" s="11">
        <f t="shared" si="320"/>
        <v>0</v>
      </c>
      <c r="V1361" s="24">
        <f t="shared" si="321"/>
        <v>0</v>
      </c>
      <c r="W1361" s="11">
        <f>IF(V1361&lt;=40000,0,
IF(V1361&lt;=55000,(V1361-40000)*10%,
IF(V1361&lt;=70000,(V1361-55000)*15%+1500,
IF(V1361&lt;=200000,(V1361-70000)*20%+1500+2250,
IF(V1361&lt;=400000,(V1361-200000)*22.5%+1500+2250+26000,
IF(V1361&lt;=600000,(V1361-400000)*25%+1500+2250+26000+45000,
IF(AND(V1361&gt;600000,V1361&lt;=1200000),(V1361-400000)*25%+1500+2250+26000+45000
+IFERROR(LOOKUP(V1361,{600001;700001;800001;900001},{4000;6750;10250;15250}),0),IF(V1361&gt;1200000,((V1361-1200000)*27.5%)+300000,0)
)))))))</f>
        <v>0</v>
      </c>
      <c r="X1361" s="12">
        <f t="shared" si="322"/>
        <v>0</v>
      </c>
      <c r="Y1361" s="12">
        <f t="shared" si="323"/>
        <v>0</v>
      </c>
      <c r="Z1361" s="11"/>
      <c r="AA1361" s="13">
        <f t="shared" si="324"/>
        <v>0</v>
      </c>
      <c r="AB1361" s="12">
        <f t="shared" si="325"/>
        <v>0</v>
      </c>
      <c r="AC1361" s="14">
        <f t="shared" si="328"/>
        <v>0</v>
      </c>
      <c r="AE1361" s="19">
        <f t="shared" si="326"/>
        <v>0</v>
      </c>
      <c r="AF1361" s="19"/>
      <c r="AG1361" s="17"/>
      <c r="AK1361" s="7"/>
      <c r="AL1361" s="108">
        <f t="shared" si="329"/>
        <v>0</v>
      </c>
      <c r="AM1361" s="108">
        <f t="shared" si="330"/>
        <v>0</v>
      </c>
      <c r="AN1361" s="113"/>
    </row>
    <row r="1362" spans="2:40" x14ac:dyDescent="0.2">
      <c r="B1362" s="7"/>
      <c r="C1362" s="8"/>
      <c r="D1362" s="8"/>
      <c r="E1362" s="9"/>
      <c r="F1362" s="6"/>
      <c r="G1362" s="8"/>
      <c r="H1362" s="32"/>
      <c r="I1362" s="10" t="str">
        <f t="shared" si="327"/>
        <v>21</v>
      </c>
      <c r="J1362" s="11">
        <v>1</v>
      </c>
      <c r="K1362" s="11"/>
      <c r="L1362" s="11"/>
      <c r="M1362" s="11">
        <f t="shared" si="316"/>
        <v>0</v>
      </c>
      <c r="N1362" s="11"/>
      <c r="O1362" s="11">
        <f t="shared" si="317"/>
        <v>0</v>
      </c>
      <c r="P1362" s="11"/>
      <c r="Q1362" s="11"/>
      <c r="R1362" s="11"/>
      <c r="S1362" s="11">
        <f t="shared" si="318"/>
        <v>0</v>
      </c>
      <c r="T1362" s="11">
        <f t="shared" si="319"/>
        <v>1666.6666666666667</v>
      </c>
      <c r="U1362" s="11">
        <f t="shared" si="320"/>
        <v>0</v>
      </c>
      <c r="V1362" s="24">
        <f t="shared" si="321"/>
        <v>0</v>
      </c>
      <c r="W1362" s="11">
        <f>IF(V1362&lt;=40000,0,
IF(V1362&lt;=55000,(V1362-40000)*10%,
IF(V1362&lt;=70000,(V1362-55000)*15%+1500,
IF(V1362&lt;=200000,(V1362-70000)*20%+1500+2250,
IF(V1362&lt;=400000,(V1362-200000)*22.5%+1500+2250+26000,
IF(V1362&lt;=600000,(V1362-400000)*25%+1500+2250+26000+45000,
IF(AND(V1362&gt;600000,V1362&lt;=1200000),(V1362-400000)*25%+1500+2250+26000+45000
+IFERROR(LOOKUP(V1362,{600001;700001;800001;900001},{4000;6750;10250;15250}),0),IF(V1362&gt;1200000,((V1362-1200000)*27.5%)+300000,0)
)))))))</f>
        <v>0</v>
      </c>
      <c r="X1362" s="12">
        <f t="shared" si="322"/>
        <v>0</v>
      </c>
      <c r="Y1362" s="12">
        <f t="shared" si="323"/>
        <v>0</v>
      </c>
      <c r="Z1362" s="11"/>
      <c r="AA1362" s="13">
        <f t="shared" si="324"/>
        <v>0</v>
      </c>
      <c r="AB1362" s="12">
        <f t="shared" si="325"/>
        <v>0</v>
      </c>
      <c r="AC1362" s="14">
        <f t="shared" si="328"/>
        <v>0</v>
      </c>
      <c r="AE1362" s="19">
        <f t="shared" si="326"/>
        <v>0</v>
      </c>
      <c r="AF1362" s="19"/>
      <c r="AG1362" s="17"/>
      <c r="AK1362" s="7"/>
      <c r="AL1362" s="108">
        <f t="shared" si="329"/>
        <v>0</v>
      </c>
      <c r="AM1362" s="108">
        <f t="shared" si="330"/>
        <v>0</v>
      </c>
      <c r="AN1362" s="113"/>
    </row>
    <row r="1363" spans="2:40" x14ac:dyDescent="0.2">
      <c r="B1363" s="7"/>
      <c r="C1363" s="8"/>
      <c r="D1363" s="8"/>
      <c r="E1363" s="9"/>
      <c r="F1363" s="6"/>
      <c r="G1363" s="8"/>
      <c r="H1363" s="32"/>
      <c r="I1363" s="10" t="str">
        <f t="shared" si="327"/>
        <v>21</v>
      </c>
      <c r="J1363" s="11">
        <v>1</v>
      </c>
      <c r="K1363" s="11"/>
      <c r="L1363" s="11"/>
      <c r="M1363" s="11">
        <f t="shared" si="316"/>
        <v>0</v>
      </c>
      <c r="N1363" s="11"/>
      <c r="O1363" s="11">
        <f t="shared" si="317"/>
        <v>0</v>
      </c>
      <c r="P1363" s="11"/>
      <c r="Q1363" s="11"/>
      <c r="R1363" s="11"/>
      <c r="S1363" s="11">
        <f t="shared" si="318"/>
        <v>0</v>
      </c>
      <c r="T1363" s="11">
        <f t="shared" si="319"/>
        <v>1666.6666666666667</v>
      </c>
      <c r="U1363" s="11">
        <f t="shared" si="320"/>
        <v>0</v>
      </c>
      <c r="V1363" s="24">
        <f t="shared" si="321"/>
        <v>0</v>
      </c>
      <c r="W1363" s="11">
        <f>IF(V1363&lt;=40000,0,
IF(V1363&lt;=55000,(V1363-40000)*10%,
IF(V1363&lt;=70000,(V1363-55000)*15%+1500,
IF(V1363&lt;=200000,(V1363-70000)*20%+1500+2250,
IF(V1363&lt;=400000,(V1363-200000)*22.5%+1500+2250+26000,
IF(V1363&lt;=600000,(V1363-400000)*25%+1500+2250+26000+45000,
IF(AND(V1363&gt;600000,V1363&lt;=1200000),(V1363-400000)*25%+1500+2250+26000+45000
+IFERROR(LOOKUP(V1363,{600001;700001;800001;900001},{4000;6750;10250;15250}),0),IF(V1363&gt;1200000,((V1363-1200000)*27.5%)+300000,0)
)))))))</f>
        <v>0</v>
      </c>
      <c r="X1363" s="12">
        <f t="shared" si="322"/>
        <v>0</v>
      </c>
      <c r="Y1363" s="12">
        <f t="shared" si="323"/>
        <v>0</v>
      </c>
      <c r="Z1363" s="11"/>
      <c r="AA1363" s="13">
        <f t="shared" si="324"/>
        <v>0</v>
      </c>
      <c r="AB1363" s="12">
        <f t="shared" si="325"/>
        <v>0</v>
      </c>
      <c r="AC1363" s="14">
        <f t="shared" si="328"/>
        <v>0</v>
      </c>
      <c r="AE1363" s="19">
        <f t="shared" si="326"/>
        <v>0</v>
      </c>
      <c r="AF1363" s="19"/>
      <c r="AG1363" s="17"/>
      <c r="AK1363" s="7"/>
      <c r="AL1363" s="108">
        <f t="shared" si="329"/>
        <v>0</v>
      </c>
      <c r="AM1363" s="108">
        <f t="shared" si="330"/>
        <v>0</v>
      </c>
      <c r="AN1363" s="113"/>
    </row>
    <row r="1364" spans="2:40" x14ac:dyDescent="0.2">
      <c r="B1364" s="7"/>
      <c r="C1364" s="8"/>
      <c r="D1364" s="8"/>
      <c r="E1364" s="9"/>
      <c r="F1364" s="6"/>
      <c r="G1364" s="8"/>
      <c r="H1364" s="32"/>
      <c r="I1364" s="10" t="str">
        <f t="shared" si="327"/>
        <v>21</v>
      </c>
      <c r="J1364" s="11">
        <v>1</v>
      </c>
      <c r="K1364" s="11"/>
      <c r="L1364" s="11"/>
      <c r="M1364" s="11">
        <f t="shared" si="316"/>
        <v>0</v>
      </c>
      <c r="N1364" s="11"/>
      <c r="O1364" s="11">
        <f t="shared" si="317"/>
        <v>0</v>
      </c>
      <c r="P1364" s="11"/>
      <c r="Q1364" s="11"/>
      <c r="R1364" s="11"/>
      <c r="S1364" s="11">
        <f t="shared" si="318"/>
        <v>0</v>
      </c>
      <c r="T1364" s="11">
        <f t="shared" si="319"/>
        <v>1666.6666666666667</v>
      </c>
      <c r="U1364" s="11">
        <f t="shared" si="320"/>
        <v>0</v>
      </c>
      <c r="V1364" s="24">
        <f t="shared" si="321"/>
        <v>0</v>
      </c>
      <c r="W1364" s="11">
        <f>IF(V1364&lt;=40000,0,
IF(V1364&lt;=55000,(V1364-40000)*10%,
IF(V1364&lt;=70000,(V1364-55000)*15%+1500,
IF(V1364&lt;=200000,(V1364-70000)*20%+1500+2250,
IF(V1364&lt;=400000,(V1364-200000)*22.5%+1500+2250+26000,
IF(V1364&lt;=600000,(V1364-400000)*25%+1500+2250+26000+45000,
IF(AND(V1364&gt;600000,V1364&lt;=1200000),(V1364-400000)*25%+1500+2250+26000+45000
+IFERROR(LOOKUP(V1364,{600001;700001;800001;900001},{4000;6750;10250;15250}),0),IF(V1364&gt;1200000,((V1364-1200000)*27.5%)+300000,0)
)))))))</f>
        <v>0</v>
      </c>
      <c r="X1364" s="12">
        <f t="shared" si="322"/>
        <v>0</v>
      </c>
      <c r="Y1364" s="12">
        <f t="shared" si="323"/>
        <v>0</v>
      </c>
      <c r="Z1364" s="11"/>
      <c r="AA1364" s="13">
        <f t="shared" si="324"/>
        <v>0</v>
      </c>
      <c r="AB1364" s="12">
        <f t="shared" si="325"/>
        <v>0</v>
      </c>
      <c r="AC1364" s="14">
        <f t="shared" si="328"/>
        <v>0</v>
      </c>
      <c r="AE1364" s="19">
        <f t="shared" si="326"/>
        <v>0</v>
      </c>
      <c r="AF1364" s="19"/>
      <c r="AG1364" s="17"/>
      <c r="AK1364" s="7"/>
      <c r="AL1364" s="108">
        <f t="shared" si="329"/>
        <v>0</v>
      </c>
      <c r="AM1364" s="108">
        <f t="shared" si="330"/>
        <v>0</v>
      </c>
      <c r="AN1364" s="113"/>
    </row>
    <row r="1365" spans="2:40" x14ac:dyDescent="0.2">
      <c r="B1365" s="7"/>
      <c r="C1365" s="8"/>
      <c r="D1365" s="8"/>
      <c r="E1365" s="9"/>
      <c r="F1365" s="6"/>
      <c r="G1365" s="8"/>
      <c r="H1365" s="32"/>
      <c r="I1365" s="10" t="str">
        <f t="shared" si="327"/>
        <v>21</v>
      </c>
      <c r="J1365" s="11">
        <v>1</v>
      </c>
      <c r="K1365" s="11"/>
      <c r="L1365" s="11"/>
      <c r="M1365" s="11">
        <f t="shared" si="316"/>
        <v>0</v>
      </c>
      <c r="N1365" s="11"/>
      <c r="O1365" s="11">
        <f t="shared" si="317"/>
        <v>0</v>
      </c>
      <c r="P1365" s="11"/>
      <c r="Q1365" s="11"/>
      <c r="R1365" s="11"/>
      <c r="S1365" s="11">
        <f t="shared" si="318"/>
        <v>0</v>
      </c>
      <c r="T1365" s="11">
        <f t="shared" si="319"/>
        <v>1666.6666666666667</v>
      </c>
      <c r="U1365" s="11">
        <f t="shared" si="320"/>
        <v>0</v>
      </c>
      <c r="V1365" s="24">
        <f t="shared" si="321"/>
        <v>0</v>
      </c>
      <c r="W1365" s="11">
        <f>IF(V1365&lt;=40000,0,
IF(V1365&lt;=55000,(V1365-40000)*10%,
IF(V1365&lt;=70000,(V1365-55000)*15%+1500,
IF(V1365&lt;=200000,(V1365-70000)*20%+1500+2250,
IF(V1365&lt;=400000,(V1365-200000)*22.5%+1500+2250+26000,
IF(V1365&lt;=600000,(V1365-400000)*25%+1500+2250+26000+45000,
IF(AND(V1365&gt;600000,V1365&lt;=1200000),(V1365-400000)*25%+1500+2250+26000+45000
+IFERROR(LOOKUP(V1365,{600001;700001;800001;900001},{4000;6750;10250;15250}),0),IF(V1365&gt;1200000,((V1365-1200000)*27.5%)+300000,0)
)))))))</f>
        <v>0</v>
      </c>
      <c r="X1365" s="12">
        <f t="shared" si="322"/>
        <v>0</v>
      </c>
      <c r="Y1365" s="12">
        <f t="shared" si="323"/>
        <v>0</v>
      </c>
      <c r="Z1365" s="11"/>
      <c r="AA1365" s="13">
        <f t="shared" si="324"/>
        <v>0</v>
      </c>
      <c r="AB1365" s="12">
        <f t="shared" si="325"/>
        <v>0</v>
      </c>
      <c r="AC1365" s="14">
        <f t="shared" si="328"/>
        <v>0</v>
      </c>
      <c r="AE1365" s="19">
        <f t="shared" si="326"/>
        <v>0</v>
      </c>
      <c r="AF1365" s="19"/>
      <c r="AG1365" s="17"/>
      <c r="AK1365" s="7"/>
      <c r="AL1365" s="108">
        <f t="shared" si="329"/>
        <v>0</v>
      </c>
      <c r="AM1365" s="108">
        <f t="shared" si="330"/>
        <v>0</v>
      </c>
      <c r="AN1365" s="113"/>
    </row>
    <row r="1366" spans="2:40" x14ac:dyDescent="0.2">
      <c r="B1366" s="7"/>
      <c r="C1366" s="8"/>
      <c r="D1366" s="8"/>
      <c r="E1366" s="9"/>
      <c r="F1366" s="6"/>
      <c r="G1366" s="8"/>
      <c r="H1366" s="32"/>
      <c r="I1366" s="10" t="str">
        <f t="shared" si="327"/>
        <v>21</v>
      </c>
      <c r="J1366" s="11">
        <v>1</v>
      </c>
      <c r="K1366" s="11"/>
      <c r="L1366" s="11"/>
      <c r="M1366" s="11">
        <f t="shared" si="316"/>
        <v>0</v>
      </c>
      <c r="N1366" s="11"/>
      <c r="O1366" s="11">
        <f t="shared" si="317"/>
        <v>0</v>
      </c>
      <c r="P1366" s="11"/>
      <c r="Q1366" s="11"/>
      <c r="R1366" s="11"/>
      <c r="S1366" s="11">
        <f t="shared" si="318"/>
        <v>0</v>
      </c>
      <c r="T1366" s="11">
        <f t="shared" si="319"/>
        <v>1666.6666666666667</v>
      </c>
      <c r="U1366" s="11">
        <f t="shared" si="320"/>
        <v>0</v>
      </c>
      <c r="V1366" s="24">
        <f t="shared" si="321"/>
        <v>0</v>
      </c>
      <c r="W1366" s="11">
        <f>IF(V1366&lt;=40000,0,
IF(V1366&lt;=55000,(V1366-40000)*10%,
IF(V1366&lt;=70000,(V1366-55000)*15%+1500,
IF(V1366&lt;=200000,(V1366-70000)*20%+1500+2250,
IF(V1366&lt;=400000,(V1366-200000)*22.5%+1500+2250+26000,
IF(V1366&lt;=600000,(V1366-400000)*25%+1500+2250+26000+45000,
IF(AND(V1366&gt;600000,V1366&lt;=1200000),(V1366-400000)*25%+1500+2250+26000+45000
+IFERROR(LOOKUP(V1366,{600001;700001;800001;900001},{4000;6750;10250;15250}),0),IF(V1366&gt;1200000,((V1366-1200000)*27.5%)+300000,0)
)))))))</f>
        <v>0</v>
      </c>
      <c r="X1366" s="12">
        <f t="shared" si="322"/>
        <v>0</v>
      </c>
      <c r="Y1366" s="12">
        <f t="shared" si="323"/>
        <v>0</v>
      </c>
      <c r="Z1366" s="11"/>
      <c r="AA1366" s="13">
        <f t="shared" si="324"/>
        <v>0</v>
      </c>
      <c r="AB1366" s="12">
        <f t="shared" si="325"/>
        <v>0</v>
      </c>
      <c r="AC1366" s="14">
        <f t="shared" si="328"/>
        <v>0</v>
      </c>
      <c r="AE1366" s="19">
        <f t="shared" si="326"/>
        <v>0</v>
      </c>
      <c r="AF1366" s="19"/>
      <c r="AG1366" s="17"/>
      <c r="AK1366" s="7"/>
      <c r="AL1366" s="108">
        <f t="shared" si="329"/>
        <v>0</v>
      </c>
      <c r="AM1366" s="108">
        <f t="shared" si="330"/>
        <v>0</v>
      </c>
      <c r="AN1366" s="113"/>
    </row>
    <row r="1367" spans="2:40" x14ac:dyDescent="0.2">
      <c r="B1367" s="7"/>
      <c r="C1367" s="8"/>
      <c r="D1367" s="8"/>
      <c r="E1367" s="9"/>
      <c r="F1367" s="6"/>
      <c r="G1367" s="8"/>
      <c r="H1367" s="32"/>
      <c r="I1367" s="10" t="str">
        <f t="shared" si="327"/>
        <v>21</v>
      </c>
      <c r="J1367" s="11">
        <v>1</v>
      </c>
      <c r="K1367" s="11"/>
      <c r="L1367" s="11"/>
      <c r="M1367" s="11">
        <f t="shared" si="316"/>
        <v>0</v>
      </c>
      <c r="N1367" s="11"/>
      <c r="O1367" s="11">
        <f t="shared" si="317"/>
        <v>0</v>
      </c>
      <c r="P1367" s="11"/>
      <c r="Q1367" s="11"/>
      <c r="R1367" s="11"/>
      <c r="S1367" s="11">
        <f t="shared" si="318"/>
        <v>0</v>
      </c>
      <c r="T1367" s="11">
        <f t="shared" si="319"/>
        <v>1666.6666666666667</v>
      </c>
      <c r="U1367" s="11">
        <f t="shared" si="320"/>
        <v>0</v>
      </c>
      <c r="V1367" s="24">
        <f t="shared" si="321"/>
        <v>0</v>
      </c>
      <c r="W1367" s="11">
        <f>IF(V1367&lt;=40000,0,
IF(V1367&lt;=55000,(V1367-40000)*10%,
IF(V1367&lt;=70000,(V1367-55000)*15%+1500,
IF(V1367&lt;=200000,(V1367-70000)*20%+1500+2250,
IF(V1367&lt;=400000,(V1367-200000)*22.5%+1500+2250+26000,
IF(V1367&lt;=600000,(V1367-400000)*25%+1500+2250+26000+45000,
IF(AND(V1367&gt;600000,V1367&lt;=1200000),(V1367-400000)*25%+1500+2250+26000+45000
+IFERROR(LOOKUP(V1367,{600001;700001;800001;900001},{4000;6750;10250;15250}),0),IF(V1367&gt;1200000,((V1367-1200000)*27.5%)+300000,0)
)))))))</f>
        <v>0</v>
      </c>
      <c r="X1367" s="12">
        <f t="shared" si="322"/>
        <v>0</v>
      </c>
      <c r="Y1367" s="12">
        <f t="shared" si="323"/>
        <v>0</v>
      </c>
      <c r="Z1367" s="11"/>
      <c r="AA1367" s="13">
        <f t="shared" si="324"/>
        <v>0</v>
      </c>
      <c r="AB1367" s="12">
        <f t="shared" si="325"/>
        <v>0</v>
      </c>
      <c r="AC1367" s="14">
        <f t="shared" si="328"/>
        <v>0</v>
      </c>
      <c r="AE1367" s="19">
        <f t="shared" si="326"/>
        <v>0</v>
      </c>
      <c r="AF1367" s="19"/>
      <c r="AG1367" s="17"/>
      <c r="AK1367" s="7"/>
      <c r="AL1367" s="108">
        <f t="shared" si="329"/>
        <v>0</v>
      </c>
      <c r="AM1367" s="108">
        <f t="shared" si="330"/>
        <v>0</v>
      </c>
      <c r="AN1367" s="113"/>
    </row>
    <row r="1368" spans="2:40" x14ac:dyDescent="0.2">
      <c r="B1368" s="7"/>
      <c r="C1368" s="8"/>
      <c r="D1368" s="8"/>
      <c r="E1368" s="9"/>
      <c r="F1368" s="6"/>
      <c r="G1368" s="8"/>
      <c r="H1368" s="32"/>
      <c r="I1368" s="10" t="str">
        <f t="shared" si="327"/>
        <v>21</v>
      </c>
      <c r="J1368" s="11">
        <v>1</v>
      </c>
      <c r="K1368" s="11"/>
      <c r="L1368" s="11"/>
      <c r="M1368" s="11">
        <f t="shared" si="316"/>
        <v>0</v>
      </c>
      <c r="N1368" s="11"/>
      <c r="O1368" s="11">
        <f t="shared" si="317"/>
        <v>0</v>
      </c>
      <c r="P1368" s="11"/>
      <c r="Q1368" s="11"/>
      <c r="R1368" s="11"/>
      <c r="S1368" s="11">
        <f t="shared" si="318"/>
        <v>0</v>
      </c>
      <c r="T1368" s="11">
        <f t="shared" si="319"/>
        <v>1666.6666666666667</v>
      </c>
      <c r="U1368" s="11">
        <f t="shared" si="320"/>
        <v>0</v>
      </c>
      <c r="V1368" s="24">
        <f t="shared" si="321"/>
        <v>0</v>
      </c>
      <c r="W1368" s="11">
        <f>IF(V1368&lt;=40000,0,
IF(V1368&lt;=55000,(V1368-40000)*10%,
IF(V1368&lt;=70000,(V1368-55000)*15%+1500,
IF(V1368&lt;=200000,(V1368-70000)*20%+1500+2250,
IF(V1368&lt;=400000,(V1368-200000)*22.5%+1500+2250+26000,
IF(V1368&lt;=600000,(V1368-400000)*25%+1500+2250+26000+45000,
IF(AND(V1368&gt;600000,V1368&lt;=1200000),(V1368-400000)*25%+1500+2250+26000+45000
+IFERROR(LOOKUP(V1368,{600001;700001;800001;900001},{4000;6750;10250;15250}),0),IF(V1368&gt;1200000,((V1368-1200000)*27.5%)+300000,0)
)))))))</f>
        <v>0</v>
      </c>
      <c r="X1368" s="12">
        <f t="shared" si="322"/>
        <v>0</v>
      </c>
      <c r="Y1368" s="12">
        <f t="shared" si="323"/>
        <v>0</v>
      </c>
      <c r="Z1368" s="11"/>
      <c r="AA1368" s="13">
        <f t="shared" si="324"/>
        <v>0</v>
      </c>
      <c r="AB1368" s="12">
        <f t="shared" si="325"/>
        <v>0</v>
      </c>
      <c r="AC1368" s="14">
        <f t="shared" si="328"/>
        <v>0</v>
      </c>
      <c r="AE1368" s="19">
        <f t="shared" si="326"/>
        <v>0</v>
      </c>
      <c r="AF1368" s="19"/>
      <c r="AG1368" s="17"/>
      <c r="AK1368" s="7"/>
      <c r="AL1368" s="108">
        <f t="shared" si="329"/>
        <v>0</v>
      </c>
      <c r="AM1368" s="108">
        <f t="shared" si="330"/>
        <v>0</v>
      </c>
      <c r="AN1368" s="113"/>
    </row>
    <row r="1369" spans="2:40" x14ac:dyDescent="0.2">
      <c r="B1369" s="7"/>
      <c r="C1369" s="8"/>
      <c r="D1369" s="8"/>
      <c r="E1369" s="9"/>
      <c r="F1369" s="6"/>
      <c r="G1369" s="8"/>
      <c r="H1369" s="32"/>
      <c r="I1369" s="10" t="str">
        <f t="shared" si="327"/>
        <v>21</v>
      </c>
      <c r="J1369" s="11">
        <v>1</v>
      </c>
      <c r="K1369" s="11"/>
      <c r="L1369" s="11"/>
      <c r="M1369" s="11">
        <f t="shared" si="316"/>
        <v>0</v>
      </c>
      <c r="N1369" s="11"/>
      <c r="O1369" s="11">
        <f t="shared" si="317"/>
        <v>0</v>
      </c>
      <c r="P1369" s="11"/>
      <c r="Q1369" s="11"/>
      <c r="R1369" s="11"/>
      <c r="S1369" s="11">
        <f t="shared" si="318"/>
        <v>0</v>
      </c>
      <c r="T1369" s="11">
        <f t="shared" si="319"/>
        <v>1666.6666666666667</v>
      </c>
      <c r="U1369" s="11">
        <f t="shared" si="320"/>
        <v>0</v>
      </c>
      <c r="V1369" s="24">
        <f t="shared" si="321"/>
        <v>0</v>
      </c>
      <c r="W1369" s="11">
        <f>IF(V1369&lt;=40000,0,
IF(V1369&lt;=55000,(V1369-40000)*10%,
IF(V1369&lt;=70000,(V1369-55000)*15%+1500,
IF(V1369&lt;=200000,(V1369-70000)*20%+1500+2250,
IF(V1369&lt;=400000,(V1369-200000)*22.5%+1500+2250+26000,
IF(V1369&lt;=600000,(V1369-400000)*25%+1500+2250+26000+45000,
IF(AND(V1369&gt;600000,V1369&lt;=1200000),(V1369-400000)*25%+1500+2250+26000+45000
+IFERROR(LOOKUP(V1369,{600001;700001;800001;900001},{4000;6750;10250;15250}),0),IF(V1369&gt;1200000,((V1369-1200000)*27.5%)+300000,0)
)))))))</f>
        <v>0</v>
      </c>
      <c r="X1369" s="12">
        <f t="shared" si="322"/>
        <v>0</v>
      </c>
      <c r="Y1369" s="12">
        <f t="shared" si="323"/>
        <v>0</v>
      </c>
      <c r="Z1369" s="11"/>
      <c r="AA1369" s="13">
        <f t="shared" si="324"/>
        <v>0</v>
      </c>
      <c r="AB1369" s="12">
        <f t="shared" si="325"/>
        <v>0</v>
      </c>
      <c r="AC1369" s="14">
        <f t="shared" si="328"/>
        <v>0</v>
      </c>
      <c r="AE1369" s="19">
        <f t="shared" si="326"/>
        <v>0</v>
      </c>
      <c r="AF1369" s="19"/>
      <c r="AG1369" s="17"/>
      <c r="AK1369" s="7"/>
      <c r="AL1369" s="108">
        <f t="shared" si="329"/>
        <v>0</v>
      </c>
      <c r="AM1369" s="108">
        <f t="shared" si="330"/>
        <v>0</v>
      </c>
      <c r="AN1369" s="113"/>
    </row>
    <row r="1370" spans="2:40" x14ac:dyDescent="0.2">
      <c r="B1370" s="7"/>
      <c r="C1370" s="8"/>
      <c r="D1370" s="8"/>
      <c r="E1370" s="9"/>
      <c r="F1370" s="6"/>
      <c r="G1370" s="8"/>
      <c r="H1370" s="32"/>
      <c r="I1370" s="10" t="str">
        <f t="shared" si="327"/>
        <v>21</v>
      </c>
      <c r="J1370" s="11">
        <v>1</v>
      </c>
      <c r="K1370" s="11"/>
      <c r="L1370" s="11"/>
      <c r="M1370" s="11">
        <f t="shared" si="316"/>
        <v>0</v>
      </c>
      <c r="N1370" s="11"/>
      <c r="O1370" s="11">
        <f t="shared" si="317"/>
        <v>0</v>
      </c>
      <c r="P1370" s="11"/>
      <c r="Q1370" s="11"/>
      <c r="R1370" s="11"/>
      <c r="S1370" s="11">
        <f t="shared" si="318"/>
        <v>0</v>
      </c>
      <c r="T1370" s="11">
        <f t="shared" si="319"/>
        <v>1666.6666666666667</v>
      </c>
      <c r="U1370" s="11">
        <f t="shared" si="320"/>
        <v>0</v>
      </c>
      <c r="V1370" s="24">
        <f t="shared" si="321"/>
        <v>0</v>
      </c>
      <c r="W1370" s="11">
        <f>IF(V1370&lt;=40000,0,
IF(V1370&lt;=55000,(V1370-40000)*10%,
IF(V1370&lt;=70000,(V1370-55000)*15%+1500,
IF(V1370&lt;=200000,(V1370-70000)*20%+1500+2250,
IF(V1370&lt;=400000,(V1370-200000)*22.5%+1500+2250+26000,
IF(V1370&lt;=600000,(V1370-400000)*25%+1500+2250+26000+45000,
IF(AND(V1370&gt;600000,V1370&lt;=1200000),(V1370-400000)*25%+1500+2250+26000+45000
+IFERROR(LOOKUP(V1370,{600001;700001;800001;900001},{4000;6750;10250;15250}),0),IF(V1370&gt;1200000,((V1370-1200000)*27.5%)+300000,0)
)))))))</f>
        <v>0</v>
      </c>
      <c r="X1370" s="12">
        <f t="shared" si="322"/>
        <v>0</v>
      </c>
      <c r="Y1370" s="12">
        <f t="shared" si="323"/>
        <v>0</v>
      </c>
      <c r="Z1370" s="11"/>
      <c r="AA1370" s="13">
        <f t="shared" si="324"/>
        <v>0</v>
      </c>
      <c r="AB1370" s="12">
        <f t="shared" si="325"/>
        <v>0</v>
      </c>
      <c r="AC1370" s="14">
        <f t="shared" si="328"/>
        <v>0</v>
      </c>
      <c r="AE1370" s="19">
        <f t="shared" si="326"/>
        <v>0</v>
      </c>
      <c r="AF1370" s="19"/>
      <c r="AG1370" s="17"/>
      <c r="AK1370" s="7"/>
      <c r="AL1370" s="108">
        <f t="shared" si="329"/>
        <v>0</v>
      </c>
      <c r="AM1370" s="108">
        <f t="shared" si="330"/>
        <v>0</v>
      </c>
      <c r="AN1370" s="113"/>
    </row>
    <row r="1371" spans="2:40" x14ac:dyDescent="0.2">
      <c r="B1371" s="7"/>
      <c r="C1371" s="8"/>
      <c r="D1371" s="8"/>
      <c r="E1371" s="9"/>
      <c r="F1371" s="6"/>
      <c r="G1371" s="8"/>
      <c r="H1371" s="32"/>
      <c r="I1371" s="10" t="str">
        <f t="shared" si="327"/>
        <v>21</v>
      </c>
      <c r="J1371" s="11">
        <v>1</v>
      </c>
      <c r="K1371" s="11"/>
      <c r="L1371" s="11"/>
      <c r="M1371" s="11">
        <f t="shared" si="316"/>
        <v>0</v>
      </c>
      <c r="N1371" s="11"/>
      <c r="O1371" s="11">
        <f t="shared" si="317"/>
        <v>0</v>
      </c>
      <c r="P1371" s="11"/>
      <c r="Q1371" s="11"/>
      <c r="R1371" s="11"/>
      <c r="S1371" s="11">
        <f t="shared" si="318"/>
        <v>0</v>
      </c>
      <c r="T1371" s="11">
        <f t="shared" si="319"/>
        <v>1666.6666666666667</v>
      </c>
      <c r="U1371" s="11">
        <f t="shared" si="320"/>
        <v>0</v>
      </c>
      <c r="V1371" s="24">
        <f t="shared" si="321"/>
        <v>0</v>
      </c>
      <c r="W1371" s="11">
        <f>IF(V1371&lt;=40000,0,
IF(V1371&lt;=55000,(V1371-40000)*10%,
IF(V1371&lt;=70000,(V1371-55000)*15%+1500,
IF(V1371&lt;=200000,(V1371-70000)*20%+1500+2250,
IF(V1371&lt;=400000,(V1371-200000)*22.5%+1500+2250+26000,
IF(V1371&lt;=600000,(V1371-400000)*25%+1500+2250+26000+45000,
IF(AND(V1371&gt;600000,V1371&lt;=1200000),(V1371-400000)*25%+1500+2250+26000+45000
+IFERROR(LOOKUP(V1371,{600001;700001;800001;900001},{4000;6750;10250;15250}),0),IF(V1371&gt;1200000,((V1371-1200000)*27.5%)+300000,0)
)))))))</f>
        <v>0</v>
      </c>
      <c r="X1371" s="12">
        <f t="shared" si="322"/>
        <v>0</v>
      </c>
      <c r="Y1371" s="12">
        <f t="shared" si="323"/>
        <v>0</v>
      </c>
      <c r="Z1371" s="11"/>
      <c r="AA1371" s="13">
        <f t="shared" si="324"/>
        <v>0</v>
      </c>
      <c r="AB1371" s="12">
        <f t="shared" si="325"/>
        <v>0</v>
      </c>
      <c r="AC1371" s="14">
        <f t="shared" si="328"/>
        <v>0</v>
      </c>
      <c r="AE1371" s="19">
        <f t="shared" si="326"/>
        <v>0</v>
      </c>
      <c r="AF1371" s="19"/>
      <c r="AG1371" s="17"/>
      <c r="AK1371" s="7"/>
      <c r="AL1371" s="108">
        <f t="shared" si="329"/>
        <v>0</v>
      </c>
      <c r="AM1371" s="108">
        <f t="shared" si="330"/>
        <v>0</v>
      </c>
      <c r="AN1371" s="113"/>
    </row>
    <row r="1372" spans="2:40" x14ac:dyDescent="0.2">
      <c r="B1372" s="7"/>
      <c r="C1372" s="8"/>
      <c r="D1372" s="8"/>
      <c r="E1372" s="9"/>
      <c r="F1372" s="6"/>
      <c r="G1372" s="8"/>
      <c r="H1372" s="32"/>
      <c r="I1372" s="10" t="str">
        <f t="shared" si="327"/>
        <v>21</v>
      </c>
      <c r="J1372" s="11">
        <v>1</v>
      </c>
      <c r="K1372" s="11"/>
      <c r="L1372" s="11"/>
      <c r="M1372" s="11">
        <f t="shared" si="316"/>
        <v>0</v>
      </c>
      <c r="N1372" s="11"/>
      <c r="O1372" s="11">
        <f t="shared" si="317"/>
        <v>0</v>
      </c>
      <c r="P1372" s="11"/>
      <c r="Q1372" s="11"/>
      <c r="R1372" s="11"/>
      <c r="S1372" s="11">
        <f t="shared" si="318"/>
        <v>0</v>
      </c>
      <c r="T1372" s="11">
        <f t="shared" si="319"/>
        <v>1666.6666666666667</v>
      </c>
      <c r="U1372" s="11">
        <f t="shared" si="320"/>
        <v>0</v>
      </c>
      <c r="V1372" s="24">
        <f t="shared" si="321"/>
        <v>0</v>
      </c>
      <c r="W1372" s="11">
        <f>IF(V1372&lt;=40000,0,
IF(V1372&lt;=55000,(V1372-40000)*10%,
IF(V1372&lt;=70000,(V1372-55000)*15%+1500,
IF(V1372&lt;=200000,(V1372-70000)*20%+1500+2250,
IF(V1372&lt;=400000,(V1372-200000)*22.5%+1500+2250+26000,
IF(V1372&lt;=600000,(V1372-400000)*25%+1500+2250+26000+45000,
IF(AND(V1372&gt;600000,V1372&lt;=1200000),(V1372-400000)*25%+1500+2250+26000+45000
+IFERROR(LOOKUP(V1372,{600001;700001;800001;900001},{4000;6750;10250;15250}),0),IF(V1372&gt;1200000,((V1372-1200000)*27.5%)+300000,0)
)))))))</f>
        <v>0</v>
      </c>
      <c r="X1372" s="12">
        <f t="shared" si="322"/>
        <v>0</v>
      </c>
      <c r="Y1372" s="12">
        <f t="shared" si="323"/>
        <v>0</v>
      </c>
      <c r="Z1372" s="11"/>
      <c r="AA1372" s="13">
        <f t="shared" si="324"/>
        <v>0</v>
      </c>
      <c r="AB1372" s="12">
        <f t="shared" si="325"/>
        <v>0</v>
      </c>
      <c r="AC1372" s="14">
        <f t="shared" si="328"/>
        <v>0</v>
      </c>
      <c r="AE1372" s="19">
        <f t="shared" si="326"/>
        <v>0</v>
      </c>
      <c r="AF1372" s="19"/>
      <c r="AG1372" s="17"/>
      <c r="AK1372" s="7"/>
      <c r="AL1372" s="108">
        <f t="shared" si="329"/>
        <v>0</v>
      </c>
      <c r="AM1372" s="108">
        <f t="shared" si="330"/>
        <v>0</v>
      </c>
      <c r="AN1372" s="113"/>
    </row>
    <row r="1373" spans="2:40" x14ac:dyDescent="0.2">
      <c r="B1373" s="7"/>
      <c r="C1373" s="8"/>
      <c r="D1373" s="8"/>
      <c r="E1373" s="9"/>
      <c r="F1373" s="6"/>
      <c r="G1373" s="8"/>
      <c r="H1373" s="32"/>
      <c r="I1373" s="10" t="str">
        <f t="shared" si="327"/>
        <v>21</v>
      </c>
      <c r="J1373" s="11">
        <v>1</v>
      </c>
      <c r="K1373" s="11"/>
      <c r="L1373" s="11"/>
      <c r="M1373" s="11">
        <f t="shared" ref="M1373:M1381" si="331">SUM(K1373:L1373)</f>
        <v>0</v>
      </c>
      <c r="N1373" s="11"/>
      <c r="O1373" s="11">
        <f t="shared" ref="O1373:O1381" si="332">+N1373+M1373</f>
        <v>0</v>
      </c>
      <c r="P1373" s="11"/>
      <c r="Q1373" s="11"/>
      <c r="R1373" s="11"/>
      <c r="S1373" s="11">
        <f t="shared" ref="S1373:S1381" si="333">O1373-P1373-Q1373-R1373</f>
        <v>0</v>
      </c>
      <c r="T1373" s="11">
        <f t="shared" ref="T1373:T1381" si="334">IF(J1373&gt;0,(20000/12*J1373),0)</f>
        <v>1666.6666666666667</v>
      </c>
      <c r="U1373" s="11">
        <f t="shared" ref="U1373:U1381" si="335">IF(AND(J1373&gt;0,S1373-T1373&gt;0),S1373-T1373,0)</f>
        <v>0</v>
      </c>
      <c r="V1373" s="24">
        <f t="shared" ref="V1373:V1381" si="336">IF(J1373=0,0,(U1373/J1373*12))</f>
        <v>0</v>
      </c>
      <c r="W1373" s="11">
        <f>IF(V1373&lt;=40000,0,
IF(V1373&lt;=55000,(V1373-40000)*10%,
IF(V1373&lt;=70000,(V1373-55000)*15%+1500,
IF(V1373&lt;=200000,(V1373-70000)*20%+1500+2250,
IF(V1373&lt;=400000,(V1373-200000)*22.5%+1500+2250+26000,
IF(V1373&lt;=600000,(V1373-400000)*25%+1500+2250+26000+45000,
IF(AND(V1373&gt;600000,V1373&lt;=1200000),(V1373-400000)*25%+1500+2250+26000+45000
+IFERROR(LOOKUP(V1373,{600001;700001;800001;900001},{4000;6750;10250;15250}),0),IF(V1373&gt;1200000,((V1373-1200000)*27.5%)+300000,0)
)))))))</f>
        <v>0</v>
      </c>
      <c r="X1373" s="12">
        <f t="shared" ref="X1373:X1381" si="337">N1373*0.1</f>
        <v>0</v>
      </c>
      <c r="Y1373" s="12">
        <f t="shared" ref="Y1373:Y1381" si="338">(W1373/12*J1373)-X1373</f>
        <v>0</v>
      </c>
      <c r="Z1373" s="11"/>
      <c r="AA1373" s="13">
        <f t="shared" ref="AA1373:AA1381" si="339">+O1373-P1373-Y1373-Z1373</f>
        <v>0</v>
      </c>
      <c r="AB1373" s="12">
        <f t="shared" ref="AB1373:AB1381" si="340">(P1373/0.11)*18.75%</f>
        <v>0</v>
      </c>
      <c r="AC1373" s="14">
        <f t="shared" si="328"/>
        <v>0</v>
      </c>
      <c r="AE1373" s="19">
        <f t="shared" ref="AE1373:AE1381" si="341">+AD1373-AC1373</f>
        <v>0</v>
      </c>
      <c r="AF1373" s="19"/>
      <c r="AG1373" s="17"/>
      <c r="AK1373" s="7"/>
      <c r="AL1373" s="108">
        <f t="shared" si="329"/>
        <v>0</v>
      </c>
      <c r="AM1373" s="108">
        <f t="shared" si="330"/>
        <v>0</v>
      </c>
      <c r="AN1373" s="113"/>
    </row>
    <row r="1374" spans="2:40" x14ac:dyDescent="0.2">
      <c r="B1374" s="7"/>
      <c r="C1374" s="8"/>
      <c r="D1374" s="8"/>
      <c r="E1374" s="9"/>
      <c r="F1374" s="6"/>
      <c r="G1374" s="8"/>
      <c r="H1374" s="32"/>
      <c r="I1374" s="10" t="str">
        <f t="shared" si="327"/>
        <v>21</v>
      </c>
      <c r="J1374" s="11">
        <v>1</v>
      </c>
      <c r="K1374" s="11"/>
      <c r="L1374" s="11"/>
      <c r="M1374" s="11">
        <f t="shared" si="331"/>
        <v>0</v>
      </c>
      <c r="N1374" s="11"/>
      <c r="O1374" s="11">
        <f t="shared" si="332"/>
        <v>0</v>
      </c>
      <c r="P1374" s="11"/>
      <c r="Q1374" s="11"/>
      <c r="R1374" s="11"/>
      <c r="S1374" s="11">
        <f t="shared" si="333"/>
        <v>0</v>
      </c>
      <c r="T1374" s="11">
        <f t="shared" si="334"/>
        <v>1666.6666666666667</v>
      </c>
      <c r="U1374" s="11">
        <f t="shared" si="335"/>
        <v>0</v>
      </c>
      <c r="V1374" s="24">
        <f t="shared" si="336"/>
        <v>0</v>
      </c>
      <c r="W1374" s="11">
        <f>IF(V1374&lt;=40000,0,
IF(V1374&lt;=55000,(V1374-40000)*10%,
IF(V1374&lt;=70000,(V1374-55000)*15%+1500,
IF(V1374&lt;=200000,(V1374-70000)*20%+1500+2250,
IF(V1374&lt;=400000,(V1374-200000)*22.5%+1500+2250+26000,
IF(V1374&lt;=600000,(V1374-400000)*25%+1500+2250+26000+45000,
IF(AND(V1374&gt;600000,V1374&lt;=1200000),(V1374-400000)*25%+1500+2250+26000+45000
+IFERROR(LOOKUP(V1374,{600001;700001;800001;900001},{4000;6750;10250;15250}),0),IF(V1374&gt;1200000,((V1374-1200000)*27.5%)+300000,0)
)))))))</f>
        <v>0</v>
      </c>
      <c r="X1374" s="12">
        <f t="shared" si="337"/>
        <v>0</v>
      </c>
      <c r="Y1374" s="12">
        <f t="shared" si="338"/>
        <v>0</v>
      </c>
      <c r="Z1374" s="11"/>
      <c r="AA1374" s="13">
        <f t="shared" si="339"/>
        <v>0</v>
      </c>
      <c r="AB1374" s="12">
        <f t="shared" si="340"/>
        <v>0</v>
      </c>
      <c r="AC1374" s="14">
        <f t="shared" si="328"/>
        <v>0</v>
      </c>
      <c r="AE1374" s="19">
        <f t="shared" si="341"/>
        <v>0</v>
      </c>
      <c r="AF1374" s="19"/>
      <c r="AG1374" s="17"/>
      <c r="AK1374" s="7"/>
      <c r="AL1374" s="108">
        <f t="shared" si="329"/>
        <v>0</v>
      </c>
      <c r="AM1374" s="108">
        <f t="shared" si="330"/>
        <v>0</v>
      </c>
      <c r="AN1374" s="113"/>
    </row>
    <row r="1375" spans="2:40" x14ac:dyDescent="0.2">
      <c r="B1375" s="7"/>
      <c r="C1375" s="8"/>
      <c r="D1375" s="8"/>
      <c r="E1375" s="9"/>
      <c r="F1375" s="6"/>
      <c r="G1375" s="8"/>
      <c r="H1375" s="32"/>
      <c r="I1375" s="10" t="str">
        <f t="shared" si="327"/>
        <v>21</v>
      </c>
      <c r="J1375" s="11">
        <v>1</v>
      </c>
      <c r="K1375" s="11"/>
      <c r="L1375" s="11"/>
      <c r="M1375" s="11">
        <f t="shared" si="331"/>
        <v>0</v>
      </c>
      <c r="N1375" s="11"/>
      <c r="O1375" s="11">
        <f t="shared" si="332"/>
        <v>0</v>
      </c>
      <c r="P1375" s="11"/>
      <c r="Q1375" s="11"/>
      <c r="R1375" s="11"/>
      <c r="S1375" s="11">
        <f t="shared" si="333"/>
        <v>0</v>
      </c>
      <c r="T1375" s="11">
        <f t="shared" si="334"/>
        <v>1666.6666666666667</v>
      </c>
      <c r="U1375" s="11">
        <f t="shared" si="335"/>
        <v>0</v>
      </c>
      <c r="V1375" s="24">
        <f t="shared" si="336"/>
        <v>0</v>
      </c>
      <c r="W1375" s="11">
        <f>IF(V1375&lt;=40000,0,
IF(V1375&lt;=55000,(V1375-40000)*10%,
IF(V1375&lt;=70000,(V1375-55000)*15%+1500,
IF(V1375&lt;=200000,(V1375-70000)*20%+1500+2250,
IF(V1375&lt;=400000,(V1375-200000)*22.5%+1500+2250+26000,
IF(V1375&lt;=600000,(V1375-400000)*25%+1500+2250+26000+45000,
IF(AND(V1375&gt;600000,V1375&lt;=1200000),(V1375-400000)*25%+1500+2250+26000+45000
+IFERROR(LOOKUP(V1375,{600001;700001;800001;900001},{4000;6750;10250;15250}),0),IF(V1375&gt;1200000,((V1375-1200000)*27.5%)+300000,0)
)))))))</f>
        <v>0</v>
      </c>
      <c r="X1375" s="12">
        <f t="shared" si="337"/>
        <v>0</v>
      </c>
      <c r="Y1375" s="12">
        <f t="shared" si="338"/>
        <v>0</v>
      </c>
      <c r="Z1375" s="11"/>
      <c r="AA1375" s="13">
        <f t="shared" si="339"/>
        <v>0</v>
      </c>
      <c r="AB1375" s="12">
        <f t="shared" si="340"/>
        <v>0</v>
      </c>
      <c r="AC1375" s="14">
        <f t="shared" si="328"/>
        <v>0</v>
      </c>
      <c r="AE1375" s="19">
        <f t="shared" si="341"/>
        <v>0</v>
      </c>
      <c r="AF1375" s="19"/>
      <c r="AG1375" s="17"/>
      <c r="AK1375" s="7"/>
      <c r="AL1375" s="108">
        <f t="shared" si="329"/>
        <v>0</v>
      </c>
      <c r="AM1375" s="108">
        <f t="shared" si="330"/>
        <v>0</v>
      </c>
      <c r="AN1375" s="113"/>
    </row>
    <row r="1376" spans="2:40" x14ac:dyDescent="0.2">
      <c r="B1376" s="7"/>
      <c r="C1376" s="8"/>
      <c r="D1376" s="8"/>
      <c r="E1376" s="9"/>
      <c r="F1376" s="6"/>
      <c r="G1376" s="8"/>
      <c r="H1376" s="32"/>
      <c r="I1376" s="10" t="str">
        <f t="shared" si="327"/>
        <v>21</v>
      </c>
      <c r="J1376" s="11">
        <v>1</v>
      </c>
      <c r="K1376" s="11"/>
      <c r="L1376" s="11"/>
      <c r="M1376" s="11">
        <f t="shared" si="331"/>
        <v>0</v>
      </c>
      <c r="N1376" s="11"/>
      <c r="O1376" s="11">
        <f t="shared" si="332"/>
        <v>0</v>
      </c>
      <c r="P1376" s="11"/>
      <c r="Q1376" s="11"/>
      <c r="R1376" s="11"/>
      <c r="S1376" s="11">
        <f t="shared" si="333"/>
        <v>0</v>
      </c>
      <c r="T1376" s="11">
        <f t="shared" si="334"/>
        <v>1666.6666666666667</v>
      </c>
      <c r="U1376" s="11">
        <f t="shared" si="335"/>
        <v>0</v>
      </c>
      <c r="V1376" s="24">
        <f t="shared" si="336"/>
        <v>0</v>
      </c>
      <c r="W1376" s="11">
        <f>IF(V1376&lt;=40000,0,
IF(V1376&lt;=55000,(V1376-40000)*10%,
IF(V1376&lt;=70000,(V1376-55000)*15%+1500,
IF(V1376&lt;=200000,(V1376-70000)*20%+1500+2250,
IF(V1376&lt;=400000,(V1376-200000)*22.5%+1500+2250+26000,
IF(V1376&lt;=600000,(V1376-400000)*25%+1500+2250+26000+45000,
IF(AND(V1376&gt;600000,V1376&lt;=1200000),(V1376-400000)*25%+1500+2250+26000+45000
+IFERROR(LOOKUP(V1376,{600001;700001;800001;900001},{4000;6750;10250;15250}),0),IF(V1376&gt;1200000,((V1376-1200000)*27.5%)+300000,0)
)))))))</f>
        <v>0</v>
      </c>
      <c r="X1376" s="12">
        <f t="shared" si="337"/>
        <v>0</v>
      </c>
      <c r="Y1376" s="12">
        <f t="shared" si="338"/>
        <v>0</v>
      </c>
      <c r="Z1376" s="11"/>
      <c r="AA1376" s="13">
        <f t="shared" si="339"/>
        <v>0</v>
      </c>
      <c r="AB1376" s="12">
        <f t="shared" si="340"/>
        <v>0</v>
      </c>
      <c r="AC1376" s="14">
        <f t="shared" si="328"/>
        <v>0</v>
      </c>
      <c r="AE1376" s="19">
        <f t="shared" si="341"/>
        <v>0</v>
      </c>
      <c r="AF1376" s="19"/>
      <c r="AG1376" s="17"/>
      <c r="AK1376" s="7"/>
      <c r="AL1376" s="108">
        <f t="shared" si="329"/>
        <v>0</v>
      </c>
      <c r="AM1376" s="108">
        <f t="shared" si="330"/>
        <v>0</v>
      </c>
      <c r="AN1376" s="113"/>
    </row>
    <row r="1377" spans="2:40" x14ac:dyDescent="0.2">
      <c r="B1377" s="7"/>
      <c r="C1377" s="8"/>
      <c r="D1377" s="8"/>
      <c r="E1377" s="9"/>
      <c r="F1377" s="6"/>
      <c r="G1377" s="8"/>
      <c r="H1377" s="32"/>
      <c r="I1377" s="10" t="str">
        <f t="shared" si="327"/>
        <v>21</v>
      </c>
      <c r="J1377" s="11">
        <v>1</v>
      </c>
      <c r="K1377" s="11"/>
      <c r="L1377" s="11"/>
      <c r="M1377" s="11">
        <f t="shared" si="331"/>
        <v>0</v>
      </c>
      <c r="N1377" s="11"/>
      <c r="O1377" s="11">
        <f t="shared" si="332"/>
        <v>0</v>
      </c>
      <c r="P1377" s="11"/>
      <c r="Q1377" s="11"/>
      <c r="R1377" s="11"/>
      <c r="S1377" s="11">
        <f t="shared" si="333"/>
        <v>0</v>
      </c>
      <c r="T1377" s="11">
        <f t="shared" si="334"/>
        <v>1666.6666666666667</v>
      </c>
      <c r="U1377" s="11">
        <f t="shared" si="335"/>
        <v>0</v>
      </c>
      <c r="V1377" s="24">
        <f t="shared" si="336"/>
        <v>0</v>
      </c>
      <c r="W1377" s="11">
        <f>IF(V1377&lt;=40000,0,
IF(V1377&lt;=55000,(V1377-40000)*10%,
IF(V1377&lt;=70000,(V1377-55000)*15%+1500,
IF(V1377&lt;=200000,(V1377-70000)*20%+1500+2250,
IF(V1377&lt;=400000,(V1377-200000)*22.5%+1500+2250+26000,
IF(V1377&lt;=600000,(V1377-400000)*25%+1500+2250+26000+45000,
IF(AND(V1377&gt;600000,V1377&lt;=1200000),(V1377-400000)*25%+1500+2250+26000+45000
+IFERROR(LOOKUP(V1377,{600001;700001;800001;900001},{4000;6750;10250;15250}),0),IF(V1377&gt;1200000,((V1377-1200000)*27.5%)+300000,0)
)))))))</f>
        <v>0</v>
      </c>
      <c r="X1377" s="12">
        <f t="shared" si="337"/>
        <v>0</v>
      </c>
      <c r="Y1377" s="12">
        <f t="shared" si="338"/>
        <v>0</v>
      </c>
      <c r="Z1377" s="11"/>
      <c r="AA1377" s="13">
        <f t="shared" si="339"/>
        <v>0</v>
      </c>
      <c r="AB1377" s="12">
        <f t="shared" si="340"/>
        <v>0</v>
      </c>
      <c r="AC1377" s="14">
        <f t="shared" si="328"/>
        <v>0</v>
      </c>
      <c r="AE1377" s="19">
        <f t="shared" si="341"/>
        <v>0</v>
      </c>
      <c r="AF1377" s="19"/>
      <c r="AG1377" s="17"/>
      <c r="AK1377" s="7"/>
      <c r="AL1377" s="108">
        <f t="shared" si="329"/>
        <v>0</v>
      </c>
      <c r="AM1377" s="108">
        <f t="shared" si="330"/>
        <v>0</v>
      </c>
      <c r="AN1377" s="113"/>
    </row>
    <row r="1378" spans="2:40" x14ac:dyDescent="0.2">
      <c r="B1378" s="7"/>
      <c r="C1378" s="8"/>
      <c r="D1378" s="8"/>
      <c r="E1378" s="9"/>
      <c r="F1378" s="6"/>
      <c r="G1378" s="8"/>
      <c r="H1378" s="32"/>
      <c r="I1378" s="10" t="str">
        <f t="shared" si="327"/>
        <v>21</v>
      </c>
      <c r="J1378" s="11">
        <v>1</v>
      </c>
      <c r="K1378" s="11"/>
      <c r="L1378" s="11"/>
      <c r="M1378" s="11">
        <f t="shared" si="331"/>
        <v>0</v>
      </c>
      <c r="N1378" s="11"/>
      <c r="O1378" s="11">
        <f t="shared" si="332"/>
        <v>0</v>
      </c>
      <c r="P1378" s="11"/>
      <c r="Q1378" s="11"/>
      <c r="R1378" s="11"/>
      <c r="S1378" s="11">
        <f t="shared" si="333"/>
        <v>0</v>
      </c>
      <c r="T1378" s="11">
        <f t="shared" si="334"/>
        <v>1666.6666666666667</v>
      </c>
      <c r="U1378" s="11">
        <f t="shared" si="335"/>
        <v>0</v>
      </c>
      <c r="V1378" s="24">
        <f t="shared" si="336"/>
        <v>0</v>
      </c>
      <c r="W1378" s="11">
        <f>IF(V1378&lt;=40000,0,
IF(V1378&lt;=55000,(V1378-40000)*10%,
IF(V1378&lt;=70000,(V1378-55000)*15%+1500,
IF(V1378&lt;=200000,(V1378-70000)*20%+1500+2250,
IF(V1378&lt;=400000,(V1378-200000)*22.5%+1500+2250+26000,
IF(V1378&lt;=600000,(V1378-400000)*25%+1500+2250+26000+45000,
IF(AND(V1378&gt;600000,V1378&lt;=1200000),(V1378-400000)*25%+1500+2250+26000+45000
+IFERROR(LOOKUP(V1378,{600001;700001;800001;900001},{4000;6750;10250;15250}),0),IF(V1378&gt;1200000,((V1378-1200000)*27.5%)+300000,0)
)))))))</f>
        <v>0</v>
      </c>
      <c r="X1378" s="12">
        <f t="shared" si="337"/>
        <v>0</v>
      </c>
      <c r="Y1378" s="12">
        <f t="shared" si="338"/>
        <v>0</v>
      </c>
      <c r="Z1378" s="11"/>
      <c r="AA1378" s="13">
        <f t="shared" si="339"/>
        <v>0</v>
      </c>
      <c r="AB1378" s="12">
        <f t="shared" si="340"/>
        <v>0</v>
      </c>
      <c r="AC1378" s="14">
        <f t="shared" si="328"/>
        <v>0</v>
      </c>
      <c r="AE1378" s="19">
        <f t="shared" si="341"/>
        <v>0</v>
      </c>
      <c r="AF1378" s="19"/>
      <c r="AG1378" s="17"/>
      <c r="AK1378" s="7"/>
      <c r="AL1378" s="108">
        <f t="shared" si="329"/>
        <v>0</v>
      </c>
      <c r="AM1378" s="108">
        <f t="shared" si="330"/>
        <v>0</v>
      </c>
      <c r="AN1378" s="113"/>
    </row>
    <row r="1379" spans="2:40" x14ac:dyDescent="0.2">
      <c r="B1379" s="7"/>
      <c r="C1379" s="8"/>
      <c r="D1379" s="8"/>
      <c r="E1379" s="9"/>
      <c r="F1379" s="6"/>
      <c r="G1379" s="8"/>
      <c r="H1379" s="32"/>
      <c r="I1379" s="10" t="str">
        <f t="shared" si="327"/>
        <v>21</v>
      </c>
      <c r="J1379" s="11">
        <v>1</v>
      </c>
      <c r="K1379" s="11"/>
      <c r="L1379" s="11"/>
      <c r="M1379" s="11">
        <f t="shared" si="331"/>
        <v>0</v>
      </c>
      <c r="N1379" s="11"/>
      <c r="O1379" s="11">
        <f t="shared" si="332"/>
        <v>0</v>
      </c>
      <c r="P1379" s="11"/>
      <c r="Q1379" s="11"/>
      <c r="R1379" s="11"/>
      <c r="S1379" s="11">
        <f t="shared" si="333"/>
        <v>0</v>
      </c>
      <c r="T1379" s="11">
        <f t="shared" si="334"/>
        <v>1666.6666666666667</v>
      </c>
      <c r="U1379" s="11">
        <f t="shared" si="335"/>
        <v>0</v>
      </c>
      <c r="V1379" s="24">
        <f t="shared" si="336"/>
        <v>0</v>
      </c>
      <c r="W1379" s="11">
        <f>IF(V1379&lt;=40000,0,
IF(V1379&lt;=55000,(V1379-40000)*10%,
IF(V1379&lt;=70000,(V1379-55000)*15%+1500,
IF(V1379&lt;=200000,(V1379-70000)*20%+1500+2250,
IF(V1379&lt;=400000,(V1379-200000)*22.5%+1500+2250+26000,
IF(V1379&lt;=600000,(V1379-400000)*25%+1500+2250+26000+45000,
IF(AND(V1379&gt;600000,V1379&lt;=1200000),(V1379-400000)*25%+1500+2250+26000+45000
+IFERROR(LOOKUP(V1379,{600001;700001;800001;900001},{4000;6750;10250;15250}),0),IF(V1379&gt;1200000,((V1379-1200000)*27.5%)+300000,0)
)))))))</f>
        <v>0</v>
      </c>
      <c r="X1379" s="12">
        <f t="shared" si="337"/>
        <v>0</v>
      </c>
      <c r="Y1379" s="12">
        <f t="shared" si="338"/>
        <v>0</v>
      </c>
      <c r="Z1379" s="11"/>
      <c r="AA1379" s="13">
        <f t="shared" si="339"/>
        <v>0</v>
      </c>
      <c r="AB1379" s="12">
        <f t="shared" si="340"/>
        <v>0</v>
      </c>
      <c r="AC1379" s="14">
        <f t="shared" si="328"/>
        <v>0</v>
      </c>
      <c r="AE1379" s="19">
        <f t="shared" si="341"/>
        <v>0</v>
      </c>
      <c r="AF1379" s="19"/>
      <c r="AG1379" s="17"/>
      <c r="AK1379" s="7"/>
      <c r="AL1379" s="108">
        <f t="shared" si="329"/>
        <v>0</v>
      </c>
      <c r="AM1379" s="108">
        <f t="shared" si="330"/>
        <v>0</v>
      </c>
      <c r="AN1379" s="113"/>
    </row>
    <row r="1380" spans="2:40" x14ac:dyDescent="0.2">
      <c r="B1380" s="7"/>
      <c r="C1380" s="8"/>
      <c r="D1380" s="8"/>
      <c r="E1380" s="9"/>
      <c r="F1380" s="6"/>
      <c r="G1380" s="8"/>
      <c r="H1380" s="32"/>
      <c r="I1380" s="10" t="str">
        <f t="shared" si="327"/>
        <v>21</v>
      </c>
      <c r="J1380" s="11">
        <v>1</v>
      </c>
      <c r="K1380" s="11"/>
      <c r="L1380" s="11"/>
      <c r="M1380" s="11">
        <f t="shared" si="331"/>
        <v>0</v>
      </c>
      <c r="N1380" s="11"/>
      <c r="O1380" s="11">
        <f t="shared" si="332"/>
        <v>0</v>
      </c>
      <c r="P1380" s="11"/>
      <c r="Q1380" s="11"/>
      <c r="R1380" s="11"/>
      <c r="S1380" s="11">
        <f t="shared" si="333"/>
        <v>0</v>
      </c>
      <c r="T1380" s="11">
        <f t="shared" si="334"/>
        <v>1666.6666666666667</v>
      </c>
      <c r="U1380" s="11">
        <f t="shared" si="335"/>
        <v>0</v>
      </c>
      <c r="V1380" s="24">
        <f t="shared" si="336"/>
        <v>0</v>
      </c>
      <c r="W1380" s="11">
        <f>IF(V1380&lt;=40000,0,
IF(V1380&lt;=55000,(V1380-40000)*10%,
IF(V1380&lt;=70000,(V1380-55000)*15%+1500,
IF(V1380&lt;=200000,(V1380-70000)*20%+1500+2250,
IF(V1380&lt;=400000,(V1380-200000)*22.5%+1500+2250+26000,
IF(V1380&lt;=600000,(V1380-400000)*25%+1500+2250+26000+45000,
IF(AND(V1380&gt;600000,V1380&lt;=1200000),(V1380-400000)*25%+1500+2250+26000+45000
+IFERROR(LOOKUP(V1380,{600001;700001;800001;900001},{4000;6750;10250;15250}),0),IF(V1380&gt;1200000,((V1380-1200000)*27.5%)+300000,0)
)))))))</f>
        <v>0</v>
      </c>
      <c r="X1380" s="12">
        <f t="shared" si="337"/>
        <v>0</v>
      </c>
      <c r="Y1380" s="12">
        <f t="shared" si="338"/>
        <v>0</v>
      </c>
      <c r="Z1380" s="11"/>
      <c r="AA1380" s="13">
        <f t="shared" si="339"/>
        <v>0</v>
      </c>
      <c r="AB1380" s="12">
        <f t="shared" si="340"/>
        <v>0</v>
      </c>
      <c r="AC1380" s="14">
        <f t="shared" si="328"/>
        <v>0</v>
      </c>
      <c r="AE1380" s="19">
        <f t="shared" si="341"/>
        <v>0</v>
      </c>
      <c r="AF1380" s="19"/>
      <c r="AG1380" s="17"/>
      <c r="AK1380" s="7"/>
      <c r="AL1380" s="108">
        <f t="shared" si="329"/>
        <v>0</v>
      </c>
      <c r="AM1380" s="108">
        <f t="shared" si="330"/>
        <v>0</v>
      </c>
      <c r="AN1380" s="113"/>
    </row>
    <row r="1381" spans="2:40" ht="15.75" thickBot="1" x14ac:dyDescent="0.25">
      <c r="B1381" s="7"/>
      <c r="C1381" s="8"/>
      <c r="D1381" s="8"/>
      <c r="E1381" s="9"/>
      <c r="F1381" s="6"/>
      <c r="G1381" s="8"/>
      <c r="H1381" s="32"/>
      <c r="I1381" s="10" t="str">
        <f t="shared" si="327"/>
        <v>21</v>
      </c>
      <c r="J1381" s="11">
        <v>1</v>
      </c>
      <c r="K1381" s="11"/>
      <c r="L1381" s="11"/>
      <c r="M1381" s="11">
        <f t="shared" si="331"/>
        <v>0</v>
      </c>
      <c r="N1381" s="11"/>
      <c r="O1381" s="11">
        <f t="shared" si="332"/>
        <v>0</v>
      </c>
      <c r="P1381" s="11"/>
      <c r="Q1381" s="11"/>
      <c r="R1381" s="11"/>
      <c r="S1381" s="11">
        <f t="shared" si="333"/>
        <v>0</v>
      </c>
      <c r="T1381" s="11">
        <f t="shared" si="334"/>
        <v>1666.6666666666667</v>
      </c>
      <c r="U1381" s="11">
        <f t="shared" si="335"/>
        <v>0</v>
      </c>
      <c r="V1381" s="24">
        <f t="shared" si="336"/>
        <v>0</v>
      </c>
      <c r="W1381" s="11">
        <f>IF(V1381&lt;=40000,0,
IF(V1381&lt;=55000,(V1381-40000)*10%,
IF(V1381&lt;=70000,(V1381-55000)*15%+1500,
IF(V1381&lt;=200000,(V1381-70000)*20%+1500+2250,
IF(V1381&lt;=400000,(V1381-200000)*22.5%+1500+2250+26000,
IF(V1381&lt;=600000,(V1381-400000)*25%+1500+2250+26000+45000,
IF(AND(V1381&gt;600000,V1381&lt;=1200000),(V1381-400000)*25%+1500+2250+26000+45000
+IFERROR(LOOKUP(V1381,{600001;700001;800001;900001},{4000;6750;10250;15250}),0),IF(V1381&gt;1200000,((V1381-1200000)*27.5%)+300000,0)
)))))))</f>
        <v>0</v>
      </c>
      <c r="X1381" s="12">
        <f t="shared" si="337"/>
        <v>0</v>
      </c>
      <c r="Y1381" s="12">
        <f t="shared" si="338"/>
        <v>0</v>
      </c>
      <c r="Z1381" s="11"/>
      <c r="AA1381" s="13">
        <f t="shared" si="339"/>
        <v>0</v>
      </c>
      <c r="AB1381" s="12">
        <f t="shared" si="340"/>
        <v>0</v>
      </c>
      <c r="AC1381" s="14">
        <f t="shared" si="328"/>
        <v>0</v>
      </c>
      <c r="AE1381" s="19">
        <f t="shared" si="341"/>
        <v>0</v>
      </c>
      <c r="AF1381" s="19"/>
      <c r="AG1381" s="17"/>
      <c r="AK1381" s="114"/>
      <c r="AL1381" s="109">
        <f t="shared" si="329"/>
        <v>0</v>
      </c>
      <c r="AM1381" s="109">
        <f t="shared" si="330"/>
        <v>0</v>
      </c>
      <c r="AN1381" s="115"/>
    </row>
    <row r="1382" spans="2:40" s="23" customFormat="1" ht="19.5" customHeight="1" thickBot="1" x14ac:dyDescent="0.25">
      <c r="B1382" s="121" t="s">
        <v>119</v>
      </c>
      <c r="C1382" s="122"/>
      <c r="D1382" s="122"/>
      <c r="E1382" s="122"/>
      <c r="F1382" s="122"/>
      <c r="G1382" s="122"/>
      <c r="H1382" s="122"/>
      <c r="I1382" s="122"/>
      <c r="J1382" s="123"/>
      <c r="K1382" s="29">
        <f t="shared" ref="K1382:AE1382" si="342">SUM(K4:K1381)</f>
        <v>0</v>
      </c>
      <c r="L1382" s="29">
        <f t="shared" si="342"/>
        <v>0</v>
      </c>
      <c r="M1382" s="29">
        <f t="shared" si="342"/>
        <v>0</v>
      </c>
      <c r="N1382" s="29">
        <f t="shared" si="342"/>
        <v>0</v>
      </c>
      <c r="O1382" s="29">
        <f t="shared" si="342"/>
        <v>0</v>
      </c>
      <c r="P1382" s="29">
        <f t="shared" si="342"/>
        <v>0</v>
      </c>
      <c r="Q1382" s="29">
        <f t="shared" si="342"/>
        <v>0</v>
      </c>
      <c r="R1382" s="29">
        <f t="shared" si="342"/>
        <v>0</v>
      </c>
      <c r="S1382" s="29">
        <f t="shared" si="342"/>
        <v>0</v>
      </c>
      <c r="T1382" s="29">
        <f t="shared" si="342"/>
        <v>2296666.666666687</v>
      </c>
      <c r="U1382" s="29">
        <f t="shared" si="342"/>
        <v>0</v>
      </c>
      <c r="V1382" s="29">
        <f t="shared" si="342"/>
        <v>0</v>
      </c>
      <c r="W1382" s="29">
        <f t="shared" si="342"/>
        <v>0</v>
      </c>
      <c r="X1382" s="29">
        <f t="shared" si="342"/>
        <v>0</v>
      </c>
      <c r="Y1382" s="29">
        <f t="shared" si="342"/>
        <v>0</v>
      </c>
      <c r="Z1382" s="29">
        <f t="shared" si="342"/>
        <v>0</v>
      </c>
      <c r="AA1382" s="29">
        <f t="shared" si="342"/>
        <v>0</v>
      </c>
      <c r="AB1382" s="29">
        <f t="shared" si="342"/>
        <v>0</v>
      </c>
      <c r="AC1382" s="30">
        <f t="shared" si="342"/>
        <v>0</v>
      </c>
      <c r="AD1382" s="16">
        <f t="shared" si="342"/>
        <v>0</v>
      </c>
      <c r="AE1382" s="19">
        <f t="shared" si="342"/>
        <v>0</v>
      </c>
      <c r="AF1382" s="19"/>
      <c r="AG1382" s="17"/>
      <c r="AH1382" s="17"/>
      <c r="AK1382" s="110">
        <f>SUM(AK4:AK1381)</f>
        <v>0</v>
      </c>
      <c r="AL1382" s="111"/>
      <c r="AM1382" s="111"/>
      <c r="AN1382" s="112">
        <f>SUM(AN4:AN1381)</f>
        <v>0</v>
      </c>
    </row>
    <row r="1383" spans="2:40" x14ac:dyDescent="0.2"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  <c r="AA1383" s="15"/>
      <c r="AB1383" s="15"/>
      <c r="AC1383" s="15"/>
      <c r="AE1383" s="15"/>
      <c r="AF1383" s="15"/>
      <c r="AG1383" s="15"/>
      <c r="AH1383" s="15"/>
      <c r="AK1383" s="104"/>
    </row>
    <row r="1384" spans="2:40" x14ac:dyDescent="0.2">
      <c r="B1384" s="102"/>
      <c r="C1384" s="102"/>
      <c r="D1384" s="102"/>
      <c r="E1384" s="102"/>
      <c r="F1384" s="102"/>
      <c r="G1384" s="102"/>
      <c r="H1384" s="102"/>
      <c r="I1384" s="102"/>
      <c r="J1384" s="102"/>
      <c r="K1384" s="102"/>
      <c r="L1384" s="102"/>
      <c r="M1384" s="102">
        <f>+M1383-M1382</f>
        <v>0</v>
      </c>
      <c r="N1384" s="102"/>
      <c r="O1384" s="102"/>
      <c r="P1384" s="102">
        <f>+P1383-P1382</f>
        <v>0</v>
      </c>
      <c r="Q1384" s="102"/>
      <c r="R1384" s="102"/>
      <c r="S1384" s="102"/>
      <c r="T1384" s="102"/>
      <c r="U1384" s="102"/>
      <c r="V1384" s="102"/>
      <c r="W1384" s="102"/>
      <c r="X1384" s="102"/>
      <c r="Y1384" s="102">
        <f>+Y1383-Y1382</f>
        <v>0</v>
      </c>
      <c r="Z1384" s="102"/>
      <c r="AA1384" s="102"/>
      <c r="AB1384" s="102"/>
      <c r="AC1384" s="102"/>
      <c r="AE1384" s="102"/>
      <c r="AF1384" s="102"/>
      <c r="AG1384" s="102"/>
      <c r="AH1384" s="102"/>
      <c r="AK1384" s="105"/>
      <c r="AN1384" s="16"/>
    </row>
    <row r="1385" spans="2:40" x14ac:dyDescent="0.2"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  <c r="AA1385" s="15"/>
      <c r="AB1385" s="15"/>
      <c r="AC1385" s="15"/>
      <c r="AE1385" s="15"/>
      <c r="AF1385" s="15"/>
      <c r="AG1385" s="15"/>
      <c r="AH1385" s="15"/>
    </row>
    <row r="1386" spans="2:40" x14ac:dyDescent="0.2"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  <c r="AA1386" s="15"/>
      <c r="AB1386" s="15"/>
      <c r="AC1386" s="15"/>
      <c r="AE1386" s="15"/>
      <c r="AF1386" s="15"/>
      <c r="AG1386" s="15"/>
      <c r="AH1386" s="15"/>
    </row>
    <row r="1387" spans="2:40" x14ac:dyDescent="0.2"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5"/>
      <c r="AE1387" s="15"/>
      <c r="AF1387" s="15"/>
      <c r="AG1387" s="15"/>
      <c r="AH1387" s="15"/>
    </row>
    <row r="1388" spans="2:40" ht="15.75" thickBot="1" x14ac:dyDescent="0.25"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  <c r="AA1388" s="15"/>
      <c r="AB1388" s="15"/>
      <c r="AC1388" s="15"/>
      <c r="AE1388" s="15"/>
      <c r="AF1388" s="15"/>
      <c r="AG1388" s="15"/>
      <c r="AH1388" s="15"/>
    </row>
    <row r="1389" spans="2:40" ht="18" x14ac:dyDescent="0.2">
      <c r="B1389" s="124" t="s">
        <v>123</v>
      </c>
      <c r="C1389" s="125"/>
      <c r="D1389" s="125"/>
      <c r="E1389" s="125"/>
      <c r="F1389" s="125"/>
      <c r="G1389" s="125"/>
      <c r="H1389" s="125"/>
      <c r="I1389" s="125"/>
      <c r="J1389" s="125"/>
      <c r="K1389" s="125"/>
      <c r="L1389" s="125"/>
      <c r="M1389" s="125"/>
      <c r="N1389" s="125"/>
      <c r="O1389" s="125"/>
      <c r="P1389" s="125"/>
      <c r="Q1389" s="125"/>
      <c r="R1389" s="125"/>
      <c r="S1389" s="125"/>
      <c r="T1389" s="125"/>
      <c r="U1389" s="125"/>
      <c r="V1389" s="125"/>
      <c r="W1389" s="125"/>
      <c r="X1389" s="125"/>
      <c r="Y1389" s="125"/>
      <c r="Z1389" s="125"/>
      <c r="AA1389" s="125"/>
      <c r="AB1389" s="125"/>
      <c r="AC1389" s="126"/>
    </row>
    <row r="1390" spans="2:40" s="54" customFormat="1" ht="15.75" thickBot="1" x14ac:dyDescent="0.25">
      <c r="B1390" s="56"/>
      <c r="C1390" s="55"/>
      <c r="D1390" s="45"/>
      <c r="E1390" s="46"/>
      <c r="F1390" s="47"/>
      <c r="G1390" s="45"/>
      <c r="H1390" s="48"/>
      <c r="I1390" s="49" t="str">
        <f t="shared" ref="I1390" si="343">IF(G1390&gt;0,"1","21")</f>
        <v>21</v>
      </c>
      <c r="J1390" s="49">
        <v>1</v>
      </c>
      <c r="K1390" s="49"/>
      <c r="L1390" s="49"/>
      <c r="M1390" s="49"/>
      <c r="N1390" s="49"/>
      <c r="O1390" s="49">
        <f>+N1390+M1390</f>
        <v>0</v>
      </c>
      <c r="P1390" s="49"/>
      <c r="Q1390" s="49">
        <v>0</v>
      </c>
      <c r="R1390" s="49"/>
      <c r="S1390" s="49">
        <f>O1390-P1390-Q1390-R1390</f>
        <v>0</v>
      </c>
      <c r="T1390" s="49">
        <f>IF(J1390&gt;0,(20000/12*J1390),0)</f>
        <v>1666.6666666666667</v>
      </c>
      <c r="U1390" s="49">
        <f>IF(AND(J1390&gt;0,S1390-T1390&gt;0),S1390-T1390,0)</f>
        <v>0</v>
      </c>
      <c r="V1390" s="49">
        <f>IF(J1390=0,0,(U1390/J1390*12))</f>
        <v>0</v>
      </c>
      <c r="W1390" s="49">
        <f>IF(V1390&lt;=40000,0,
IF(V1390&lt;=55000,(V1390-40000)*10%,
IF(V1390&lt;=70000,(V1390-55000)*15%+1500,
IF(V1390&lt;=200000,(V1390-70000)*20%+1500+2250,
IF(V1390&lt;=400000,(V1390-200000)*22.5%+1500+2250+26000,
IF(V1390&lt;=600000,(V1390-400000)*25%+1500+2250+26000+45000,
IF(AND(V1390&gt;600000,V1390&lt;=1200000),(V1390-400000)*25%+1500+2250+26000+45000
+IFERROR(LOOKUP(V1390,{600001;700001;800001;900001},{4000;6750;10250;15250}),0),IF(V1390&gt;1200000,((V1390-1200000)*27.5%)+300000,0)
)))))))</f>
        <v>0</v>
      </c>
      <c r="X1390" s="50">
        <f>N1390*0.1</f>
        <v>0</v>
      </c>
      <c r="Y1390" s="50">
        <f>(W1390/12*J1390)-X1390</f>
        <v>0</v>
      </c>
      <c r="Z1390" s="49"/>
      <c r="AA1390" s="51">
        <f>+O1390-P1390-Y1390-Z1390</f>
        <v>0</v>
      </c>
      <c r="AB1390" s="50">
        <f>(P1390/0.11)*18.75%</f>
        <v>0</v>
      </c>
      <c r="AC1390" s="52">
        <f>+AA1390+Y1390+P1390</f>
        <v>0</v>
      </c>
      <c r="AD1390" s="16"/>
      <c r="AE1390" s="19">
        <f>+AD1390-AC1390</f>
        <v>0</v>
      </c>
      <c r="AF1390" s="38"/>
      <c r="AG1390" s="53"/>
    </row>
    <row r="1396" spans="2:40" x14ac:dyDescent="0.2">
      <c r="J1396" s="31"/>
    </row>
    <row r="1397" spans="2:40" x14ac:dyDescent="0.2">
      <c r="J1397" s="31"/>
    </row>
    <row r="1398" spans="2:40" s="58" customFormat="1" x14ac:dyDescent="0.2">
      <c r="B1398" s="66"/>
      <c r="C1398" s="66"/>
      <c r="D1398" s="66"/>
      <c r="E1398" s="66"/>
      <c r="F1398" s="66"/>
      <c r="G1398" s="66"/>
      <c r="H1398" s="66"/>
      <c r="I1398" s="66"/>
      <c r="J1398" s="66"/>
      <c r="K1398" s="69"/>
      <c r="L1398" s="66"/>
      <c r="M1398" s="66"/>
      <c r="N1398" s="66"/>
      <c r="O1398" s="66"/>
      <c r="P1398" s="66"/>
      <c r="Q1398" s="68"/>
      <c r="R1398" s="66"/>
      <c r="AD1398" s="103"/>
      <c r="AE1398" s="62"/>
      <c r="AN1398" s="63"/>
    </row>
    <row r="1399" spans="2:40" s="58" customFormat="1" x14ac:dyDescent="0.2">
      <c r="B1399" s="66"/>
      <c r="C1399" s="66"/>
      <c r="D1399" s="66"/>
      <c r="E1399" s="69"/>
      <c r="F1399" s="66"/>
      <c r="G1399" s="66"/>
      <c r="H1399" s="70"/>
      <c r="I1399" s="70"/>
      <c r="J1399" s="70"/>
      <c r="K1399" s="71"/>
      <c r="L1399" s="66"/>
      <c r="M1399" s="66"/>
      <c r="N1399" s="66"/>
      <c r="O1399" s="66"/>
      <c r="P1399" s="66"/>
      <c r="Q1399" s="66"/>
      <c r="R1399" s="66"/>
      <c r="Y1399" s="59"/>
      <c r="AD1399" s="103"/>
      <c r="AE1399" s="59"/>
      <c r="AH1399" s="63"/>
      <c r="AI1399" s="63"/>
    </row>
    <row r="1400" spans="2:40" s="58" customFormat="1" ht="15.75" thickBot="1" x14ac:dyDescent="0.25">
      <c r="B1400" s="66"/>
      <c r="C1400" s="66"/>
      <c r="D1400" s="66"/>
      <c r="E1400" s="69"/>
      <c r="F1400" s="66"/>
      <c r="G1400" s="66"/>
      <c r="H1400" s="67"/>
      <c r="I1400" s="67"/>
      <c r="J1400" s="67"/>
      <c r="K1400" s="72"/>
      <c r="L1400" s="66"/>
      <c r="M1400" s="66"/>
      <c r="N1400" s="66"/>
      <c r="O1400" s="66"/>
      <c r="P1400" s="66"/>
      <c r="Q1400" s="66"/>
      <c r="R1400" s="66"/>
      <c r="Y1400" s="59"/>
      <c r="AD1400" s="103"/>
      <c r="AE1400" s="59"/>
      <c r="AH1400" s="63"/>
      <c r="AI1400" s="63"/>
    </row>
    <row r="1401" spans="2:40" s="58" customFormat="1" ht="18.75" customHeight="1" x14ac:dyDescent="0.2">
      <c r="B1401" s="129" t="s">
        <v>133</v>
      </c>
      <c r="C1401" s="129"/>
      <c r="D1401" s="130"/>
      <c r="E1401" s="79"/>
      <c r="F1401" s="80" t="s">
        <v>124</v>
      </c>
      <c r="G1401" s="76"/>
      <c r="H1401" s="76"/>
      <c r="I1401" s="76"/>
      <c r="J1401" s="76"/>
      <c r="K1401" s="76"/>
      <c r="L1401" s="76"/>
      <c r="M1401" s="76"/>
      <c r="N1401" s="76"/>
      <c r="O1401" s="76"/>
      <c r="P1401" s="76"/>
      <c r="Q1401" s="81"/>
      <c r="R1401" s="66"/>
      <c r="T1401" s="60"/>
      <c r="Y1401" s="59"/>
      <c r="AD1401" s="103"/>
      <c r="AE1401" s="59"/>
      <c r="AH1401" s="63"/>
      <c r="AI1401" s="63"/>
    </row>
    <row r="1402" spans="2:40" s="58" customFormat="1" ht="15.75" customHeight="1" x14ac:dyDescent="0.2">
      <c r="B1402" s="129"/>
      <c r="C1402" s="129"/>
      <c r="D1402" s="130"/>
      <c r="E1402" s="82">
        <f>+O1382</f>
        <v>0</v>
      </c>
      <c r="F1402" s="127" t="s">
        <v>131</v>
      </c>
      <c r="G1402" s="127"/>
      <c r="H1402" s="127"/>
      <c r="I1402" s="83"/>
      <c r="J1402" s="83"/>
      <c r="K1402" s="83"/>
      <c r="L1402" s="83"/>
      <c r="M1402" s="77"/>
      <c r="N1402" s="84"/>
      <c r="O1402" s="77"/>
      <c r="P1402" s="77"/>
      <c r="Q1402" s="85"/>
      <c r="R1402" s="66"/>
      <c r="T1402" s="60"/>
      <c r="Z1402" s="63"/>
      <c r="AA1402" s="63"/>
      <c r="AD1402" s="103"/>
      <c r="AE1402" s="59"/>
    </row>
    <row r="1403" spans="2:40" s="58" customFormat="1" ht="15.75" customHeight="1" x14ac:dyDescent="0.2">
      <c r="B1403" s="129" t="s">
        <v>140</v>
      </c>
      <c r="C1403" s="129"/>
      <c r="D1403" s="130"/>
      <c r="E1403" s="82">
        <f>+AB1382</f>
        <v>0</v>
      </c>
      <c r="F1403" s="127" t="s">
        <v>132</v>
      </c>
      <c r="G1403" s="127"/>
      <c r="H1403" s="127"/>
      <c r="I1403" s="86"/>
      <c r="J1403" s="86"/>
      <c r="K1403" s="86"/>
      <c r="L1403" s="86"/>
      <c r="M1403" s="77"/>
      <c r="N1403" s="87" t="s">
        <v>125</v>
      </c>
      <c r="O1403" s="77"/>
      <c r="P1403" s="77"/>
      <c r="Q1403" s="85"/>
      <c r="R1403" s="66"/>
      <c r="T1403" s="60"/>
      <c r="Z1403" s="63"/>
      <c r="AA1403" s="63"/>
      <c r="AD1403" s="103"/>
      <c r="AE1403" s="59"/>
    </row>
    <row r="1404" spans="2:40" s="58" customFormat="1" ht="15.75" customHeight="1" x14ac:dyDescent="0.2">
      <c r="B1404" s="129"/>
      <c r="C1404" s="129"/>
      <c r="D1404" s="130"/>
      <c r="E1404" s="88"/>
      <c r="F1404" s="127"/>
      <c r="G1404" s="127"/>
      <c r="H1404" s="127"/>
      <c r="I1404" s="89"/>
      <c r="J1404" s="89"/>
      <c r="K1404" s="89"/>
      <c r="L1404" s="90">
        <f>+AN1382</f>
        <v>0</v>
      </c>
      <c r="M1404" s="77"/>
      <c r="N1404" s="127" t="s">
        <v>127</v>
      </c>
      <c r="O1404" s="127"/>
      <c r="P1404" s="83"/>
      <c r="Q1404" s="91"/>
      <c r="R1404" s="66"/>
      <c r="T1404" s="64"/>
      <c r="Z1404" s="63"/>
      <c r="AA1404" s="63"/>
      <c r="AD1404" s="103"/>
      <c r="AE1404" s="59"/>
    </row>
    <row r="1405" spans="2:40" s="58" customFormat="1" ht="15.75" customHeight="1" x14ac:dyDescent="0.2">
      <c r="B1405" s="129" t="s">
        <v>139</v>
      </c>
      <c r="C1405" s="129"/>
      <c r="D1405" s="130"/>
      <c r="E1405" s="88"/>
      <c r="F1405" s="127"/>
      <c r="G1405" s="127"/>
      <c r="H1405" s="127"/>
      <c r="I1405" s="89"/>
      <c r="J1405" s="89"/>
      <c r="K1405" s="89"/>
      <c r="L1405" s="90">
        <f>+P1382+AB1382</f>
        <v>0</v>
      </c>
      <c r="M1405" s="77"/>
      <c r="N1405" s="127" t="s">
        <v>128</v>
      </c>
      <c r="O1405" s="127"/>
      <c r="P1405" s="83"/>
      <c r="Q1405" s="92"/>
      <c r="R1405" s="66"/>
      <c r="T1405" s="61"/>
      <c r="Z1405" s="63"/>
      <c r="AA1405" s="63"/>
      <c r="AD1405" s="103"/>
      <c r="AE1405" s="59"/>
    </row>
    <row r="1406" spans="2:40" s="58" customFormat="1" ht="15.75" customHeight="1" x14ac:dyDescent="0.2">
      <c r="B1406" s="129"/>
      <c r="C1406" s="129"/>
      <c r="D1406" s="130"/>
      <c r="E1406" s="88"/>
      <c r="F1406" s="127"/>
      <c r="G1406" s="127"/>
      <c r="H1406" s="127"/>
      <c r="I1406" s="89"/>
      <c r="J1406" s="89"/>
      <c r="K1406" s="89"/>
      <c r="L1406" s="90">
        <f>+Y1382</f>
        <v>0</v>
      </c>
      <c r="M1406" s="77"/>
      <c r="N1406" s="127" t="s">
        <v>129</v>
      </c>
      <c r="O1406" s="127"/>
      <c r="P1406" s="83"/>
      <c r="Q1406" s="91"/>
      <c r="R1406" s="66"/>
      <c r="T1406" s="64"/>
      <c r="Z1406" s="63"/>
      <c r="AA1406" s="63"/>
      <c r="AD1406" s="103"/>
      <c r="AE1406" s="59"/>
    </row>
    <row r="1407" spans="2:40" s="58" customFormat="1" ht="16.5" customHeight="1" thickBot="1" x14ac:dyDescent="0.25">
      <c r="B1407" s="129" t="s">
        <v>134</v>
      </c>
      <c r="C1407" s="129"/>
      <c r="D1407" s="130"/>
      <c r="E1407" s="93"/>
      <c r="F1407" s="94"/>
      <c r="G1407" s="94"/>
      <c r="H1407" s="94"/>
      <c r="I1407" s="94"/>
      <c r="J1407" s="94"/>
      <c r="K1407" s="94"/>
      <c r="L1407" s="95">
        <f>+AK1382</f>
        <v>0</v>
      </c>
      <c r="M1407" s="78"/>
      <c r="N1407" s="131" t="s">
        <v>130</v>
      </c>
      <c r="O1407" s="131"/>
      <c r="P1407" s="96"/>
      <c r="Q1407" s="97"/>
      <c r="R1407" s="66"/>
      <c r="T1407" s="64"/>
      <c r="Z1407" s="63"/>
      <c r="AA1407" s="63"/>
      <c r="AD1407" s="103"/>
      <c r="AE1407" s="59"/>
    </row>
    <row r="1408" spans="2:40" s="58" customFormat="1" x14ac:dyDescent="0.2">
      <c r="B1408" s="66"/>
      <c r="C1408" s="66"/>
      <c r="D1408" s="66"/>
      <c r="E1408" s="75"/>
      <c r="F1408" s="74"/>
      <c r="G1408" s="74"/>
      <c r="H1408" s="74"/>
      <c r="I1408" s="74"/>
      <c r="J1408" s="74"/>
      <c r="K1408" s="74"/>
      <c r="L1408" s="117"/>
      <c r="M1408" s="74"/>
      <c r="N1408" s="73"/>
      <c r="O1408" s="73"/>
      <c r="P1408" s="73"/>
      <c r="Q1408" s="73"/>
      <c r="R1408" s="66"/>
      <c r="T1408" s="64"/>
      <c r="Z1408" s="63"/>
      <c r="AA1408" s="63"/>
      <c r="AD1408" s="103"/>
      <c r="AE1408" s="59"/>
    </row>
    <row r="1409" spans="2:35" s="58" customFormat="1" x14ac:dyDescent="0.2">
      <c r="B1409" s="66"/>
      <c r="C1409" s="98" t="s">
        <v>126</v>
      </c>
      <c r="D1409" s="99"/>
      <c r="E1409" s="100">
        <f>SUM(E1402:E1408)</f>
        <v>0</v>
      </c>
      <c r="F1409" s="98"/>
      <c r="G1409" s="98"/>
      <c r="H1409" s="98"/>
      <c r="I1409" s="98"/>
      <c r="J1409" s="99"/>
      <c r="K1409" s="99"/>
      <c r="L1409" s="101">
        <f>SUM(L1404:L1408)</f>
        <v>0</v>
      </c>
      <c r="M1409" s="99"/>
      <c r="N1409" s="99"/>
      <c r="O1409" s="99"/>
      <c r="P1409" s="99"/>
      <c r="Q1409" s="99"/>
      <c r="R1409" s="66"/>
      <c r="Y1409" s="59"/>
      <c r="AD1409" s="103"/>
      <c r="AE1409" s="59"/>
      <c r="AH1409" s="63"/>
      <c r="AI1409" s="63"/>
    </row>
    <row r="1410" spans="2:35" s="58" customFormat="1" x14ac:dyDescent="0.2">
      <c r="B1410" s="66"/>
      <c r="C1410" s="98" t="s">
        <v>0</v>
      </c>
      <c r="D1410" s="99"/>
      <c r="E1410" s="100">
        <f>E1409-L1409</f>
        <v>0</v>
      </c>
      <c r="F1410" s="98"/>
      <c r="G1410" s="98"/>
      <c r="H1410" s="98"/>
      <c r="I1410" s="98"/>
      <c r="J1410" s="99"/>
      <c r="K1410" s="99"/>
      <c r="L1410" s="98"/>
      <c r="M1410" s="99"/>
      <c r="N1410" s="99"/>
      <c r="O1410" s="99"/>
      <c r="P1410" s="99"/>
      <c r="Q1410" s="99"/>
      <c r="R1410" s="66"/>
      <c r="Y1410" s="59"/>
      <c r="AA1410" s="65"/>
      <c r="AD1410" s="103"/>
      <c r="AE1410" s="59"/>
      <c r="AH1410" s="63"/>
      <c r="AI1410" s="63"/>
    </row>
    <row r="1411" spans="2:35" s="58" customFormat="1" ht="21" x14ac:dyDescent="0.3">
      <c r="B1411" s="66"/>
      <c r="C1411" s="128" t="str">
        <f>IF($L$1409=E1409,"القيد مُـــتَــزِن","القيد غير مُـــتَــزِن")</f>
        <v>القيد مُـــتَــزِن</v>
      </c>
      <c r="D1411" s="128"/>
      <c r="E1411" s="128"/>
      <c r="F1411" s="99"/>
      <c r="G1411" s="99"/>
      <c r="H1411" s="99"/>
      <c r="I1411" s="99"/>
      <c r="J1411" s="99"/>
      <c r="K1411" s="99"/>
      <c r="L1411" s="99"/>
      <c r="M1411" s="99"/>
      <c r="N1411" s="99"/>
      <c r="O1411" s="99"/>
      <c r="P1411" s="99"/>
      <c r="Q1411" s="99"/>
      <c r="R1411" s="66"/>
      <c r="Y1411" s="59"/>
      <c r="AD1411" s="103"/>
      <c r="AE1411" s="59"/>
      <c r="AH1411" s="63"/>
      <c r="AI1411" s="63"/>
    </row>
    <row r="1412" spans="2:35" x14ac:dyDescent="0.2">
      <c r="H1412" s="31"/>
      <c r="J1412" s="31"/>
    </row>
    <row r="1413" spans="2:35" x14ac:dyDescent="0.2">
      <c r="H1413" s="31"/>
      <c r="J1413" s="31"/>
    </row>
    <row r="1414" spans="2:35" x14ac:dyDescent="0.2">
      <c r="H1414" s="31"/>
      <c r="J1414" s="31"/>
    </row>
    <row r="1415" spans="2:35" x14ac:dyDescent="0.2">
      <c r="E1415" s="107"/>
      <c r="F1415" s="107"/>
      <c r="H1415" s="31"/>
      <c r="J1415" s="31"/>
    </row>
    <row r="1416" spans="2:35" x14ac:dyDescent="0.2">
      <c r="F1416" s="106"/>
      <c r="H1416" s="31"/>
      <c r="J1416" s="31"/>
    </row>
    <row r="1417" spans="2:35" x14ac:dyDescent="0.2">
      <c r="F1417" s="106"/>
      <c r="H1417" s="31"/>
      <c r="J1417" s="31"/>
    </row>
    <row r="1418" spans="2:35" x14ac:dyDescent="0.2">
      <c r="H1418" s="31"/>
      <c r="J1418" s="31"/>
      <c r="AF1418" s="36"/>
    </row>
    <row r="1419" spans="2:35" x14ac:dyDescent="0.2">
      <c r="H1419" s="31"/>
      <c r="J1419" s="31"/>
    </row>
    <row r="1420" spans="2:35" x14ac:dyDescent="0.2">
      <c r="H1420" s="31"/>
      <c r="J1420" s="31"/>
    </row>
    <row r="1421" spans="2:35" x14ac:dyDescent="0.2">
      <c r="H1421" s="31"/>
      <c r="J1421" s="31"/>
    </row>
    <row r="1422" spans="2:35" x14ac:dyDescent="0.2">
      <c r="H1422" s="31"/>
      <c r="J1422" s="31"/>
    </row>
    <row r="1423" spans="2:35" x14ac:dyDescent="0.2">
      <c r="H1423" s="31"/>
      <c r="J1423" s="31"/>
    </row>
    <row r="1424" spans="2:35" x14ac:dyDescent="0.2">
      <c r="H1424" s="31"/>
      <c r="J1424" s="31"/>
    </row>
    <row r="1425" spans="8:10" x14ac:dyDescent="0.2">
      <c r="H1425" s="31"/>
      <c r="J1425" s="31"/>
    </row>
    <row r="1426" spans="8:10" x14ac:dyDescent="0.2">
      <c r="H1426" s="31"/>
      <c r="J1426" s="31"/>
    </row>
    <row r="1427" spans="8:10" x14ac:dyDescent="0.2">
      <c r="H1427" s="31"/>
      <c r="J1427" s="31"/>
    </row>
    <row r="1428" spans="8:10" x14ac:dyDescent="0.2">
      <c r="H1428" s="31"/>
      <c r="J1428" s="31"/>
    </row>
    <row r="1429" spans="8:10" x14ac:dyDescent="0.2">
      <c r="H1429" s="31"/>
      <c r="J1429" s="31"/>
    </row>
    <row r="1430" spans="8:10" x14ac:dyDescent="0.2">
      <c r="H1430" s="31"/>
      <c r="J1430" s="31"/>
    </row>
    <row r="1431" spans="8:10" x14ac:dyDescent="0.2">
      <c r="H1431" s="31"/>
    </row>
    <row r="1432" spans="8:10" x14ac:dyDescent="0.2">
      <c r="H1432" s="31"/>
    </row>
    <row r="1433" spans="8:10" x14ac:dyDescent="0.2">
      <c r="H1433" s="31"/>
    </row>
    <row r="1434" spans="8:10" x14ac:dyDescent="0.2">
      <c r="H1434" s="31"/>
    </row>
    <row r="1435" spans="8:10" x14ac:dyDescent="0.2">
      <c r="H1435" s="31"/>
    </row>
    <row r="1436" spans="8:10" x14ac:dyDescent="0.2">
      <c r="H1436" s="31"/>
    </row>
    <row r="1437" spans="8:10" x14ac:dyDescent="0.2">
      <c r="H1437" s="31"/>
    </row>
    <row r="1438" spans="8:10" x14ac:dyDescent="0.2">
      <c r="H1438" s="31"/>
    </row>
    <row r="1439" spans="8:10" x14ac:dyDescent="0.2">
      <c r="H1439" s="31"/>
    </row>
    <row r="1440" spans="8:10" x14ac:dyDescent="0.2">
      <c r="H1440" s="31"/>
    </row>
    <row r="1441" spans="8:32" x14ac:dyDescent="0.2">
      <c r="H1441" s="31"/>
    </row>
    <row r="1442" spans="8:32" x14ac:dyDescent="0.2">
      <c r="H1442" s="31"/>
    </row>
    <row r="1444" spans="8:32" x14ac:dyDescent="0.2">
      <c r="AF1444" s="36"/>
    </row>
  </sheetData>
  <autoFilter ref="A3:AE1382" xr:uid="{C7841397-BF87-4CE4-8B9A-9FF5E1477736}"/>
  <mergeCells count="19">
    <mergeCell ref="F1402:H1402"/>
    <mergeCell ref="F1403:H1403"/>
    <mergeCell ref="N1404:O1404"/>
    <mergeCell ref="F1406:H1406"/>
    <mergeCell ref="C1411:E1411"/>
    <mergeCell ref="B1401:D1402"/>
    <mergeCell ref="B1403:D1404"/>
    <mergeCell ref="B1405:D1406"/>
    <mergeCell ref="B1407:D1407"/>
    <mergeCell ref="N1405:O1405"/>
    <mergeCell ref="F1404:H1404"/>
    <mergeCell ref="F1405:H1405"/>
    <mergeCell ref="N1406:O1406"/>
    <mergeCell ref="N1407:O1407"/>
    <mergeCell ref="AG3:AI3"/>
    <mergeCell ref="B1:AC1"/>
    <mergeCell ref="B2:AC2"/>
    <mergeCell ref="B1382:J1382"/>
    <mergeCell ref="B1389:AC1389"/>
  </mergeCells>
  <conditionalFormatting sqref="C4">
    <cfRule type="duplicateValues" dxfId="16" priority="5"/>
  </conditionalFormatting>
  <conditionalFormatting sqref="C11">
    <cfRule type="duplicateValues" dxfId="15" priority="3"/>
  </conditionalFormatting>
  <conditionalFormatting sqref="C12">
    <cfRule type="duplicateValues" dxfId="14" priority="22"/>
  </conditionalFormatting>
  <conditionalFormatting sqref="C29:C1381">
    <cfRule type="duplicateValues" dxfId="13" priority="58"/>
  </conditionalFormatting>
  <conditionalFormatting sqref="C1390 C5:C10 C13:C28">
    <cfRule type="duplicateValues" dxfId="12" priority="51"/>
  </conditionalFormatting>
  <conditionalFormatting sqref="C1409:C1410">
    <cfRule type="duplicateValues" dxfId="11" priority="7"/>
    <cfRule type="duplicateValues" dxfId="10" priority="8"/>
    <cfRule type="duplicateValues" dxfId="9" priority="9"/>
    <cfRule type="duplicateValues" dxfId="8" priority="10"/>
    <cfRule type="duplicateValues" dxfId="7" priority="11"/>
    <cfRule type="duplicateValues" dxfId="6" priority="12"/>
    <cfRule type="duplicateValues" dxfId="5" priority="13"/>
  </conditionalFormatting>
  <conditionalFormatting sqref="F4">
    <cfRule type="duplicateValues" dxfId="4" priority="6"/>
  </conditionalFormatting>
  <conditionalFormatting sqref="F11">
    <cfRule type="duplicateValues" dxfId="3" priority="4"/>
  </conditionalFormatting>
  <conditionalFormatting sqref="F12">
    <cfRule type="duplicateValues" dxfId="2" priority="21"/>
  </conditionalFormatting>
  <conditionalFormatting sqref="F29:F1381">
    <cfRule type="duplicateValues" dxfId="1" priority="59"/>
  </conditionalFormatting>
  <conditionalFormatting sqref="F1390 F5:F10 F13:F28">
    <cfRule type="duplicateValues" dxfId="0" priority="53"/>
  </conditionalFormatting>
  <pageMargins left="0.7" right="0.7" top="0.75" bottom="0.75" header="0.3" footer="0.3"/>
  <pageSetup orientation="portrait" r:id="rId1"/>
  <ignoredErrors>
    <ignoredError sqref="M4 M6:M28 M5 M29:M1381 M1382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source</vt:lpstr>
      <vt:lpstr>سورس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Marghany</cp:lastModifiedBy>
  <dcterms:created xsi:type="dcterms:W3CDTF">2024-07-15T15:20:32Z</dcterms:created>
  <dcterms:modified xsi:type="dcterms:W3CDTF">2026-05-13T10:39:17Z</dcterms:modified>
</cp:coreProperties>
</file>